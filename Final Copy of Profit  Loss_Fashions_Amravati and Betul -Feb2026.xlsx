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l.saraf\AppData\Local\Microsoft\Windows\INetCache\Content.Outlook\486F2UI1\"/>
    </mc:Choice>
  </mc:AlternateContent>
  <xr:revisionPtr revIDLastSave="0" documentId="13_ncr:1_{0CE0DF66-8270-425B-A305-ACBC9E9EABA8}" xr6:coauthVersionLast="47" xr6:coauthVersionMax="47" xr10:uidLastSave="{00000000-0000-0000-0000-000000000000}"/>
  <bookViews>
    <workbookView xWindow="-108" yWindow="-108" windowWidth="23256" windowHeight="12456" xr2:uid="{28C522B5-7605-4D53-964E-4EAA49D01D18}"/>
  </bookViews>
  <sheets>
    <sheet name="Profit Loss-Combined" sheetId="11" r:id="rId1"/>
    <sheet name="Prepaid" sheetId="14" state="hidden" r:id="rId2"/>
    <sheet name="Profit Loss-Amravati-25-26" sheetId="3" state="hidden" r:id="rId3"/>
    <sheet name="Profit Loss-Betul-25-26" sheetId="5" state="hidden" r:id="rId4"/>
    <sheet name="TB-Feb,26-a" sheetId="33" state="hidden" r:id="rId5"/>
    <sheet name="TB-Feb,26-B" sheetId="34" state="hidden" r:id="rId6"/>
    <sheet name="TB-TFL-B-Jan,26" sheetId="32" state="hidden" r:id="rId7"/>
    <sheet name="Summary Sheet Prior year impact" sheetId="30" r:id="rId8"/>
    <sheet name="TB-TFL-A-Jan,26" sheetId="31" state="hidden" r:id="rId9"/>
    <sheet name="TB-TFL-A-Dec,25" sheetId="28" state="hidden" r:id="rId10"/>
    <sheet name="TB -TFL-B-Dec,25" sheetId="29" state="hidden" r:id="rId11"/>
    <sheet name="PL-TFA-Oct" sheetId="24" state="hidden" r:id="rId12"/>
    <sheet name="PL-TFB-Oct" sheetId="25" state="hidden" r:id="rId13"/>
    <sheet name="TFA-Nov,25" sheetId="26" state="hidden" r:id="rId14"/>
    <sheet name="TFB-Nov,25" sheetId="27" state="hidden" r:id="rId15"/>
    <sheet name="TFB-Sept,25" sheetId="23" state="hidden" r:id="rId16"/>
    <sheet name="TFA-Sept,25" sheetId="22" state="hidden" r:id="rId17"/>
    <sheet name="TB-A-Aug" sheetId="19" state="hidden" r:id="rId18"/>
    <sheet name="TB-B-Aug" sheetId="20" state="hidden" r:id="rId19"/>
    <sheet name="July-A" sheetId="17" state="hidden" r:id="rId20"/>
    <sheet name="July-B" sheetId="18" state="hidden" r:id="rId21"/>
    <sheet name="June,25-A" sheetId="15" state="hidden" r:id="rId22"/>
    <sheet name="June,25-B" sheetId="16" state="hidden" r:id="rId23"/>
    <sheet name="May-A" sheetId="12" state="hidden" r:id="rId24"/>
    <sheet name="May-B" sheetId="13" state="hidden" r:id="rId25"/>
    <sheet name="TFL- B-April,25" sheetId="6" state="hidden" r:id="rId26"/>
    <sheet name="Profit Loss-Textile" sheetId="1" state="hidden" r:id="rId27"/>
    <sheet name="TFL A-April,25" sheetId="4" state="hidden" r:id="rId28"/>
    <sheet name="April,25." sheetId="2" state="hidden" r:id="rId29"/>
  </sheets>
  <definedNames>
    <definedName name="_xlnm._FilterDatabase" localSheetId="28" hidden="1">'April,25.'!$A$7:$C$46</definedName>
    <definedName name="_xlnm._FilterDatabase" localSheetId="19" hidden="1">'July-A'!$A$7:$C$134</definedName>
    <definedName name="_xlnm._FilterDatabase" localSheetId="20" hidden="1">'July-B'!$A$7:$C$62</definedName>
    <definedName name="_xlnm._FilterDatabase" localSheetId="21" hidden="1">'June,25-A'!$A$7:$C$127</definedName>
    <definedName name="_xlnm._FilterDatabase" localSheetId="22" hidden="1">'June,25-B'!$B$7:$C$50</definedName>
    <definedName name="_xlnm._FilterDatabase" localSheetId="23" hidden="1">'May-A'!$A$7:$C$109</definedName>
    <definedName name="_xlnm._FilterDatabase" localSheetId="24" hidden="1">'May-B'!$A$7:$C$49</definedName>
    <definedName name="_xlnm._FilterDatabase" localSheetId="11" hidden="1">'PL-TFA-Oct'!$A$7:$C$145</definedName>
    <definedName name="_xlnm._FilterDatabase" localSheetId="12" hidden="1">'PL-TFB-Oct'!$A$7:$C$63</definedName>
    <definedName name="_xlnm._FilterDatabase" localSheetId="0" hidden="1">'Profit Loss-Combined'!$G$5:$K$229</definedName>
    <definedName name="_xlnm._FilterDatabase" localSheetId="10" hidden="1">'TB -TFL-B-Dec,25'!$A$7:$C$68</definedName>
    <definedName name="_xlnm._FilterDatabase" localSheetId="17" hidden="1">'TB-A-Aug'!$A$7:$C$139</definedName>
    <definedName name="_xlnm._FilterDatabase" localSheetId="18" hidden="1">'TB-B-Aug'!$A$7:$C$58</definedName>
    <definedName name="_xlnm._FilterDatabase" localSheetId="4" hidden="1">'TB-Feb,26-a'!$A$7:$C$158</definedName>
    <definedName name="_xlnm._FilterDatabase" localSheetId="5" hidden="1">'TB-Feb,26-B'!$A$7:$C$68</definedName>
    <definedName name="_xlnm._FilterDatabase" localSheetId="9" hidden="1">'TB-TFL-A-Dec,25'!$A$7:$C$152</definedName>
    <definedName name="_xlnm._FilterDatabase" localSheetId="8" hidden="1">'TB-TFL-A-Jan,26'!$A$7:$C$156</definedName>
    <definedName name="_xlnm._FilterDatabase" localSheetId="6" hidden="1">'TB-TFL-B-Jan,26'!$A$7:$C$70</definedName>
    <definedName name="_xlnm._FilterDatabase" localSheetId="13" hidden="1">'TFA-Nov,25'!$A$7:$C$151</definedName>
    <definedName name="_xlnm._FilterDatabase" localSheetId="16" hidden="1">'TFA-Sept,25'!$A$7:$C$141</definedName>
    <definedName name="_xlnm._FilterDatabase" localSheetId="14" hidden="1">'TFB-Nov,25'!$A$7:$C$61</definedName>
    <definedName name="_xlnm._FilterDatabase" localSheetId="15" hidden="1">'TFB-Sept,25'!$A$7:$C$59</definedName>
    <definedName name="_xlnm._FilterDatabase" localSheetId="27" hidden="1">'TFL A-April,25'!$A$7:$C$89</definedName>
    <definedName name="_xlnm._FilterDatabase" localSheetId="25" hidden="1">'TFL- B-April,25'!$A$7:$C$43</definedName>
    <definedName name="_xlnm.Print_Area" localSheetId="0">'Profit Loss-Combined'!$A$1:$A$229</definedName>
    <definedName name="_xlnm.Print_Area" localSheetId="26">'Profit Loss-Textile'!$A$1:$A$156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0" l="1"/>
  <c r="B28" i="30"/>
  <c r="S51" i="3"/>
  <c r="Q51" i="3"/>
  <c r="O51" i="3"/>
  <c r="B72" i="11" l="1"/>
  <c r="D72" i="11"/>
  <c r="AZ24" i="11"/>
  <c r="U99" i="3"/>
  <c r="U146" i="3"/>
  <c r="U34" i="3"/>
  <c r="U82" i="3"/>
  <c r="S137" i="3" l="1"/>
  <c r="S140" i="3"/>
  <c r="S147" i="3"/>
  <c r="S149" i="3"/>
  <c r="AS56" i="11"/>
  <c r="AT56" i="11" s="1"/>
  <c r="AX56" i="11"/>
  <c r="BC56" i="11"/>
  <c r="AQ64" i="11"/>
  <c r="U70" i="3"/>
  <c r="U85" i="3"/>
  <c r="U121" i="5"/>
  <c r="U83" i="5"/>
  <c r="U80" i="5"/>
  <c r="U78" i="5"/>
  <c r="U81" i="5"/>
  <c r="U79" i="5"/>
  <c r="U36" i="5"/>
  <c r="U135" i="3"/>
  <c r="U147" i="3"/>
  <c r="U51" i="3"/>
  <c r="U69" i="3"/>
  <c r="U103" i="3"/>
  <c r="U75" i="3"/>
  <c r="U129" i="3"/>
  <c r="U130" i="3"/>
  <c r="U53" i="3"/>
  <c r="U21" i="3"/>
  <c r="U95" i="3"/>
  <c r="U140" i="3"/>
  <c r="U88" i="3"/>
  <c r="U59" i="3"/>
  <c r="U57" i="3"/>
  <c r="U77" i="3"/>
  <c r="U156" i="3"/>
  <c r="U157" i="3"/>
  <c r="U128" i="3"/>
  <c r="U124" i="3"/>
  <c r="U126" i="3"/>
  <c r="U125" i="3"/>
  <c r="U123" i="3"/>
  <c r="U39" i="3"/>
  <c r="U41" i="3"/>
  <c r="N12" i="14"/>
  <c r="N11" i="14"/>
  <c r="U168" i="3" s="1"/>
  <c r="N10" i="14"/>
  <c r="U97" i="3" s="1"/>
  <c r="N9" i="14"/>
  <c r="N8" i="14"/>
  <c r="N7" i="14"/>
  <c r="U104" i="3" s="1"/>
  <c r="U131" i="3"/>
  <c r="N6" i="14"/>
  <c r="N5" i="14"/>
  <c r="N4" i="14"/>
  <c r="U141" i="3" s="1"/>
  <c r="N3" i="14"/>
  <c r="U149" i="3"/>
  <c r="U145" i="3"/>
  <c r="U93" i="3"/>
  <c r="U14" i="3"/>
  <c r="U115" i="3"/>
  <c r="U165" i="3"/>
  <c r="U113" i="3"/>
  <c r="U112" i="3"/>
  <c r="BD56" i="11" l="1"/>
  <c r="AY56" i="11"/>
  <c r="N13" i="14"/>
  <c r="AZ154" i="11"/>
  <c r="AZ192" i="11"/>
  <c r="AZ194" i="11"/>
  <c r="BC194" i="11" s="1"/>
  <c r="BA191" i="11"/>
  <c r="AZ191" i="11"/>
  <c r="BA190" i="11"/>
  <c r="AZ190" i="11"/>
  <c r="BA189" i="11"/>
  <c r="AZ189" i="11"/>
  <c r="BC188" i="11"/>
  <c r="BA187" i="11"/>
  <c r="AZ187" i="11"/>
  <c r="BA186" i="11"/>
  <c r="AZ186" i="11"/>
  <c r="BA185" i="11"/>
  <c r="AZ185" i="11"/>
  <c r="BA179" i="11"/>
  <c r="AZ179" i="11"/>
  <c r="BA178" i="11"/>
  <c r="AZ178" i="11"/>
  <c r="BA177" i="11"/>
  <c r="AZ177" i="11"/>
  <c r="BA176" i="11"/>
  <c r="AZ176" i="11"/>
  <c r="AZ175" i="11"/>
  <c r="BC175" i="11" s="1"/>
  <c r="BA174" i="11"/>
  <c r="AZ174" i="11"/>
  <c r="BA173" i="11"/>
  <c r="AZ173" i="11"/>
  <c r="BA172" i="11"/>
  <c r="AZ172" i="11"/>
  <c r="BA171" i="11"/>
  <c r="AZ171" i="11"/>
  <c r="BC170" i="11"/>
  <c r="BA169" i="11"/>
  <c r="AZ169" i="11"/>
  <c r="BA168" i="11"/>
  <c r="AZ168" i="11"/>
  <c r="BA167" i="11"/>
  <c r="AZ167" i="11"/>
  <c r="BA166" i="11"/>
  <c r="AZ166" i="11"/>
  <c r="BC165" i="11"/>
  <c r="BA164" i="11"/>
  <c r="AZ164" i="11"/>
  <c r="AZ163" i="11"/>
  <c r="BC163" i="11" s="1"/>
  <c r="BA162" i="11"/>
  <c r="AZ162" i="11"/>
  <c r="BA161" i="11"/>
  <c r="AZ161" i="11"/>
  <c r="BC161" i="11" s="1"/>
  <c r="BA160" i="11"/>
  <c r="AZ160" i="11"/>
  <c r="BC160" i="11" s="1"/>
  <c r="BA159" i="11"/>
  <c r="AZ159" i="11"/>
  <c r="BA158" i="11"/>
  <c r="AZ158" i="11"/>
  <c r="BA157" i="11"/>
  <c r="AZ157" i="11"/>
  <c r="BA156" i="11"/>
  <c r="AZ156" i="11"/>
  <c r="BA155" i="11"/>
  <c r="AZ155" i="11"/>
  <c r="BA154" i="11"/>
  <c r="BA153" i="11"/>
  <c r="AZ153" i="11"/>
  <c r="BA152" i="11"/>
  <c r="AZ152" i="11"/>
  <c r="BA151" i="11"/>
  <c r="AZ151" i="11"/>
  <c r="AZ150" i="11"/>
  <c r="BC150" i="11" s="1"/>
  <c r="BA149" i="11"/>
  <c r="AZ149" i="11"/>
  <c r="BC149" i="11" s="1"/>
  <c r="BA148" i="11"/>
  <c r="AZ148" i="11"/>
  <c r="BA147" i="11"/>
  <c r="AZ147" i="11"/>
  <c r="BA146" i="11"/>
  <c r="AZ146" i="11"/>
  <c r="AZ145" i="11"/>
  <c r="BC145" i="11" s="1"/>
  <c r="BA144" i="11"/>
  <c r="AZ144" i="11"/>
  <c r="BA143" i="11"/>
  <c r="AZ143" i="11"/>
  <c r="BA142" i="11"/>
  <c r="AZ142" i="11"/>
  <c r="BC141" i="11"/>
  <c r="BA140" i="11"/>
  <c r="AZ140" i="11"/>
  <c r="BA139" i="11"/>
  <c r="AZ139" i="11"/>
  <c r="BC139" i="11" s="1"/>
  <c r="BA138" i="11"/>
  <c r="AZ138" i="11"/>
  <c r="BA137" i="11"/>
  <c r="AZ137" i="11"/>
  <c r="BA136" i="11"/>
  <c r="AZ136" i="11"/>
  <c r="BA135" i="11"/>
  <c r="AZ135" i="11"/>
  <c r="BA134" i="11"/>
  <c r="AZ134" i="11"/>
  <c r="BA133" i="11"/>
  <c r="AZ133" i="11"/>
  <c r="BA132" i="11"/>
  <c r="AZ132" i="11"/>
  <c r="BA131" i="11"/>
  <c r="AZ131" i="11"/>
  <c r="BA130" i="11"/>
  <c r="AZ130" i="11"/>
  <c r="BA129" i="11"/>
  <c r="AZ129" i="11"/>
  <c r="BC129" i="11" s="1"/>
  <c r="BA128" i="11"/>
  <c r="AZ128" i="11"/>
  <c r="BA127" i="11"/>
  <c r="AZ127" i="11"/>
  <c r="BA126" i="11"/>
  <c r="AZ126" i="11"/>
  <c r="BA125" i="11"/>
  <c r="AZ125" i="11"/>
  <c r="BA124" i="11"/>
  <c r="AZ124" i="11"/>
  <c r="BA122" i="11"/>
  <c r="AZ122" i="11"/>
  <c r="BA121" i="11"/>
  <c r="AZ121" i="11"/>
  <c r="BA120" i="11"/>
  <c r="AZ120" i="11"/>
  <c r="BA119" i="11"/>
  <c r="AZ119" i="11"/>
  <c r="BA118" i="11"/>
  <c r="AZ118" i="11"/>
  <c r="BA117" i="11"/>
  <c r="AZ117" i="11"/>
  <c r="BA116" i="11"/>
  <c r="AZ116" i="11"/>
  <c r="BA115" i="11"/>
  <c r="AZ115" i="11"/>
  <c r="BA114" i="11"/>
  <c r="AZ114" i="11"/>
  <c r="BA113" i="11"/>
  <c r="AZ113" i="11"/>
  <c r="BA112" i="11"/>
  <c r="AZ112" i="11"/>
  <c r="BA111" i="11"/>
  <c r="AZ111" i="11"/>
  <c r="BA110" i="11"/>
  <c r="AZ110" i="11"/>
  <c r="BA109" i="11"/>
  <c r="AZ109" i="11"/>
  <c r="BA108" i="11"/>
  <c r="AZ108" i="11"/>
  <c r="BA107" i="11"/>
  <c r="AZ107" i="11"/>
  <c r="BA106" i="11"/>
  <c r="AZ106" i="11"/>
  <c r="BA105" i="11"/>
  <c r="AZ105" i="11"/>
  <c r="BA104" i="11"/>
  <c r="AZ104" i="11"/>
  <c r="BA103" i="11"/>
  <c r="AZ103" i="11"/>
  <c r="BA102" i="11"/>
  <c r="AZ102" i="11"/>
  <c r="BA101" i="11"/>
  <c r="AZ101" i="11"/>
  <c r="BA100" i="11"/>
  <c r="AZ100" i="11"/>
  <c r="BA99" i="11"/>
  <c r="AZ99" i="11"/>
  <c r="BA98" i="11"/>
  <c r="AZ98" i="11"/>
  <c r="BA97" i="11"/>
  <c r="AZ97" i="11"/>
  <c r="BA96" i="11"/>
  <c r="AZ96" i="11"/>
  <c r="BA95" i="11"/>
  <c r="AZ95" i="11"/>
  <c r="BA94" i="11"/>
  <c r="AZ94" i="11"/>
  <c r="BA93" i="11"/>
  <c r="AZ93" i="11"/>
  <c r="BA92" i="11"/>
  <c r="AZ92" i="11"/>
  <c r="BC91" i="11"/>
  <c r="BA90" i="11"/>
  <c r="AZ90" i="11"/>
  <c r="BA89" i="11"/>
  <c r="AZ89" i="11"/>
  <c r="AZ88" i="11"/>
  <c r="BC88" i="11" s="1"/>
  <c r="BA87" i="11"/>
  <c r="AZ87" i="11"/>
  <c r="BC87" i="11" s="1"/>
  <c r="AZ86" i="11"/>
  <c r="AZ85" i="11"/>
  <c r="BC85" i="11" s="1"/>
  <c r="AZ84" i="11"/>
  <c r="AZ83" i="11"/>
  <c r="BC83" i="11" s="1"/>
  <c r="BA82" i="11"/>
  <c r="AZ82" i="11"/>
  <c r="BA81" i="11"/>
  <c r="AZ81" i="11"/>
  <c r="AZ80" i="11"/>
  <c r="AZ79" i="11"/>
  <c r="BC79" i="11" s="1"/>
  <c r="BA78" i="11"/>
  <c r="AZ78" i="11"/>
  <c r="BA71" i="11"/>
  <c r="AZ71" i="11"/>
  <c r="BA70" i="11"/>
  <c r="AZ70" i="11"/>
  <c r="AZ69" i="11"/>
  <c r="BC69" i="11" s="1"/>
  <c r="AZ68" i="11"/>
  <c r="BC68" i="11" s="1"/>
  <c r="AZ67" i="11"/>
  <c r="BC67" i="11" s="1"/>
  <c r="AZ66" i="11"/>
  <c r="BC66" i="11" s="1"/>
  <c r="AZ65" i="11"/>
  <c r="BC65" i="11" s="1"/>
  <c r="BA64" i="11"/>
  <c r="BA72" i="11" s="1"/>
  <c r="AZ64" i="11"/>
  <c r="AZ62" i="11"/>
  <c r="BC62" i="11" s="1"/>
  <c r="AZ61" i="11"/>
  <c r="BC61" i="11" s="1"/>
  <c r="AZ60" i="11"/>
  <c r="BC60" i="11" s="1"/>
  <c r="AZ59" i="11"/>
  <c r="BC59" i="11" s="1"/>
  <c r="AZ58" i="11"/>
  <c r="BC58" i="11" s="1"/>
  <c r="AZ57" i="11"/>
  <c r="BC57" i="11" s="1"/>
  <c r="AZ55" i="11"/>
  <c r="BC55" i="11" s="1"/>
  <c r="BA54" i="11"/>
  <c r="AZ54" i="11"/>
  <c r="AZ53" i="11"/>
  <c r="BB53" i="11" s="1"/>
  <c r="BB72" i="11" s="1"/>
  <c r="AZ52" i="11"/>
  <c r="BC52" i="11" s="1"/>
  <c r="BA51" i="11"/>
  <c r="AZ51" i="11"/>
  <c r="AZ45" i="11"/>
  <c r="BC45" i="11" s="1"/>
  <c r="AZ44" i="11"/>
  <c r="BC44" i="11" s="1"/>
  <c r="AZ43" i="11"/>
  <c r="BC43" i="11" s="1"/>
  <c r="AZ42" i="11"/>
  <c r="BC42" i="11" s="1"/>
  <c r="AZ41" i="11"/>
  <c r="BC41" i="11" s="1"/>
  <c r="BA46" i="11"/>
  <c r="AZ40" i="11"/>
  <c r="BC40" i="11" s="1"/>
  <c r="AZ36" i="11"/>
  <c r="BC36" i="11" s="1"/>
  <c r="AZ35" i="11"/>
  <c r="BC35" i="11" s="1"/>
  <c r="AZ34" i="11"/>
  <c r="BC34" i="11" s="1"/>
  <c r="AZ33" i="11"/>
  <c r="BC33" i="11" s="1"/>
  <c r="AZ31" i="11"/>
  <c r="BC31" i="11" s="1"/>
  <c r="AZ29" i="11"/>
  <c r="BC29" i="11" s="1"/>
  <c r="AZ28" i="11"/>
  <c r="BC28" i="11" s="1"/>
  <c r="AZ27" i="11"/>
  <c r="AZ26" i="11"/>
  <c r="AZ25" i="11"/>
  <c r="BC25" i="11" s="1"/>
  <c r="BC32" i="11"/>
  <c r="AZ23" i="11"/>
  <c r="BC23" i="11" s="1"/>
  <c r="BA22" i="11"/>
  <c r="AZ22" i="11"/>
  <c r="BA18" i="11"/>
  <c r="BA21" i="11"/>
  <c r="AZ21" i="11"/>
  <c r="AZ17" i="11"/>
  <c r="BC17" i="11" s="1"/>
  <c r="AZ16" i="11"/>
  <c r="BC16" i="11" s="1"/>
  <c r="AZ15" i="11"/>
  <c r="BC15" i="11" s="1"/>
  <c r="AZ14" i="11"/>
  <c r="BC14" i="11" s="1"/>
  <c r="AZ13" i="11"/>
  <c r="BC13" i="11" s="1"/>
  <c r="AZ12" i="11"/>
  <c r="BC12" i="11" s="1"/>
  <c r="AZ11" i="11"/>
  <c r="BC11" i="11" s="1"/>
  <c r="AZ10" i="11"/>
  <c r="BC10" i="11" s="1"/>
  <c r="AZ9" i="11"/>
  <c r="BA232" i="11"/>
  <c r="AZ232" i="11"/>
  <c r="AZ224" i="11"/>
  <c r="BC193" i="11"/>
  <c r="BC192" i="11"/>
  <c r="BB180" i="11"/>
  <c r="BD122" i="11"/>
  <c r="BD121" i="11"/>
  <c r="BD120" i="11"/>
  <c r="BD119" i="11"/>
  <c r="BD118" i="11"/>
  <c r="BD117" i="11"/>
  <c r="BD116" i="11"/>
  <c r="BD115" i="11"/>
  <c r="BD114" i="11"/>
  <c r="BD113" i="11"/>
  <c r="BD112" i="11"/>
  <c r="BD111" i="11"/>
  <c r="BD110" i="11"/>
  <c r="BD109" i="11"/>
  <c r="BD108" i="11"/>
  <c r="BD107" i="11"/>
  <c r="BD106" i="11"/>
  <c r="BD105" i="11"/>
  <c r="BD104" i="11"/>
  <c r="BD103" i="11"/>
  <c r="BD102" i="11"/>
  <c r="BD101" i="11"/>
  <c r="BD100" i="11"/>
  <c r="BD99" i="11"/>
  <c r="BD98" i="11"/>
  <c r="BD97" i="11"/>
  <c r="BD96" i="11"/>
  <c r="BD95" i="11"/>
  <c r="BD94" i="11"/>
  <c r="BD53" i="11"/>
  <c r="BC30" i="11"/>
  <c r="BD24" i="11"/>
  <c r="V137" i="5"/>
  <c r="U137" i="5"/>
  <c r="U139" i="5" s="1"/>
  <c r="W141" i="5"/>
  <c r="V125" i="5"/>
  <c r="V124" i="5"/>
  <c r="V123" i="5"/>
  <c r="V122" i="5"/>
  <c r="V121" i="5"/>
  <c r="V120" i="5"/>
  <c r="V119" i="5"/>
  <c r="V126" i="5"/>
  <c r="U118" i="5"/>
  <c r="V117" i="5"/>
  <c r="V116" i="5"/>
  <c r="U115" i="5"/>
  <c r="U114" i="5"/>
  <c r="U113" i="5"/>
  <c r="U112" i="5"/>
  <c r="V111" i="5"/>
  <c r="U110" i="5"/>
  <c r="V109" i="5"/>
  <c r="V107" i="5"/>
  <c r="V106" i="5"/>
  <c r="U105" i="5"/>
  <c r="U104" i="5"/>
  <c r="V103" i="5"/>
  <c r="U102" i="5"/>
  <c r="U101" i="5"/>
  <c r="U99" i="5"/>
  <c r="U98" i="5"/>
  <c r="V97" i="5"/>
  <c r="U96" i="5"/>
  <c r="V95" i="5"/>
  <c r="V94" i="5"/>
  <c r="U93" i="5"/>
  <c r="V92" i="5"/>
  <c r="U91" i="5"/>
  <c r="V90" i="5"/>
  <c r="V89" i="5"/>
  <c r="V88" i="5"/>
  <c r="V87" i="5"/>
  <c r="U86" i="5"/>
  <c r="U85" i="5"/>
  <c r="U82" i="5"/>
  <c r="U77" i="5"/>
  <c r="V76" i="5"/>
  <c r="V75" i="5"/>
  <c r="V74" i="5"/>
  <c r="U73" i="5"/>
  <c r="V72" i="5"/>
  <c r="U71" i="5"/>
  <c r="U70" i="5"/>
  <c r="V69" i="5"/>
  <c r="U68" i="5"/>
  <c r="U67" i="5"/>
  <c r="U60" i="5"/>
  <c r="U59" i="5"/>
  <c r="U58" i="5"/>
  <c r="U57" i="5"/>
  <c r="V56" i="5"/>
  <c r="U55" i="5"/>
  <c r="U54" i="5"/>
  <c r="U53" i="5"/>
  <c r="V52" i="5"/>
  <c r="U51" i="5"/>
  <c r="U50" i="5"/>
  <c r="U49" i="5"/>
  <c r="U48" i="5"/>
  <c r="U47" i="5"/>
  <c r="U46" i="5"/>
  <c r="V45" i="5"/>
  <c r="U44" i="5"/>
  <c r="V43" i="5"/>
  <c r="V42" i="5"/>
  <c r="V41" i="5"/>
  <c r="V40" i="5"/>
  <c r="U38" i="5"/>
  <c r="U37" i="5"/>
  <c r="U35" i="5"/>
  <c r="U34" i="5"/>
  <c r="U33" i="5"/>
  <c r="U27" i="5"/>
  <c r="V27" i="5" s="1"/>
  <c r="U26" i="5"/>
  <c r="V26" i="5" s="1"/>
  <c r="U25" i="5"/>
  <c r="U29" i="5" s="1"/>
  <c r="U14" i="5"/>
  <c r="V14" i="5" s="1"/>
  <c r="U13" i="5"/>
  <c r="U9" i="5"/>
  <c r="U10" i="5" s="1"/>
  <c r="C69" i="34"/>
  <c r="C68" i="34"/>
  <c r="C13" i="34"/>
  <c r="V151" i="5"/>
  <c r="U151" i="5"/>
  <c r="V139" i="5"/>
  <c r="V128" i="5"/>
  <c r="V127" i="5"/>
  <c r="V108" i="5"/>
  <c r="V100" i="5"/>
  <c r="V84" i="5"/>
  <c r="V66" i="5"/>
  <c r="V65" i="5"/>
  <c r="V64" i="5"/>
  <c r="V63" i="5"/>
  <c r="V62" i="5"/>
  <c r="V61" i="5"/>
  <c r="V39" i="5"/>
  <c r="V28" i="5"/>
  <c r="V19" i="5"/>
  <c r="U19" i="5"/>
  <c r="C28" i="33"/>
  <c r="U187" i="3"/>
  <c r="V187" i="3" s="1"/>
  <c r="U186" i="3"/>
  <c r="U185" i="3"/>
  <c r="C27" i="33"/>
  <c r="C26" i="33"/>
  <c r="C25" i="33"/>
  <c r="C24" i="33"/>
  <c r="C23" i="33"/>
  <c r="U182" i="3" s="1"/>
  <c r="C22" i="33"/>
  <c r="C21" i="33"/>
  <c r="C20" i="33"/>
  <c r="C29" i="33"/>
  <c r="C19" i="33"/>
  <c r="C18" i="33"/>
  <c r="U181" i="3" s="1"/>
  <c r="C17" i="33"/>
  <c r="U12" i="3" s="1"/>
  <c r="C16" i="33"/>
  <c r="C15" i="33"/>
  <c r="C14" i="33"/>
  <c r="C13" i="33"/>
  <c r="C12" i="33"/>
  <c r="C11" i="33"/>
  <c r="C10" i="33"/>
  <c r="C153" i="33"/>
  <c r="C152" i="33"/>
  <c r="C151" i="33"/>
  <c r="C150" i="33"/>
  <c r="C149" i="33"/>
  <c r="C148" i="33"/>
  <c r="C147" i="33"/>
  <c r="C146" i="33"/>
  <c r="C145" i="33"/>
  <c r="U116" i="3" s="1"/>
  <c r="C144" i="33"/>
  <c r="U158" i="3" s="1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U114" i="3" s="1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U171" i="3" s="1"/>
  <c r="C115" i="33"/>
  <c r="C114" i="33"/>
  <c r="C113" i="33"/>
  <c r="C112" i="33"/>
  <c r="C111" i="33"/>
  <c r="C110" i="33"/>
  <c r="C109" i="33"/>
  <c r="C108" i="33"/>
  <c r="C107" i="33"/>
  <c r="C106" i="33"/>
  <c r="C105" i="33"/>
  <c r="U170" i="3" s="1"/>
  <c r="C104" i="33"/>
  <c r="U148" i="3" s="1"/>
  <c r="C103" i="33"/>
  <c r="C102" i="33"/>
  <c r="C101" i="33"/>
  <c r="C100" i="33"/>
  <c r="C99" i="33"/>
  <c r="C98" i="33"/>
  <c r="C97" i="33"/>
  <c r="C96" i="33"/>
  <c r="C95" i="33"/>
  <c r="C94" i="33"/>
  <c r="C93" i="33"/>
  <c r="U152" i="3" s="1"/>
  <c r="C92" i="33"/>
  <c r="C91" i="33"/>
  <c r="C90" i="33"/>
  <c r="C89" i="33"/>
  <c r="C88" i="33"/>
  <c r="C87" i="33"/>
  <c r="C86" i="33"/>
  <c r="C85" i="33"/>
  <c r="C84" i="33"/>
  <c r="C83" i="33"/>
  <c r="U155" i="3" s="1"/>
  <c r="C82" i="33"/>
  <c r="U33" i="3" s="1"/>
  <c r="C81" i="33"/>
  <c r="C80" i="33"/>
  <c r="C79" i="33"/>
  <c r="C78" i="33"/>
  <c r="C77" i="33"/>
  <c r="C76" i="33"/>
  <c r="C75" i="33"/>
  <c r="C74" i="33"/>
  <c r="V28" i="3" s="1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U84" i="3"/>
  <c r="U50" i="3"/>
  <c r="C34" i="33"/>
  <c r="C33" i="33"/>
  <c r="C32" i="33"/>
  <c r="C31" i="33"/>
  <c r="C30" i="33"/>
  <c r="F154" i="33"/>
  <c r="F28" i="33"/>
  <c r="E28" i="33"/>
  <c r="U184" i="3"/>
  <c r="V183" i="3"/>
  <c r="U175" i="3"/>
  <c r="U173" i="3"/>
  <c r="U172" i="3"/>
  <c r="U169" i="3"/>
  <c r="V163" i="3"/>
  <c r="U162" i="3"/>
  <c r="U161" i="3"/>
  <c r="U160" i="3"/>
  <c r="U159" i="3"/>
  <c r="U154" i="3"/>
  <c r="U153" i="3"/>
  <c r="U151" i="3"/>
  <c r="U150" i="3"/>
  <c r="U144" i="3"/>
  <c r="U143" i="3"/>
  <c r="U142" i="3"/>
  <c r="U139" i="3"/>
  <c r="V138" i="3"/>
  <c r="U137" i="3"/>
  <c r="U136" i="3"/>
  <c r="V134" i="3"/>
  <c r="U133" i="3"/>
  <c r="U132" i="3"/>
  <c r="U127" i="3"/>
  <c r="U122" i="3"/>
  <c r="U121" i="3"/>
  <c r="U120" i="3"/>
  <c r="U119" i="3"/>
  <c r="U118" i="3"/>
  <c r="U117" i="3"/>
  <c r="U111" i="3"/>
  <c r="U110" i="3"/>
  <c r="U109" i="3"/>
  <c r="U108" i="3"/>
  <c r="U107" i="3"/>
  <c r="U106" i="3"/>
  <c r="U105" i="3"/>
  <c r="U102" i="3"/>
  <c r="V101" i="3"/>
  <c r="U100" i="3"/>
  <c r="U98" i="3"/>
  <c r="U96" i="3"/>
  <c r="U94" i="3"/>
  <c r="U92" i="3"/>
  <c r="U91" i="3"/>
  <c r="U90" i="3"/>
  <c r="U89" i="3"/>
  <c r="U87" i="3"/>
  <c r="U86" i="3"/>
  <c r="U83" i="3"/>
  <c r="U81" i="3"/>
  <c r="U80" i="3"/>
  <c r="U79" i="3"/>
  <c r="U78" i="3"/>
  <c r="U76" i="3"/>
  <c r="U68" i="3"/>
  <c r="U67" i="3"/>
  <c r="U65" i="3"/>
  <c r="U63" i="3"/>
  <c r="U61" i="3"/>
  <c r="U60" i="3"/>
  <c r="U58" i="3"/>
  <c r="U56" i="3"/>
  <c r="U55" i="3"/>
  <c r="U54" i="3"/>
  <c r="U52" i="3"/>
  <c r="U44" i="3"/>
  <c r="U43" i="3"/>
  <c r="V42" i="3"/>
  <c r="U40" i="3"/>
  <c r="V39" i="3"/>
  <c r="U35" i="3"/>
  <c r="V32" i="3"/>
  <c r="V31" i="3"/>
  <c r="V27" i="3"/>
  <c r="V26" i="3"/>
  <c r="V24" i="3"/>
  <c r="V23" i="3"/>
  <c r="U22" i="3"/>
  <c r="U20" i="3"/>
  <c r="U17" i="3"/>
  <c r="U16" i="3"/>
  <c r="U15" i="3"/>
  <c r="U13" i="3"/>
  <c r="V11" i="3"/>
  <c r="U10" i="3"/>
  <c r="U9" i="3"/>
  <c r="V200" i="3"/>
  <c r="U200" i="3"/>
  <c r="V174" i="3"/>
  <c r="V167" i="3"/>
  <c r="V166" i="3"/>
  <c r="V164" i="3"/>
  <c r="V66" i="3"/>
  <c r="V64" i="3"/>
  <c r="V62" i="3"/>
  <c r="Q31" i="3"/>
  <c r="S31" i="3"/>
  <c r="S99" i="3"/>
  <c r="S12" i="3"/>
  <c r="O34" i="3"/>
  <c r="S34" i="3"/>
  <c r="Q34" i="3"/>
  <c r="S39" i="3"/>
  <c r="S14" i="3"/>
  <c r="S37" i="5"/>
  <c r="S35" i="5"/>
  <c r="S77" i="3"/>
  <c r="S78" i="3"/>
  <c r="S59" i="3"/>
  <c r="S60" i="3"/>
  <c r="BC136" i="11" l="1"/>
  <c r="BC158" i="11"/>
  <c r="BC135" i="11"/>
  <c r="BC157" i="11"/>
  <c r="BC168" i="11"/>
  <c r="BC169" i="11"/>
  <c r="BC127" i="11"/>
  <c r="BC137" i="11"/>
  <c r="BC64" i="11"/>
  <c r="BC130" i="11"/>
  <c r="BC140" i="11"/>
  <c r="BC185" i="11"/>
  <c r="BC125" i="11"/>
  <c r="BC189" i="11"/>
  <c r="BC81" i="11"/>
  <c r="BC176" i="11"/>
  <c r="BC171" i="11"/>
  <c r="BC187" i="11"/>
  <c r="BC138" i="11"/>
  <c r="BC90" i="11"/>
  <c r="BC148" i="11"/>
  <c r="BC54" i="11"/>
  <c r="BC143" i="11"/>
  <c r="BC151" i="11"/>
  <c r="BC173" i="11"/>
  <c r="BC179" i="11"/>
  <c r="BC51" i="11"/>
  <c r="BC89" i="11"/>
  <c r="BC174" i="11"/>
  <c r="BC190" i="11"/>
  <c r="BC147" i="11"/>
  <c r="BC159" i="11"/>
  <c r="BC128" i="11"/>
  <c r="BC153" i="11"/>
  <c r="BC191" i="11"/>
  <c r="BC133" i="11"/>
  <c r="BC155" i="11"/>
  <c r="BC177" i="11"/>
  <c r="BC70" i="11"/>
  <c r="BC131" i="11"/>
  <c r="BC93" i="11"/>
  <c r="BC124" i="11"/>
  <c r="BC156" i="11"/>
  <c r="BC167" i="11"/>
  <c r="BC154" i="11"/>
  <c r="AZ72" i="11"/>
  <c r="BC178" i="11"/>
  <c r="AZ180" i="11"/>
  <c r="AZ195" i="11"/>
  <c r="BA195" i="11"/>
  <c r="BC82" i="11"/>
  <c r="BC92" i="11"/>
  <c r="BC132" i="11"/>
  <c r="BC142" i="11"/>
  <c r="BC152" i="11"/>
  <c r="BC162" i="11"/>
  <c r="BC172" i="11"/>
  <c r="BC134" i="11"/>
  <c r="BC164" i="11"/>
  <c r="BC84" i="11"/>
  <c r="BC123" i="11"/>
  <c r="BC166" i="11"/>
  <c r="BC144" i="11"/>
  <c r="BC86" i="11"/>
  <c r="BC126" i="11"/>
  <c r="BC146" i="11"/>
  <c r="BC186" i="11"/>
  <c r="BC80" i="11"/>
  <c r="BB182" i="11"/>
  <c r="BC27" i="11"/>
  <c r="BC26" i="11"/>
  <c r="AZ37" i="11"/>
  <c r="BC22" i="11"/>
  <c r="BA37" i="11"/>
  <c r="BC21" i="11"/>
  <c r="AZ19" i="11"/>
  <c r="BA180" i="11"/>
  <c r="BA182" i="11" s="1"/>
  <c r="BC78" i="11"/>
  <c r="BC46" i="11"/>
  <c r="BC71" i="11"/>
  <c r="AZ46" i="11"/>
  <c r="BC9" i="11"/>
  <c r="U129" i="5"/>
  <c r="U131" i="5" s="1"/>
  <c r="V37" i="5"/>
  <c r="V35" i="5"/>
  <c r="V25" i="5"/>
  <c r="V29" i="5" s="1"/>
  <c r="U15" i="5"/>
  <c r="U16" i="5" s="1"/>
  <c r="U20" i="5" s="1"/>
  <c r="V9" i="5"/>
  <c r="V10" i="5" s="1"/>
  <c r="V13" i="5"/>
  <c r="V15" i="5" s="1"/>
  <c r="C154" i="33"/>
  <c r="U45" i="3"/>
  <c r="V59" i="3"/>
  <c r="V34" i="3"/>
  <c r="V85" i="3"/>
  <c r="V12" i="3"/>
  <c r="S85" i="3"/>
  <c r="S70" i="3" s="1"/>
  <c r="V70" i="3" s="1"/>
  <c r="AZ38" i="11" l="1"/>
  <c r="AZ47" i="11" s="1"/>
  <c r="AZ73" i="11" s="1"/>
  <c r="AZ74" i="11" s="1"/>
  <c r="BC37" i="11"/>
  <c r="AZ182" i="11"/>
  <c r="BC195" i="11"/>
  <c r="B32" i="30" s="1"/>
  <c r="BC180" i="11"/>
  <c r="B27" i="30" s="1"/>
  <c r="BC72" i="11"/>
  <c r="U141" i="5"/>
  <c r="U30" i="5"/>
  <c r="U31" i="5" s="1"/>
  <c r="V16" i="5"/>
  <c r="V20" i="5" s="1"/>
  <c r="C155" i="33"/>
  <c r="E154" i="33"/>
  <c r="S121" i="5"/>
  <c r="S86" i="5"/>
  <c r="V86" i="5" s="1"/>
  <c r="S46" i="5"/>
  <c r="V46" i="5" s="1"/>
  <c r="S38" i="5"/>
  <c r="V38" i="5" s="1"/>
  <c r="S83" i="5"/>
  <c r="V83" i="5" s="1"/>
  <c r="S78" i="5"/>
  <c r="V78" i="5" s="1"/>
  <c r="S81" i="5"/>
  <c r="V81" i="5" s="1"/>
  <c r="S80" i="5"/>
  <c r="V80" i="5" s="1"/>
  <c r="S79" i="5"/>
  <c r="V79" i="5" s="1"/>
  <c r="S168" i="3"/>
  <c r="S97" i="3"/>
  <c r="S145" i="3"/>
  <c r="V145" i="3" s="1"/>
  <c r="S93" i="3"/>
  <c r="V93" i="3" s="1"/>
  <c r="S104" i="3"/>
  <c r="V104" i="3" s="1"/>
  <c r="S131" i="3"/>
  <c r="V131" i="3" s="1"/>
  <c r="S141" i="3"/>
  <c r="V141" i="3" s="1"/>
  <c r="S135" i="3"/>
  <c r="M12" i="14"/>
  <c r="M11" i="14"/>
  <c r="M10" i="14"/>
  <c r="M9" i="14"/>
  <c r="M8" i="14"/>
  <c r="M7" i="14"/>
  <c r="M6" i="14"/>
  <c r="M5" i="14"/>
  <c r="M4" i="14"/>
  <c r="M3" i="14"/>
  <c r="BA198" i="11" l="1"/>
  <c r="W142" i="5"/>
  <c r="AZ197" i="11"/>
  <c r="BC182" i="11"/>
  <c r="U143" i="5"/>
  <c r="W146" i="5"/>
  <c r="U153" i="5"/>
  <c r="U160" i="5" s="1"/>
  <c r="V30" i="5"/>
  <c r="V31" i="5" s="1"/>
  <c r="S113" i="3"/>
  <c r="S112" i="3"/>
  <c r="S156" i="3"/>
  <c r="S83" i="3"/>
  <c r="S69" i="3"/>
  <c r="S129" i="3"/>
  <c r="S130" i="3"/>
  <c r="S21" i="3"/>
  <c r="S53" i="3"/>
  <c r="S95" i="3"/>
  <c r="S58" i="3"/>
  <c r="S57" i="3"/>
  <c r="S117" i="3"/>
  <c r="AZ233" i="11" l="1"/>
  <c r="U155" i="5"/>
  <c r="U161" i="5" s="1"/>
  <c r="U157" i="5"/>
  <c r="S165" i="3"/>
  <c r="V165" i="3" s="1"/>
  <c r="AU179" i="11"/>
  <c r="S115" i="3"/>
  <c r="V115" i="3" s="1"/>
  <c r="S157" i="3"/>
  <c r="S128" i="3"/>
  <c r="AU114" i="11" s="1"/>
  <c r="S126" i="3"/>
  <c r="AU131" i="11" s="1"/>
  <c r="S125" i="3"/>
  <c r="AU111" i="11" s="1"/>
  <c r="S124" i="3"/>
  <c r="S123" i="3"/>
  <c r="AU132" i="11" s="1"/>
  <c r="S146" i="3"/>
  <c r="S82" i="3"/>
  <c r="AU82" i="11" s="1"/>
  <c r="AV190" i="11"/>
  <c r="AU24" i="11"/>
  <c r="T28" i="3"/>
  <c r="AU29" i="11"/>
  <c r="AX29" i="11" s="1"/>
  <c r="BD29" i="11" s="1"/>
  <c r="AU12" i="11"/>
  <c r="AX12" i="11" s="1"/>
  <c r="AU11" i="11"/>
  <c r="AX11" i="11" s="1"/>
  <c r="AU123" i="11"/>
  <c r="AX193" i="11"/>
  <c r="BD193" i="11" s="1"/>
  <c r="AV191" i="11"/>
  <c r="AU190" i="11"/>
  <c r="AV189" i="11"/>
  <c r="AU189" i="11"/>
  <c r="AX188" i="11"/>
  <c r="BD188" i="11" s="1"/>
  <c r="AV187" i="11"/>
  <c r="AV186" i="11"/>
  <c r="AV185" i="11"/>
  <c r="AU185" i="11"/>
  <c r="AV179" i="11"/>
  <c r="AV178" i="11"/>
  <c r="AV177" i="11"/>
  <c r="AU177" i="11"/>
  <c r="AV176" i="11"/>
  <c r="AU176" i="11"/>
  <c r="AV173" i="11"/>
  <c r="AV172" i="11"/>
  <c r="AV171" i="11"/>
  <c r="AU171" i="11"/>
  <c r="AX170" i="11"/>
  <c r="BD170" i="11" s="1"/>
  <c r="AV168" i="11"/>
  <c r="AU168" i="11"/>
  <c r="AV167" i="11"/>
  <c r="AU167" i="11"/>
  <c r="AV166" i="11"/>
  <c r="AU166" i="11"/>
  <c r="AV164" i="11"/>
  <c r="AV162" i="11"/>
  <c r="AV161" i="11"/>
  <c r="AV159" i="11"/>
  <c r="AV158" i="11"/>
  <c r="AV157" i="11"/>
  <c r="AV156" i="11"/>
  <c r="AV155" i="11"/>
  <c r="AU154" i="11"/>
  <c r="AV153" i="11"/>
  <c r="AU153" i="11"/>
  <c r="AU151" i="11"/>
  <c r="AV149" i="11"/>
  <c r="AU149" i="11"/>
  <c r="AU148" i="11"/>
  <c r="AV147" i="11"/>
  <c r="AU147" i="11"/>
  <c r="AV146" i="11"/>
  <c r="AU146" i="11"/>
  <c r="AV144" i="11"/>
  <c r="AV143" i="11"/>
  <c r="AU143" i="11"/>
  <c r="AU142" i="11"/>
  <c r="AV140" i="11"/>
  <c r="AV139" i="11"/>
  <c r="AV138" i="11"/>
  <c r="AU138" i="11"/>
  <c r="AV135" i="11"/>
  <c r="AV134" i="11"/>
  <c r="AV133" i="11"/>
  <c r="AU133" i="11"/>
  <c r="AV132" i="11"/>
  <c r="AV131" i="11"/>
  <c r="AV130" i="11"/>
  <c r="AU130" i="11"/>
  <c r="AV128" i="11"/>
  <c r="AV127" i="11"/>
  <c r="AU127" i="11"/>
  <c r="AV125" i="11"/>
  <c r="AV124" i="11"/>
  <c r="AV122" i="11"/>
  <c r="AU122" i="11"/>
  <c r="AV121" i="11"/>
  <c r="AV120" i="11"/>
  <c r="AV118" i="11"/>
  <c r="AV116" i="11"/>
  <c r="AU116" i="11"/>
  <c r="AV115" i="11"/>
  <c r="AU115" i="11"/>
  <c r="AV114" i="11"/>
  <c r="AV113" i="11"/>
  <c r="AV112" i="11"/>
  <c r="AU112" i="11"/>
  <c r="AV111" i="11"/>
  <c r="AV110" i="11"/>
  <c r="AU110" i="11"/>
  <c r="AV109" i="11"/>
  <c r="AU108" i="11"/>
  <c r="AV107" i="11"/>
  <c r="AU107" i="11"/>
  <c r="AV106" i="11"/>
  <c r="AV105" i="11"/>
  <c r="AV104" i="11"/>
  <c r="AU104" i="11"/>
  <c r="AV103" i="11"/>
  <c r="AV102" i="11"/>
  <c r="AU102" i="11"/>
  <c r="AV101" i="11"/>
  <c r="AU101" i="11"/>
  <c r="AV100" i="11"/>
  <c r="AV99" i="11"/>
  <c r="AU99" i="11"/>
  <c r="AV98" i="11"/>
  <c r="AV96" i="11"/>
  <c r="AV93" i="11"/>
  <c r="AV92" i="11"/>
  <c r="AU92" i="11"/>
  <c r="AV90" i="11"/>
  <c r="AU90" i="11"/>
  <c r="AV89" i="11"/>
  <c r="AV87" i="11"/>
  <c r="AU86" i="11"/>
  <c r="AU84" i="11"/>
  <c r="AV82" i="11"/>
  <c r="AV81" i="11"/>
  <c r="AV78" i="11"/>
  <c r="AU78" i="11"/>
  <c r="AV71" i="11"/>
  <c r="AU71" i="11"/>
  <c r="AV70" i="11"/>
  <c r="AU70" i="11"/>
  <c r="AU68" i="11"/>
  <c r="AU66" i="11"/>
  <c r="AU65" i="11"/>
  <c r="AV64" i="11"/>
  <c r="AU62" i="11"/>
  <c r="AU60" i="11"/>
  <c r="AX60" i="11" s="1"/>
  <c r="BD60" i="11" s="1"/>
  <c r="AU59" i="11"/>
  <c r="AU58" i="11"/>
  <c r="AX58" i="11" s="1"/>
  <c r="BD58" i="11" s="1"/>
  <c r="AV54" i="11"/>
  <c r="AU54" i="11"/>
  <c r="AU52" i="11"/>
  <c r="AV51" i="11"/>
  <c r="AU51" i="11"/>
  <c r="AU45" i="11"/>
  <c r="AU44" i="11"/>
  <c r="AU43" i="11"/>
  <c r="AU42" i="11"/>
  <c r="AV46" i="11"/>
  <c r="AU35" i="11"/>
  <c r="AU33" i="11"/>
  <c r="AU31" i="11"/>
  <c r="AX31" i="11" s="1"/>
  <c r="BD31" i="11" s="1"/>
  <c r="AX30" i="11"/>
  <c r="BD30" i="11" s="1"/>
  <c r="AU28" i="11"/>
  <c r="AX28" i="11" s="1"/>
  <c r="BD28" i="11" s="1"/>
  <c r="AU27" i="11"/>
  <c r="AU26" i="11"/>
  <c r="AX26" i="11" s="1"/>
  <c r="BD26" i="11" s="1"/>
  <c r="AU25" i="11"/>
  <c r="AX25" i="11" s="1"/>
  <c r="BD25" i="11" s="1"/>
  <c r="AU23" i="11"/>
  <c r="AV22" i="11"/>
  <c r="AU22" i="11"/>
  <c r="AV21" i="11"/>
  <c r="AV18" i="11"/>
  <c r="AU10" i="11"/>
  <c r="Q27" i="5"/>
  <c r="Q25" i="5"/>
  <c r="S29" i="5"/>
  <c r="T26" i="5"/>
  <c r="S26" i="5"/>
  <c r="C67" i="32"/>
  <c r="C66" i="32"/>
  <c r="C65" i="32"/>
  <c r="C64" i="32"/>
  <c r="C63" i="32"/>
  <c r="C62" i="32"/>
  <c r="C61" i="32"/>
  <c r="C60" i="32"/>
  <c r="C59" i="32"/>
  <c r="C58" i="32"/>
  <c r="C57" i="32"/>
  <c r="C56" i="32"/>
  <c r="C55" i="32"/>
  <c r="C54" i="32"/>
  <c r="S60" i="5" s="1"/>
  <c r="C53" i="32"/>
  <c r="S71" i="5" s="1"/>
  <c r="V71" i="5" s="1"/>
  <c r="C52" i="32"/>
  <c r="C51" i="32"/>
  <c r="S67" i="5" s="1"/>
  <c r="V67" i="5" s="1"/>
  <c r="C50" i="32"/>
  <c r="S59" i="5" s="1"/>
  <c r="V59" i="5" s="1"/>
  <c r="C49" i="32"/>
  <c r="S58" i="5" s="1"/>
  <c r="V58" i="5" s="1"/>
  <c r="C48" i="32"/>
  <c r="S57" i="5" s="1"/>
  <c r="V57" i="5" s="1"/>
  <c r="C47" i="32"/>
  <c r="S98" i="5" s="1"/>
  <c r="V98" i="5" s="1"/>
  <c r="C46" i="32"/>
  <c r="C45" i="32"/>
  <c r="C44" i="32"/>
  <c r="S96" i="5" s="1"/>
  <c r="V96" i="5" s="1"/>
  <c r="C43" i="32"/>
  <c r="C42" i="32"/>
  <c r="C41" i="32"/>
  <c r="S53" i="5" s="1"/>
  <c r="V53" i="5" s="1"/>
  <c r="C40" i="32"/>
  <c r="S51" i="5" s="1"/>
  <c r="V51" i="5" s="1"/>
  <c r="C39" i="32"/>
  <c r="S50" i="5" s="1"/>
  <c r="V50" i="5" s="1"/>
  <c r="C38" i="32"/>
  <c r="C37" i="32"/>
  <c r="S33" i="5" s="1"/>
  <c r="V33" i="5" s="1"/>
  <c r="C36" i="32"/>
  <c r="S48" i="5" s="1"/>
  <c r="V48" i="5" s="1"/>
  <c r="C35" i="32"/>
  <c r="S47" i="5" s="1"/>
  <c r="V47" i="5" s="1"/>
  <c r="C34" i="32"/>
  <c r="S99" i="5" s="1"/>
  <c r="V99" i="5" s="1"/>
  <c r="C33" i="32"/>
  <c r="S91" i="5" s="1"/>
  <c r="V91" i="5" s="1"/>
  <c r="C32" i="32"/>
  <c r="C31" i="32"/>
  <c r="S73" i="5"/>
  <c r="V73" i="5" s="1"/>
  <c r="S68" i="5"/>
  <c r="V68" i="5" s="1"/>
  <c r="S77" i="5"/>
  <c r="V77" i="5" s="1"/>
  <c r="S44" i="5"/>
  <c r="V44" i="5" s="1"/>
  <c r="C30" i="32"/>
  <c r="C29" i="32"/>
  <c r="S49" i="5" s="1"/>
  <c r="V49" i="5" s="1"/>
  <c r="C28" i="32"/>
  <c r="S104" i="5" s="1"/>
  <c r="V104" i="5" s="1"/>
  <c r="C27" i="32"/>
  <c r="C26" i="32"/>
  <c r="C25" i="32"/>
  <c r="S101" i="5" s="1"/>
  <c r="C24" i="32"/>
  <c r="C23" i="32"/>
  <c r="S14" i="5" s="1"/>
  <c r="C22" i="32"/>
  <c r="C21" i="32"/>
  <c r="C20" i="32"/>
  <c r="C19" i="32"/>
  <c r="C18" i="32"/>
  <c r="C17" i="32"/>
  <c r="C16" i="32"/>
  <c r="C15" i="32"/>
  <c r="C14" i="32"/>
  <c r="S120" i="5"/>
  <c r="C12" i="32"/>
  <c r="C11" i="32"/>
  <c r="C10" i="32"/>
  <c r="T124" i="5"/>
  <c r="T123" i="5"/>
  <c r="T122" i="5"/>
  <c r="C9" i="32"/>
  <c r="E68" i="32"/>
  <c r="E13" i="32"/>
  <c r="D13" i="32"/>
  <c r="S118" i="5"/>
  <c r="V118" i="5" s="1"/>
  <c r="S114" i="5"/>
  <c r="S113" i="5"/>
  <c r="V113" i="5" s="1"/>
  <c r="S112" i="5"/>
  <c r="V112" i="5" s="1"/>
  <c r="S110" i="5"/>
  <c r="V110" i="5" s="1"/>
  <c r="T108" i="5"/>
  <c r="T107" i="5"/>
  <c r="T106" i="5"/>
  <c r="S105" i="5"/>
  <c r="V105" i="5" s="1"/>
  <c r="T103" i="5"/>
  <c r="S102" i="5"/>
  <c r="V102" i="5" s="1"/>
  <c r="T100" i="5"/>
  <c r="T95" i="5"/>
  <c r="T94" i="5"/>
  <c r="S93" i="5"/>
  <c r="V93" i="5" s="1"/>
  <c r="T92" i="5"/>
  <c r="T89" i="5"/>
  <c r="T88" i="5"/>
  <c r="T87" i="5"/>
  <c r="S85" i="5"/>
  <c r="V85" i="5" s="1"/>
  <c r="T84" i="5"/>
  <c r="S82" i="5"/>
  <c r="V82" i="5" s="1"/>
  <c r="S70" i="5"/>
  <c r="V70" i="5" s="1"/>
  <c r="T66" i="5"/>
  <c r="T65" i="5"/>
  <c r="T64" i="5"/>
  <c r="T63" i="5"/>
  <c r="T62" i="5"/>
  <c r="T61" i="5"/>
  <c r="S55" i="5"/>
  <c r="V55" i="5" s="1"/>
  <c r="S54" i="5"/>
  <c r="V54" i="5" s="1"/>
  <c r="T45" i="5"/>
  <c r="T43" i="5"/>
  <c r="T42" i="5"/>
  <c r="T41" i="5"/>
  <c r="T40" i="5"/>
  <c r="T39" i="5"/>
  <c r="S36" i="5"/>
  <c r="V36" i="5" s="1"/>
  <c r="S34" i="5"/>
  <c r="V34" i="5" s="1"/>
  <c r="S27" i="5"/>
  <c r="S25" i="5"/>
  <c r="S13" i="5"/>
  <c r="S9" i="5"/>
  <c r="S10" i="5" s="1"/>
  <c r="F152" i="31"/>
  <c r="C152" i="31"/>
  <c r="C27" i="31"/>
  <c r="S81" i="3"/>
  <c r="AU80" i="11" s="1"/>
  <c r="AX80" i="11" s="1"/>
  <c r="S170" i="3"/>
  <c r="AU160" i="11" s="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S110" i="3" s="1"/>
  <c r="C134" i="31"/>
  <c r="C133" i="31"/>
  <c r="S108" i="3" s="1"/>
  <c r="AU97" i="11" s="1"/>
  <c r="C132" i="31"/>
  <c r="S109" i="3" s="1"/>
  <c r="AU103" i="11" s="1"/>
  <c r="C131" i="31"/>
  <c r="C130" i="31"/>
  <c r="C129" i="31"/>
  <c r="C128" i="31"/>
  <c r="S139" i="3" s="1"/>
  <c r="AU121" i="11" s="1"/>
  <c r="C127" i="31"/>
  <c r="S122" i="3" s="1"/>
  <c r="V122" i="3" s="1"/>
  <c r="C126" i="31"/>
  <c r="S114" i="3" s="1"/>
  <c r="AU98" i="11" s="1"/>
  <c r="C125" i="31"/>
  <c r="S111" i="3" s="1"/>
  <c r="AU106" i="11" s="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S150" i="3" s="1"/>
  <c r="AU136" i="11" s="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AU155" i="11"/>
  <c r="S103" i="3"/>
  <c r="AU144" i="11" s="1"/>
  <c r="S102" i="3"/>
  <c r="S132" i="3"/>
  <c r="V132" i="3" s="1"/>
  <c r="S100" i="3"/>
  <c r="AU157" i="11" s="1"/>
  <c r="S75" i="3"/>
  <c r="AU158" i="11" s="1"/>
  <c r="C100" i="31"/>
  <c r="C99" i="31"/>
  <c r="C98" i="31"/>
  <c r="C97" i="31"/>
  <c r="C96" i="31"/>
  <c r="C95" i="31"/>
  <c r="C94" i="31"/>
  <c r="C93" i="31"/>
  <c r="C92" i="31"/>
  <c r="C91" i="31"/>
  <c r="C90" i="31"/>
  <c r="C89" i="31"/>
  <c r="S162" i="3" s="1"/>
  <c r="AU161" i="11" s="1"/>
  <c r="C88" i="31"/>
  <c r="C87" i="31"/>
  <c r="C86" i="31"/>
  <c r="C85" i="31"/>
  <c r="C84" i="31"/>
  <c r="C83" i="31"/>
  <c r="C82" i="31"/>
  <c r="C81" i="31"/>
  <c r="S155" i="3" s="1"/>
  <c r="V155" i="3" s="1"/>
  <c r="C80" i="31"/>
  <c r="C79" i="31"/>
  <c r="C78" i="31"/>
  <c r="C77" i="31"/>
  <c r="C76" i="31"/>
  <c r="C75" i="31"/>
  <c r="C74" i="31"/>
  <c r="C73" i="31"/>
  <c r="C72" i="31"/>
  <c r="S169" i="3" s="1"/>
  <c r="V169" i="3" s="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S56" i="3" s="1"/>
  <c r="AU57" i="11" s="1"/>
  <c r="AX57" i="11" s="1"/>
  <c r="BD57" i="11" s="1"/>
  <c r="C43" i="31"/>
  <c r="C42" i="31"/>
  <c r="C41" i="31"/>
  <c r="C40" i="31"/>
  <c r="C39" i="31"/>
  <c r="C38" i="31"/>
  <c r="C37" i="31"/>
  <c r="S68" i="3" s="1"/>
  <c r="AU61" i="11" s="1"/>
  <c r="C36" i="31"/>
  <c r="S65" i="3" s="1"/>
  <c r="C35" i="31"/>
  <c r="S67" i="3" s="1"/>
  <c r="AU69" i="11" s="1"/>
  <c r="C34" i="31"/>
  <c r="S63" i="3" s="1"/>
  <c r="AU53" i="11" s="1"/>
  <c r="C17" i="31"/>
  <c r="T12" i="3"/>
  <c r="S185" i="3"/>
  <c r="V185" i="3" s="1"/>
  <c r="C26" i="31"/>
  <c r="C25" i="31"/>
  <c r="C24" i="31"/>
  <c r="C23" i="31"/>
  <c r="C22" i="31"/>
  <c r="C21" i="31"/>
  <c r="C20" i="31"/>
  <c r="C19" i="31"/>
  <c r="C18" i="31"/>
  <c r="C16" i="31"/>
  <c r="C15" i="31"/>
  <c r="C14" i="31"/>
  <c r="C13" i="31"/>
  <c r="C12" i="31"/>
  <c r="T11" i="3"/>
  <c r="C11" i="31"/>
  <c r="C10" i="31"/>
  <c r="C9" i="31"/>
  <c r="C33" i="31"/>
  <c r="C32" i="31"/>
  <c r="C31" i="31"/>
  <c r="C30" i="31"/>
  <c r="C29" i="31"/>
  <c r="C28" i="31"/>
  <c r="S186" i="3"/>
  <c r="V186" i="3" s="1"/>
  <c r="S184" i="3"/>
  <c r="AU191" i="11" s="1"/>
  <c r="AX191" i="11" s="1"/>
  <c r="S182" i="3"/>
  <c r="V182" i="3" s="1"/>
  <c r="S181" i="3"/>
  <c r="AU186" i="11" s="1"/>
  <c r="S175" i="3"/>
  <c r="V175" i="3" s="1"/>
  <c r="T174" i="3"/>
  <c r="S173" i="3"/>
  <c r="AU172" i="11" s="1"/>
  <c r="S172" i="3"/>
  <c r="V172" i="3" s="1"/>
  <c r="S171" i="3"/>
  <c r="V171" i="3" s="1"/>
  <c r="T166" i="3"/>
  <c r="T164" i="3"/>
  <c r="T163" i="3"/>
  <c r="S161" i="3"/>
  <c r="AU137" i="11" s="1"/>
  <c r="S160" i="3"/>
  <c r="V160" i="3" s="1"/>
  <c r="S159" i="3"/>
  <c r="AU169" i="11" s="1"/>
  <c r="S158" i="3"/>
  <c r="V158" i="3" s="1"/>
  <c r="S154" i="3"/>
  <c r="AU140" i="11" s="1"/>
  <c r="S153" i="3"/>
  <c r="AU93" i="11" s="1"/>
  <c r="S152" i="3"/>
  <c r="V152" i="3" s="1"/>
  <c r="S151" i="3"/>
  <c r="AU139" i="11" s="1"/>
  <c r="S148" i="3"/>
  <c r="V148" i="3" s="1"/>
  <c r="S144" i="3"/>
  <c r="V144" i="3" s="1"/>
  <c r="S143" i="3"/>
  <c r="V143" i="3" s="1"/>
  <c r="S142" i="3"/>
  <c r="AU126" i="11" s="1"/>
  <c r="T138" i="3"/>
  <c r="S136" i="3"/>
  <c r="AU125" i="11" s="1"/>
  <c r="S80" i="3"/>
  <c r="V80" i="3" s="1"/>
  <c r="S79" i="3"/>
  <c r="V79" i="3" s="1"/>
  <c r="S76" i="3"/>
  <c r="AU124" i="11" s="1"/>
  <c r="S133" i="3"/>
  <c r="V133" i="3" s="1"/>
  <c r="S127" i="3"/>
  <c r="V127" i="3" s="1"/>
  <c r="S121" i="3"/>
  <c r="AU120" i="11" s="1"/>
  <c r="S120" i="3"/>
  <c r="S119" i="3"/>
  <c r="AU119" i="11" s="1"/>
  <c r="S118" i="3"/>
  <c r="AU100" i="11" s="1"/>
  <c r="S116" i="3"/>
  <c r="AU162" i="11" s="1"/>
  <c r="S107" i="3"/>
  <c r="AU96" i="11" s="1"/>
  <c r="S106" i="3"/>
  <c r="AU95" i="11" s="1"/>
  <c r="S105" i="3"/>
  <c r="AU94" i="11" s="1"/>
  <c r="S98" i="3"/>
  <c r="AU129" i="11" s="1"/>
  <c r="S96" i="3"/>
  <c r="AU128" i="11" s="1"/>
  <c r="S94" i="3"/>
  <c r="AU156" i="11" s="1"/>
  <c r="S92" i="3"/>
  <c r="V92" i="3" s="1"/>
  <c r="S91" i="3"/>
  <c r="V91" i="3" s="1"/>
  <c r="S90" i="3"/>
  <c r="AU89" i="11" s="1"/>
  <c r="S89" i="3"/>
  <c r="AU81" i="11" s="1"/>
  <c r="S88" i="3"/>
  <c r="AU87" i="11" s="1"/>
  <c r="S87" i="3"/>
  <c r="AU83" i="11" s="1"/>
  <c r="S86" i="3"/>
  <c r="V86" i="3" s="1"/>
  <c r="S61" i="3"/>
  <c r="AU67" i="11" s="1"/>
  <c r="S55" i="3"/>
  <c r="AU64" i="11" s="1"/>
  <c r="S54" i="3"/>
  <c r="AU55" i="11" s="1"/>
  <c r="AX55" i="11" s="1"/>
  <c r="BD55" i="11" s="1"/>
  <c r="S52" i="3"/>
  <c r="V52" i="3" s="1"/>
  <c r="S44" i="3"/>
  <c r="S43" i="3"/>
  <c r="S40" i="3"/>
  <c r="S41" i="3" s="1"/>
  <c r="AU41" i="11" s="1"/>
  <c r="AX41" i="11" s="1"/>
  <c r="BD41" i="11" s="1"/>
  <c r="S35" i="3"/>
  <c r="V35" i="3" s="1"/>
  <c r="S33" i="3"/>
  <c r="V33" i="3" s="1"/>
  <c r="T32" i="3"/>
  <c r="T27" i="3"/>
  <c r="T26" i="3"/>
  <c r="T24" i="3"/>
  <c r="T23" i="3"/>
  <c r="S22" i="3"/>
  <c r="AU21" i="11" s="1"/>
  <c r="S20" i="3"/>
  <c r="S17" i="3"/>
  <c r="AU17" i="11" s="1"/>
  <c r="S16" i="3"/>
  <c r="V16" i="3" s="1"/>
  <c r="S15" i="3"/>
  <c r="AU13" i="11" s="1"/>
  <c r="S13" i="3"/>
  <c r="AU9" i="11" s="1"/>
  <c r="S10" i="3"/>
  <c r="V10" i="3" s="1"/>
  <c r="S9" i="3"/>
  <c r="AU15" i="11" s="1"/>
  <c r="AX15" i="11" s="1"/>
  <c r="BD15" i="11" s="1"/>
  <c r="T151" i="5"/>
  <c r="S151" i="5"/>
  <c r="T139" i="5"/>
  <c r="S139" i="5"/>
  <c r="T128" i="5"/>
  <c r="T127" i="5"/>
  <c r="T126" i="5"/>
  <c r="T125" i="5"/>
  <c r="T120" i="5"/>
  <c r="T119" i="5"/>
  <c r="T117" i="5"/>
  <c r="T116" i="5"/>
  <c r="T111" i="5"/>
  <c r="T109" i="5"/>
  <c r="T97" i="5"/>
  <c r="T90" i="5"/>
  <c r="T76" i="5"/>
  <c r="T75" i="5"/>
  <c r="T74" i="5"/>
  <c r="T72" i="5"/>
  <c r="T69" i="5"/>
  <c r="T56" i="5"/>
  <c r="T52" i="5"/>
  <c r="T28" i="5"/>
  <c r="T19" i="5"/>
  <c r="S19" i="5"/>
  <c r="AV224" i="11"/>
  <c r="AU224" i="11"/>
  <c r="AW180" i="11"/>
  <c r="AX165" i="11"/>
  <c r="BD165" i="11" s="1"/>
  <c r="AY122" i="11"/>
  <c r="AY121" i="11"/>
  <c r="AY120" i="11"/>
  <c r="AY119" i="11"/>
  <c r="AY118" i="11"/>
  <c r="AY117" i="11"/>
  <c r="AY116" i="11"/>
  <c r="AY115" i="11"/>
  <c r="AY114" i="11"/>
  <c r="AY113" i="11"/>
  <c r="AY112" i="11"/>
  <c r="AY111" i="11"/>
  <c r="AY110" i="11"/>
  <c r="AY109" i="11"/>
  <c r="AY108" i="11"/>
  <c r="AY107" i="11"/>
  <c r="AY106" i="11"/>
  <c r="AY105" i="11"/>
  <c r="AY104" i="11"/>
  <c r="AY103" i="11"/>
  <c r="AY102" i="11"/>
  <c r="AY101" i="11"/>
  <c r="AY100" i="11"/>
  <c r="AY99" i="11"/>
  <c r="AY98" i="11"/>
  <c r="AY97" i="11"/>
  <c r="AY96" i="11"/>
  <c r="AY95" i="11"/>
  <c r="AY94" i="11"/>
  <c r="AY53" i="11"/>
  <c r="AY24" i="11"/>
  <c r="T200" i="3"/>
  <c r="S200" i="3"/>
  <c r="T187" i="3"/>
  <c r="T183" i="3"/>
  <c r="T167" i="3"/>
  <c r="T134" i="3"/>
  <c r="T101" i="3"/>
  <c r="T66" i="3"/>
  <c r="T64" i="3"/>
  <c r="T62" i="3"/>
  <c r="S50" i="3"/>
  <c r="V50" i="3" s="1"/>
  <c r="T34" i="3"/>
  <c r="C43" i="30"/>
  <c r="B12" i="30"/>
  <c r="B14" i="30"/>
  <c r="B13" i="30"/>
  <c r="B11" i="30"/>
  <c r="Q156" i="3"/>
  <c r="Q146" i="3"/>
  <c r="Q82" i="3"/>
  <c r="AX190" i="11" l="1"/>
  <c r="AY11" i="11"/>
  <c r="BD11" i="11"/>
  <c r="AY12" i="11"/>
  <c r="BD12" i="11"/>
  <c r="AY80" i="11"/>
  <c r="BD80" i="11"/>
  <c r="AV160" i="11"/>
  <c r="AX160" i="11" s="1"/>
  <c r="BD160" i="11" s="1"/>
  <c r="AV117" i="11"/>
  <c r="T114" i="5"/>
  <c r="V114" i="5"/>
  <c r="V129" i="5"/>
  <c r="V131" i="5" s="1"/>
  <c r="V141" i="5" s="1"/>
  <c r="AV119" i="11"/>
  <c r="AV136" i="11"/>
  <c r="AV151" i="11"/>
  <c r="AV152" i="11"/>
  <c r="AV169" i="11"/>
  <c r="AV148" i="11"/>
  <c r="AV108" i="11"/>
  <c r="AV154" i="11"/>
  <c r="T101" i="5"/>
  <c r="V101" i="5"/>
  <c r="AV94" i="11"/>
  <c r="AV129" i="11"/>
  <c r="AV97" i="11"/>
  <c r="V60" i="5"/>
  <c r="AV95" i="11"/>
  <c r="AV126" i="11"/>
  <c r="AV142" i="11"/>
  <c r="AV174" i="11"/>
  <c r="AU187" i="11"/>
  <c r="AX187" i="11" s="1"/>
  <c r="BD187" i="11" s="1"/>
  <c r="AU194" i="11"/>
  <c r="AX194" i="11" s="1"/>
  <c r="BD194" i="11" s="1"/>
  <c r="AU79" i="11"/>
  <c r="AX79" i="11" s="1"/>
  <c r="BD79" i="11" s="1"/>
  <c r="AU113" i="11"/>
  <c r="AU150" i="11"/>
  <c r="AX150" i="11" s="1"/>
  <c r="BD150" i="11" s="1"/>
  <c r="AU178" i="11"/>
  <c r="AU117" i="11"/>
  <c r="AU145" i="11"/>
  <c r="AX145" i="11" s="1"/>
  <c r="BD145" i="11" s="1"/>
  <c r="AU134" i="11"/>
  <c r="AU173" i="11"/>
  <c r="AX173" i="11" s="1"/>
  <c r="BD173" i="11" s="1"/>
  <c r="AU135" i="11"/>
  <c r="AU105" i="11"/>
  <c r="AU34" i="11"/>
  <c r="AX34" i="11" s="1"/>
  <c r="BD34" i="11" s="1"/>
  <c r="AU152" i="11"/>
  <c r="AU14" i="11"/>
  <c r="AX14" i="11" s="1"/>
  <c r="BD14" i="11" s="1"/>
  <c r="AU40" i="11"/>
  <c r="AX40" i="11" s="1"/>
  <c r="BD40" i="11" s="1"/>
  <c r="AU163" i="11"/>
  <c r="AX163" i="11" s="1"/>
  <c r="BD163" i="11" s="1"/>
  <c r="AU175" i="11"/>
  <c r="AX175" i="11" s="1"/>
  <c r="BD175" i="11" s="1"/>
  <c r="T81" i="3"/>
  <c r="V81" i="3"/>
  <c r="AU118" i="11"/>
  <c r="AU174" i="11"/>
  <c r="AU36" i="11"/>
  <c r="AU16" i="11"/>
  <c r="AX16" i="11" s="1"/>
  <c r="BD16" i="11" s="1"/>
  <c r="AU192" i="11"/>
  <c r="AX192" i="11" s="1"/>
  <c r="BD192" i="11" s="1"/>
  <c r="T162" i="3"/>
  <c r="V162" i="3"/>
  <c r="AU164" i="11"/>
  <c r="AU159" i="11"/>
  <c r="V157" i="3"/>
  <c r="AU88" i="11"/>
  <c r="AX88" i="11" s="1"/>
  <c r="BD88" i="11" s="1"/>
  <c r="T170" i="3"/>
  <c r="V170" i="3"/>
  <c r="AU109" i="11"/>
  <c r="AX185" i="11"/>
  <c r="AX91" i="11"/>
  <c r="BD91" i="11" s="1"/>
  <c r="AX141" i="11"/>
  <c r="BD141" i="11" s="1"/>
  <c r="AX27" i="11"/>
  <c r="BD27" i="11" s="1"/>
  <c r="AX168" i="11"/>
  <c r="BD168" i="11" s="1"/>
  <c r="AX125" i="11"/>
  <c r="BD125" i="11" s="1"/>
  <c r="AX153" i="11"/>
  <c r="BD153" i="11" s="1"/>
  <c r="AX126" i="11"/>
  <c r="BD126" i="11" s="1"/>
  <c r="AX146" i="11"/>
  <c r="BD146" i="11" s="1"/>
  <c r="C68" i="32"/>
  <c r="D68" i="32" s="1"/>
  <c r="S115" i="5"/>
  <c r="AX42" i="11"/>
  <c r="BD42" i="11" s="1"/>
  <c r="S45" i="3"/>
  <c r="S15" i="5"/>
  <c r="S16" i="5" s="1"/>
  <c r="S20" i="5" s="1"/>
  <c r="C14" i="30"/>
  <c r="Q85" i="3"/>
  <c r="Q70" i="3" s="1"/>
  <c r="Q127" i="3"/>
  <c r="T127" i="3" s="1"/>
  <c r="T31" i="3"/>
  <c r="Q21" i="3"/>
  <c r="S129" i="5" l="1"/>
  <c r="V115" i="5"/>
  <c r="AV137" i="11"/>
  <c r="AX174" i="11"/>
  <c r="BD174" i="11" s="1"/>
  <c r="V153" i="5"/>
  <c r="AV198" i="11"/>
  <c r="AX123" i="11"/>
  <c r="BD123" i="11" s="1"/>
  <c r="AU46" i="11"/>
  <c r="S131" i="5"/>
  <c r="T85" i="3"/>
  <c r="S30" i="5"/>
  <c r="S31" i="5" s="1"/>
  <c r="T70" i="3"/>
  <c r="Q42" i="3"/>
  <c r="T42" i="3" s="1"/>
  <c r="Q39" i="3"/>
  <c r="T39" i="3" s="1"/>
  <c r="Q82" i="5"/>
  <c r="T82" i="5" s="1"/>
  <c r="T27" i="5"/>
  <c r="T25" i="5"/>
  <c r="T29" i="5" s="1"/>
  <c r="Q14" i="3"/>
  <c r="Q135" i="3"/>
  <c r="Q149" i="3"/>
  <c r="Q168" i="3"/>
  <c r="Q97" i="3"/>
  <c r="Q145" i="3"/>
  <c r="T145" i="3" s="1"/>
  <c r="Q93" i="3"/>
  <c r="T93" i="3" s="1"/>
  <c r="Q104" i="3"/>
  <c r="T104" i="3" s="1"/>
  <c r="Q131" i="3"/>
  <c r="T131" i="3" s="1"/>
  <c r="Q140" i="3"/>
  <c r="Q141" i="3"/>
  <c r="T141" i="3" s="1"/>
  <c r="L13" i="14"/>
  <c r="L12" i="14"/>
  <c r="L11" i="14"/>
  <c r="L10" i="14"/>
  <c r="L9" i="14"/>
  <c r="L8" i="14"/>
  <c r="L7" i="14"/>
  <c r="L6" i="14"/>
  <c r="L5" i="14"/>
  <c r="L4" i="14"/>
  <c r="L3" i="14"/>
  <c r="Q165" i="3"/>
  <c r="T165" i="3" s="1"/>
  <c r="Q113" i="3"/>
  <c r="Q112" i="3"/>
  <c r="Q115" i="3"/>
  <c r="T115" i="3" s="1"/>
  <c r="Q157" i="3"/>
  <c r="T157" i="3" s="1"/>
  <c r="Q128" i="3"/>
  <c r="Q123" i="3"/>
  <c r="Q126" i="3"/>
  <c r="Q125" i="3"/>
  <c r="Q124" i="3"/>
  <c r="Q119" i="3"/>
  <c r="Q147" i="3"/>
  <c r="Q69" i="3"/>
  <c r="Q103" i="3"/>
  <c r="Q75" i="3"/>
  <c r="Q129" i="3"/>
  <c r="Q130" i="3"/>
  <c r="Q99" i="3"/>
  <c r="Q53" i="3"/>
  <c r="Q95" i="3"/>
  <c r="Q59" i="3"/>
  <c r="T59" i="3" s="1"/>
  <c r="Q57" i="3"/>
  <c r="Q77" i="3"/>
  <c r="V160" i="5" l="1"/>
  <c r="V155" i="5"/>
  <c r="V161" i="5" s="1"/>
  <c r="V157" i="5"/>
  <c r="S141" i="5"/>
  <c r="V143" i="5" s="1"/>
  <c r="AP176" i="11"/>
  <c r="Q121" i="5"/>
  <c r="T121" i="5" s="1"/>
  <c r="Q37" i="5"/>
  <c r="T37" i="5" s="1"/>
  <c r="Q83" i="5"/>
  <c r="Q79" i="5"/>
  <c r="T79" i="5" s="1"/>
  <c r="Q80" i="5"/>
  <c r="T80" i="5" s="1"/>
  <c r="Q81" i="5"/>
  <c r="Q78" i="5"/>
  <c r="Q73" i="5"/>
  <c r="T73" i="5" s="1"/>
  <c r="AP24" i="11"/>
  <c r="AP23" i="11"/>
  <c r="AQ191" i="11"/>
  <c r="AQ190" i="11"/>
  <c r="AP190" i="11"/>
  <c r="AQ189" i="11"/>
  <c r="AP189" i="11"/>
  <c r="AQ187" i="11"/>
  <c r="AQ186" i="11"/>
  <c r="AQ185" i="11"/>
  <c r="AP185" i="11"/>
  <c r="AQ179" i="11"/>
  <c r="AP179" i="11"/>
  <c r="AQ178" i="11"/>
  <c r="AQ177" i="11"/>
  <c r="AP177" i="11"/>
  <c r="AQ173" i="11"/>
  <c r="AQ172" i="11"/>
  <c r="AQ171" i="11"/>
  <c r="AP171" i="11"/>
  <c r="AQ168" i="11"/>
  <c r="AQ167" i="11"/>
  <c r="AQ166" i="11"/>
  <c r="AP166" i="11"/>
  <c r="AQ164" i="11"/>
  <c r="AQ161" i="11"/>
  <c r="AP161" i="11"/>
  <c r="AQ159" i="11"/>
  <c r="AP159" i="11"/>
  <c r="AP158" i="11"/>
  <c r="AQ156" i="11"/>
  <c r="AQ153" i="11"/>
  <c r="AP153" i="11"/>
  <c r="AP149" i="11"/>
  <c r="AP148" i="11"/>
  <c r="AQ146" i="11"/>
  <c r="AP146" i="11"/>
  <c r="AP144" i="11"/>
  <c r="AQ140" i="11"/>
  <c r="AQ139" i="11"/>
  <c r="AQ138" i="11"/>
  <c r="AQ135" i="11"/>
  <c r="AQ134" i="11"/>
  <c r="AP133" i="11"/>
  <c r="AQ125" i="11"/>
  <c r="AQ124" i="11"/>
  <c r="AQ122" i="11"/>
  <c r="AP122" i="11"/>
  <c r="AQ121" i="11"/>
  <c r="AQ120" i="11"/>
  <c r="AQ118" i="11"/>
  <c r="AP116" i="11"/>
  <c r="AP115" i="11"/>
  <c r="AP114" i="11"/>
  <c r="AQ113" i="11"/>
  <c r="AP113" i="11"/>
  <c r="AQ112" i="11"/>
  <c r="AQ111" i="11"/>
  <c r="AQ110" i="11"/>
  <c r="AQ109" i="11"/>
  <c r="AQ107" i="11"/>
  <c r="AQ106" i="11"/>
  <c r="AQ105" i="11"/>
  <c r="AQ104" i="11"/>
  <c r="AQ103" i="11"/>
  <c r="AQ102" i="11"/>
  <c r="AQ101" i="11"/>
  <c r="AQ100" i="11"/>
  <c r="AQ93" i="11"/>
  <c r="AQ89" i="11"/>
  <c r="AP86" i="11"/>
  <c r="AP82" i="11"/>
  <c r="AQ81" i="11"/>
  <c r="AP78" i="11"/>
  <c r="AQ71" i="11"/>
  <c r="AP71" i="11"/>
  <c r="AP62" i="11"/>
  <c r="AP58" i="11"/>
  <c r="AQ54" i="11"/>
  <c r="AP54" i="11"/>
  <c r="AQ51" i="11"/>
  <c r="AP43" i="11"/>
  <c r="AQ42" i="11"/>
  <c r="AP42" i="11"/>
  <c r="AP35" i="11"/>
  <c r="AP22" i="11"/>
  <c r="C148" i="28"/>
  <c r="C147" i="28"/>
  <c r="C146" i="28"/>
  <c r="C145" i="28"/>
  <c r="C144" i="28"/>
  <c r="C143" i="28"/>
  <c r="C142" i="28"/>
  <c r="AP110" i="11" s="1"/>
  <c r="C141" i="28"/>
  <c r="C140" i="28"/>
  <c r="C139" i="28"/>
  <c r="C138" i="28"/>
  <c r="C137" i="28"/>
  <c r="C136" i="28"/>
  <c r="C135" i="28"/>
  <c r="C134" i="28"/>
  <c r="C133" i="28"/>
  <c r="AP111" i="11" s="1"/>
  <c r="C132" i="28"/>
  <c r="C131" i="28"/>
  <c r="C130" i="28"/>
  <c r="C129" i="28"/>
  <c r="Q108" i="3" s="1"/>
  <c r="AP97" i="11" s="1"/>
  <c r="C128" i="28"/>
  <c r="Q109" i="3" s="1"/>
  <c r="AP103" i="11" s="1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Q171" i="3"/>
  <c r="AP174" i="11" s="1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Q152" i="3" s="1"/>
  <c r="T152" i="3" s="1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Q169" i="3" s="1"/>
  <c r="C69" i="28"/>
  <c r="C68" i="28"/>
  <c r="C67" i="28"/>
  <c r="C66" i="28"/>
  <c r="C65" i="28"/>
  <c r="C64" i="28"/>
  <c r="Q35" i="3"/>
  <c r="Q22" i="3"/>
  <c r="AP21" i="11" s="1"/>
  <c r="Q20" i="3"/>
  <c r="AP33" i="11" s="1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Q86" i="3" s="1"/>
  <c r="C49" i="28"/>
  <c r="Q78" i="3" s="1"/>
  <c r="AP92" i="11" s="1"/>
  <c r="C48" i="28"/>
  <c r="C47" i="28"/>
  <c r="C46" i="28"/>
  <c r="C45" i="28"/>
  <c r="C44" i="28"/>
  <c r="C43" i="28"/>
  <c r="C42" i="28"/>
  <c r="C41" i="28"/>
  <c r="C40" i="28"/>
  <c r="C39" i="28"/>
  <c r="C38" i="28"/>
  <c r="C37" i="28"/>
  <c r="Q54" i="3" s="1"/>
  <c r="AP55" i="11" s="1"/>
  <c r="C36" i="28"/>
  <c r="C35" i="28"/>
  <c r="C34" i="28"/>
  <c r="C33" i="28"/>
  <c r="Q186" i="3"/>
  <c r="Q185" i="3"/>
  <c r="T185" i="3" s="1"/>
  <c r="C25" i="28"/>
  <c r="C24" i="28"/>
  <c r="C23" i="28"/>
  <c r="C22" i="28"/>
  <c r="C21" i="28"/>
  <c r="C20" i="28"/>
  <c r="C19" i="28"/>
  <c r="C18" i="28"/>
  <c r="C17" i="28"/>
  <c r="C16" i="28"/>
  <c r="Q16" i="3" s="1"/>
  <c r="C15" i="28"/>
  <c r="C14" i="28"/>
  <c r="Q13" i="3" s="1"/>
  <c r="AP9" i="11" s="1"/>
  <c r="C13" i="28"/>
  <c r="AP10" i="11" s="1"/>
  <c r="C12" i="28"/>
  <c r="Q15" i="3" s="1"/>
  <c r="AP13" i="11" s="1"/>
  <c r="C11" i="28"/>
  <c r="Q10" i="3" s="1"/>
  <c r="C10" i="28"/>
  <c r="Q9" i="3" s="1"/>
  <c r="AP15" i="11" s="1"/>
  <c r="C32" i="28"/>
  <c r="C31" i="28"/>
  <c r="C30" i="28"/>
  <c r="C29" i="28"/>
  <c r="C28" i="28"/>
  <c r="C27" i="28"/>
  <c r="Q184" i="3"/>
  <c r="AP191" i="11" s="1"/>
  <c r="Q182" i="3"/>
  <c r="Q181" i="3"/>
  <c r="AP186" i="11" s="1"/>
  <c r="Q175" i="3"/>
  <c r="Q173" i="3"/>
  <c r="AP172" i="11" s="1"/>
  <c r="Q172" i="3"/>
  <c r="AP167" i="11"/>
  <c r="Q161" i="3"/>
  <c r="AP137" i="11" s="1"/>
  <c r="Q160" i="3"/>
  <c r="Q159" i="3"/>
  <c r="AP169" i="11" s="1"/>
  <c r="Q158" i="3"/>
  <c r="Q155" i="3"/>
  <c r="T155" i="3" s="1"/>
  <c r="Q154" i="3"/>
  <c r="AP140" i="11" s="1"/>
  <c r="Q153" i="3"/>
  <c r="AP93" i="11" s="1"/>
  <c r="Q151" i="3"/>
  <c r="AP139" i="11" s="1"/>
  <c r="Q150" i="3"/>
  <c r="AP136" i="11" s="1"/>
  <c r="Q148" i="3"/>
  <c r="Q144" i="3"/>
  <c r="Q143" i="3"/>
  <c r="Q142" i="3"/>
  <c r="AP126" i="11" s="1"/>
  <c r="AP138" i="11"/>
  <c r="AP147" i="11"/>
  <c r="Q139" i="3"/>
  <c r="AP121" i="11" s="1"/>
  <c r="Q137" i="3"/>
  <c r="AP155" i="11" s="1"/>
  <c r="Q136" i="3"/>
  <c r="AP125" i="11" s="1"/>
  <c r="AP154" i="11"/>
  <c r="Q133" i="3"/>
  <c r="Q132" i="3"/>
  <c r="AP131" i="11"/>
  <c r="AP112" i="11"/>
  <c r="Q122" i="3"/>
  <c r="Q121" i="3"/>
  <c r="AP120" i="11" s="1"/>
  <c r="Q120" i="3"/>
  <c r="AP101" i="11" s="1"/>
  <c r="AP119" i="11"/>
  <c r="Q118" i="3"/>
  <c r="AP100" i="11" s="1"/>
  <c r="Q117" i="3"/>
  <c r="Q116" i="3"/>
  <c r="AP162" i="11" s="1"/>
  <c r="Q114" i="3"/>
  <c r="AP98" i="11" s="1"/>
  <c r="AP108" i="11"/>
  <c r="AP107" i="11"/>
  <c r="Q111" i="3"/>
  <c r="AP106" i="11" s="1"/>
  <c r="Q110" i="3"/>
  <c r="AP104" i="11" s="1"/>
  <c r="Q107" i="3"/>
  <c r="AP96" i="11" s="1"/>
  <c r="Q106" i="3"/>
  <c r="AP95" i="11" s="1"/>
  <c r="Q105" i="3"/>
  <c r="AP94" i="11" s="1"/>
  <c r="AP143" i="11"/>
  <c r="Q102" i="3"/>
  <c r="AP151" i="11" s="1"/>
  <c r="Q100" i="3"/>
  <c r="AP157" i="11" s="1"/>
  <c r="AP130" i="11"/>
  <c r="Q98" i="3"/>
  <c r="AP129" i="11" s="1"/>
  <c r="Q96" i="3"/>
  <c r="AP128" i="11" s="1"/>
  <c r="AP127" i="11"/>
  <c r="Q94" i="3"/>
  <c r="AP156" i="11" s="1"/>
  <c r="AP142" i="11"/>
  <c r="Q92" i="3"/>
  <c r="T92" i="3" s="1"/>
  <c r="Q91" i="3"/>
  <c r="T91" i="3" s="1"/>
  <c r="Q90" i="3"/>
  <c r="AP89" i="11" s="1"/>
  <c r="Q89" i="3"/>
  <c r="AP81" i="11" s="1"/>
  <c r="Q88" i="3"/>
  <c r="AP87" i="11" s="1"/>
  <c r="Q87" i="3"/>
  <c r="AP83" i="11" s="1"/>
  <c r="Q83" i="3"/>
  <c r="AP84" i="11" s="1"/>
  <c r="Q80" i="3"/>
  <c r="T80" i="3" s="1"/>
  <c r="Q79" i="3"/>
  <c r="Q76" i="3"/>
  <c r="AP124" i="11" s="1"/>
  <c r="AP70" i="11"/>
  <c r="Q68" i="3"/>
  <c r="AP61" i="11" s="1"/>
  <c r="Q67" i="3"/>
  <c r="AP69" i="11" s="1"/>
  <c r="Q65" i="3"/>
  <c r="AP68" i="11" s="1"/>
  <c r="Q63" i="3"/>
  <c r="AP53" i="11" s="1"/>
  <c r="Q61" i="3"/>
  <c r="AP67" i="11" s="1"/>
  <c r="Q60" i="3"/>
  <c r="AP59" i="11" s="1"/>
  <c r="AP60" i="11"/>
  <c r="Q58" i="3"/>
  <c r="AP66" i="11" s="1"/>
  <c r="AP65" i="11"/>
  <c r="Q56" i="3"/>
  <c r="AP57" i="11" s="1"/>
  <c r="Q55" i="3"/>
  <c r="AP64" i="11" s="1"/>
  <c r="Q52" i="3"/>
  <c r="Q44" i="3"/>
  <c r="AP45" i="11" s="1"/>
  <c r="Q43" i="3"/>
  <c r="AP44" i="11" s="1"/>
  <c r="Q40" i="3"/>
  <c r="Q41" i="3" s="1"/>
  <c r="AP41" i="11" s="1"/>
  <c r="Q33" i="3"/>
  <c r="T33" i="3" s="1"/>
  <c r="Q17" i="3"/>
  <c r="AP17" i="11" s="1"/>
  <c r="C11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Q77" i="5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R28" i="5"/>
  <c r="R27" i="5"/>
  <c r="Q13" i="5"/>
  <c r="Q14" i="5"/>
  <c r="C12" i="29"/>
  <c r="C10" i="29"/>
  <c r="C9" i="29"/>
  <c r="S153" i="5" l="1"/>
  <c r="S157" i="5" s="1"/>
  <c r="C8" i="32"/>
  <c r="AV232" i="11"/>
  <c r="AQ21" i="11"/>
  <c r="T14" i="5"/>
  <c r="AQ90" i="11"/>
  <c r="AQ22" i="11"/>
  <c r="T13" i="5"/>
  <c r="T15" i="5" s="1"/>
  <c r="AQ114" i="11"/>
  <c r="T83" i="5"/>
  <c r="AQ119" i="11"/>
  <c r="AQ132" i="11"/>
  <c r="T78" i="5"/>
  <c r="AQ131" i="11"/>
  <c r="T81" i="5"/>
  <c r="R77" i="5"/>
  <c r="T77" i="5"/>
  <c r="AP134" i="11"/>
  <c r="AP118" i="11"/>
  <c r="T172" i="3"/>
  <c r="AP178" i="11"/>
  <c r="T175" i="3"/>
  <c r="AP105" i="11"/>
  <c r="T133" i="3"/>
  <c r="AP163" i="11"/>
  <c r="T144" i="3"/>
  <c r="AP79" i="11"/>
  <c r="R186" i="3"/>
  <c r="T186" i="3"/>
  <c r="AP175" i="11"/>
  <c r="T169" i="3"/>
  <c r="AP88" i="11"/>
  <c r="T79" i="3"/>
  <c r="AP36" i="11"/>
  <c r="T35" i="3"/>
  <c r="AP90" i="11"/>
  <c r="T86" i="3"/>
  <c r="AP187" i="11"/>
  <c r="T182" i="3"/>
  <c r="R171" i="3"/>
  <c r="T171" i="3"/>
  <c r="AP34" i="11"/>
  <c r="AP168" i="11"/>
  <c r="AP117" i="11"/>
  <c r="T143" i="3"/>
  <c r="AP52" i="11"/>
  <c r="T52" i="3"/>
  <c r="AP14" i="11"/>
  <c r="T10" i="3"/>
  <c r="AP40" i="11"/>
  <c r="AP145" i="11"/>
  <c r="AP192" i="11"/>
  <c r="AP109" i="11"/>
  <c r="T122" i="3"/>
  <c r="AP152" i="11"/>
  <c r="T158" i="3"/>
  <c r="AP194" i="11"/>
  <c r="AS194" i="11" s="1"/>
  <c r="AT194" i="11" s="1"/>
  <c r="AP150" i="11"/>
  <c r="T148" i="3"/>
  <c r="AP164" i="11"/>
  <c r="T160" i="3"/>
  <c r="AP173" i="11"/>
  <c r="AP135" i="11"/>
  <c r="T132" i="3"/>
  <c r="AP16" i="11"/>
  <c r="T16" i="3"/>
  <c r="AQ160" i="11"/>
  <c r="AS160" i="11" s="1"/>
  <c r="AP132" i="11"/>
  <c r="AP102" i="11"/>
  <c r="AQ195" i="11"/>
  <c r="AP99" i="11"/>
  <c r="Q29" i="5"/>
  <c r="E63" i="29"/>
  <c r="Q118" i="5"/>
  <c r="Q115" i="5"/>
  <c r="Q113" i="5"/>
  <c r="Q112" i="5"/>
  <c r="T112" i="5" s="1"/>
  <c r="Q110" i="5"/>
  <c r="Q105" i="5"/>
  <c r="Q104" i="5"/>
  <c r="Q102" i="5"/>
  <c r="Q99" i="5"/>
  <c r="Q98" i="5"/>
  <c r="Q96" i="5"/>
  <c r="Q93" i="5"/>
  <c r="Q91" i="5"/>
  <c r="Q86" i="5"/>
  <c r="Q85" i="5"/>
  <c r="Q71" i="5"/>
  <c r="Q70" i="5"/>
  <c r="Q68" i="5"/>
  <c r="Q67" i="5"/>
  <c r="Q60" i="5"/>
  <c r="Q59" i="5"/>
  <c r="Q58" i="5"/>
  <c r="Q57" i="5"/>
  <c r="Q55" i="5"/>
  <c r="Q54" i="5"/>
  <c r="Q53" i="5"/>
  <c r="Q51" i="5"/>
  <c r="Q50" i="5"/>
  <c r="Q49" i="5"/>
  <c r="Q48" i="5"/>
  <c r="Q47" i="5"/>
  <c r="Q46" i="5"/>
  <c r="Q44" i="5"/>
  <c r="Q38" i="5"/>
  <c r="Q36" i="5"/>
  <c r="Q35" i="5"/>
  <c r="Q34" i="5"/>
  <c r="Q33" i="5"/>
  <c r="Q9" i="5"/>
  <c r="S160" i="5" l="1"/>
  <c r="S155" i="5"/>
  <c r="S161" i="5" s="1"/>
  <c r="AQ18" i="11"/>
  <c r="T9" i="5"/>
  <c r="T10" i="5" s="1"/>
  <c r="T16" i="5" s="1"/>
  <c r="T20" i="5" s="1"/>
  <c r="T30" i="5" s="1"/>
  <c r="T31" i="5" s="1"/>
  <c r="AQ176" i="11"/>
  <c r="T110" i="5"/>
  <c r="AQ151" i="11"/>
  <c r="T53" i="5"/>
  <c r="AQ94" i="11"/>
  <c r="T57" i="5"/>
  <c r="AQ108" i="11"/>
  <c r="T67" i="5"/>
  <c r="AQ144" i="11"/>
  <c r="T54" i="5"/>
  <c r="AQ158" i="11"/>
  <c r="T33" i="5"/>
  <c r="AQ149" i="11"/>
  <c r="T104" i="5"/>
  <c r="AQ96" i="11"/>
  <c r="T59" i="5"/>
  <c r="AQ130" i="11"/>
  <c r="T50" i="5"/>
  <c r="AQ136" i="11"/>
  <c r="T105" i="5"/>
  <c r="AQ143" i="11"/>
  <c r="T55" i="5"/>
  <c r="AQ137" i="11"/>
  <c r="T115" i="5"/>
  <c r="AQ82" i="11"/>
  <c r="T36" i="5"/>
  <c r="AQ116" i="11"/>
  <c r="T86" i="5"/>
  <c r="AQ155" i="11"/>
  <c r="T93" i="5"/>
  <c r="AQ95" i="11"/>
  <c r="T58" i="5"/>
  <c r="AQ97" i="11"/>
  <c r="T60" i="5"/>
  <c r="AQ162" i="11"/>
  <c r="T70" i="5"/>
  <c r="AQ92" i="11"/>
  <c r="T35" i="5"/>
  <c r="AQ154" i="11"/>
  <c r="T91" i="5"/>
  <c r="AQ128" i="11"/>
  <c r="T47" i="5"/>
  <c r="AQ147" i="11"/>
  <c r="T96" i="5"/>
  <c r="AQ148" i="11"/>
  <c r="T102" i="5"/>
  <c r="AQ157" i="11"/>
  <c r="T51" i="5"/>
  <c r="AQ169" i="11"/>
  <c r="T113" i="5"/>
  <c r="AQ174" i="11"/>
  <c r="AS174" i="11" s="1"/>
  <c r="AY174" i="11" s="1"/>
  <c r="T118" i="5"/>
  <c r="AQ98" i="11"/>
  <c r="T68" i="5"/>
  <c r="AQ78" i="11"/>
  <c r="T34" i="5"/>
  <c r="AQ99" i="11"/>
  <c r="T71" i="5"/>
  <c r="AQ115" i="11"/>
  <c r="T85" i="5"/>
  <c r="AQ87" i="11"/>
  <c r="T38" i="5"/>
  <c r="AQ142" i="11"/>
  <c r="T44" i="5"/>
  <c r="AQ127" i="11"/>
  <c r="T46" i="5"/>
  <c r="AQ133" i="11"/>
  <c r="T48" i="5"/>
  <c r="AQ126" i="11"/>
  <c r="T98" i="5"/>
  <c r="AQ129" i="11"/>
  <c r="T49" i="5"/>
  <c r="AQ117" i="11"/>
  <c r="T99" i="5"/>
  <c r="AP195" i="11"/>
  <c r="AY194" i="11"/>
  <c r="AT160" i="11"/>
  <c r="AY160" i="11"/>
  <c r="AQ152" i="11"/>
  <c r="Q18" i="3"/>
  <c r="AQ224" i="11"/>
  <c r="AP224" i="11"/>
  <c r="AS193" i="11"/>
  <c r="AY193" i="11" s="1"/>
  <c r="AS192" i="11"/>
  <c r="AS188" i="11"/>
  <c r="AY188" i="11" s="1"/>
  <c r="AR180" i="11"/>
  <c r="AS175" i="11"/>
  <c r="AS170" i="11"/>
  <c r="AY170" i="11" s="1"/>
  <c r="AS168" i="11"/>
  <c r="AY168" i="11" s="1"/>
  <c r="AS165" i="11"/>
  <c r="AY165" i="11" s="1"/>
  <c r="AS163" i="11"/>
  <c r="AY163" i="11" s="1"/>
  <c r="AS150" i="11"/>
  <c r="AY150" i="11" s="1"/>
  <c r="AS145" i="11"/>
  <c r="AY145" i="11" s="1"/>
  <c r="AS141" i="11"/>
  <c r="AY141" i="11" s="1"/>
  <c r="AT122" i="11"/>
  <c r="AT121" i="11"/>
  <c r="AT120" i="11"/>
  <c r="AT119" i="11"/>
  <c r="AT118" i="11"/>
  <c r="AT117" i="11"/>
  <c r="AT116" i="11"/>
  <c r="AT115" i="11"/>
  <c r="AT114" i="11"/>
  <c r="AT113" i="11"/>
  <c r="AT112" i="11"/>
  <c r="AT111" i="11"/>
  <c r="AT110" i="11"/>
  <c r="AT109" i="11"/>
  <c r="AT108" i="11"/>
  <c r="AT107" i="11"/>
  <c r="AT106" i="11"/>
  <c r="AT105" i="11"/>
  <c r="AT104" i="11"/>
  <c r="AT103" i="11"/>
  <c r="AT102" i="11"/>
  <c r="AT101" i="11"/>
  <c r="AT100" i="11"/>
  <c r="AT99" i="11"/>
  <c r="AT98" i="11"/>
  <c r="AT97" i="11"/>
  <c r="AT96" i="11"/>
  <c r="AT95" i="11"/>
  <c r="AT94" i="11"/>
  <c r="AS91" i="11"/>
  <c r="AY91" i="11" s="1"/>
  <c r="AS88" i="11"/>
  <c r="AY88" i="11" s="1"/>
  <c r="AS79" i="11"/>
  <c r="AY79" i="11" s="1"/>
  <c r="AS60" i="11"/>
  <c r="AY60" i="11" s="1"/>
  <c r="AS58" i="11"/>
  <c r="AY58" i="11" s="1"/>
  <c r="AS57" i="11"/>
  <c r="AY57" i="11" s="1"/>
  <c r="AS55" i="11"/>
  <c r="AY55" i="11" s="1"/>
  <c r="AT53" i="11"/>
  <c r="AQ46" i="11"/>
  <c r="AS42" i="11"/>
  <c r="AY42" i="11" s="1"/>
  <c r="AS41" i="11"/>
  <c r="AY41" i="11" s="1"/>
  <c r="AS40" i="11"/>
  <c r="AY40" i="11" s="1"/>
  <c r="AS34" i="11"/>
  <c r="AY34" i="11" s="1"/>
  <c r="AS31" i="11"/>
  <c r="AY31" i="11" s="1"/>
  <c r="AS30" i="11"/>
  <c r="AY30" i="11" s="1"/>
  <c r="AS29" i="11"/>
  <c r="AY29" i="11" s="1"/>
  <c r="AS26" i="11"/>
  <c r="AY26" i="11" s="1"/>
  <c r="AT24" i="11"/>
  <c r="AS16" i="11"/>
  <c r="AY16" i="11" s="1"/>
  <c r="AS15" i="11"/>
  <c r="AY15" i="11" s="1"/>
  <c r="AS14" i="11"/>
  <c r="AY14" i="11" s="1"/>
  <c r="R200" i="3"/>
  <c r="Q200" i="3"/>
  <c r="Q188" i="3"/>
  <c r="R187" i="3"/>
  <c r="R183" i="3"/>
  <c r="R174" i="3"/>
  <c r="R167" i="3"/>
  <c r="R166" i="3"/>
  <c r="R164" i="3"/>
  <c r="R163" i="3"/>
  <c r="R162" i="3"/>
  <c r="R138" i="3"/>
  <c r="R134" i="3"/>
  <c r="R101" i="3"/>
  <c r="R66" i="3"/>
  <c r="R64" i="3"/>
  <c r="R62" i="3"/>
  <c r="Q50" i="3"/>
  <c r="R42" i="3"/>
  <c r="Q36" i="3"/>
  <c r="R34" i="3"/>
  <c r="R32" i="3"/>
  <c r="R28" i="3"/>
  <c r="R27" i="3"/>
  <c r="R26" i="3"/>
  <c r="R24" i="3"/>
  <c r="R23" i="3"/>
  <c r="R151" i="5"/>
  <c r="Q151" i="5"/>
  <c r="R139" i="5"/>
  <c r="Q139" i="5"/>
  <c r="R128" i="5"/>
  <c r="R127" i="5"/>
  <c r="R126" i="5"/>
  <c r="R125" i="5"/>
  <c r="R124" i="5"/>
  <c r="R123" i="5"/>
  <c r="R122" i="5"/>
  <c r="R120" i="5"/>
  <c r="R119" i="5"/>
  <c r="R117" i="5"/>
  <c r="R116" i="5"/>
  <c r="R114" i="5"/>
  <c r="R111" i="5"/>
  <c r="R109" i="5"/>
  <c r="R108" i="5"/>
  <c r="R107" i="5"/>
  <c r="R106" i="5"/>
  <c r="R103" i="5"/>
  <c r="R101" i="5"/>
  <c r="R100" i="5"/>
  <c r="R97" i="5"/>
  <c r="R95" i="5"/>
  <c r="R94" i="5"/>
  <c r="R92" i="5"/>
  <c r="R90" i="5"/>
  <c r="R89" i="5"/>
  <c r="R88" i="5"/>
  <c r="R87" i="5"/>
  <c r="R84" i="5"/>
  <c r="R76" i="5"/>
  <c r="R75" i="5"/>
  <c r="R74" i="5"/>
  <c r="R72" i="5"/>
  <c r="R69" i="5"/>
  <c r="R67" i="5"/>
  <c r="R66" i="5"/>
  <c r="R65" i="5"/>
  <c r="R64" i="5"/>
  <c r="R63" i="5"/>
  <c r="R62" i="5"/>
  <c r="R61" i="5"/>
  <c r="R60" i="5"/>
  <c r="R56" i="5"/>
  <c r="R52" i="5"/>
  <c r="R45" i="5"/>
  <c r="R43" i="5"/>
  <c r="R42" i="5"/>
  <c r="R41" i="5"/>
  <c r="R40" i="5"/>
  <c r="R39" i="5"/>
  <c r="Q129" i="5"/>
  <c r="R19" i="5"/>
  <c r="Q19" i="5"/>
  <c r="O110" i="5" a="1"/>
  <c r="O110" i="5" s="1"/>
  <c r="R110" i="5" s="1"/>
  <c r="M38" i="5"/>
  <c r="M140" i="3"/>
  <c r="O99" i="3"/>
  <c r="R99" i="3" s="1"/>
  <c r="O31" i="3"/>
  <c r="R31" i="3" s="1"/>
  <c r="AS123" i="11" l="1"/>
  <c r="AY123" i="11" s="1"/>
  <c r="T129" i="5"/>
  <c r="T131" i="5" s="1"/>
  <c r="T141" i="5" s="1"/>
  <c r="T153" i="5" s="1"/>
  <c r="AP51" i="11"/>
  <c r="T50" i="3"/>
  <c r="AY175" i="11"/>
  <c r="AY192" i="11"/>
  <c r="AP46" i="11"/>
  <c r="AS185" i="11"/>
  <c r="AS126" i="11"/>
  <c r="AY126" i="11" s="1"/>
  <c r="AS125" i="11"/>
  <c r="AY125" i="11" s="1"/>
  <c r="Q37" i="3"/>
  <c r="AS187" i="11"/>
  <c r="AY187" i="11" s="1"/>
  <c r="AS153" i="11"/>
  <c r="AY153" i="11" s="1"/>
  <c r="AS173" i="11"/>
  <c r="AY173" i="11" s="1"/>
  <c r="AS146" i="11"/>
  <c r="AY146" i="11" s="1"/>
  <c r="Q71" i="3"/>
  <c r="R85" i="3"/>
  <c r="Q45" i="3"/>
  <c r="Q10" i="5"/>
  <c r="Q131" i="5"/>
  <c r="Q15" i="5"/>
  <c r="AM180" i="11"/>
  <c r="O121" i="5"/>
  <c r="R121" i="5" s="1"/>
  <c r="O36" i="5" a="1"/>
  <c r="O36" i="5" s="1"/>
  <c r="R36" i="5" s="1"/>
  <c r="O86" i="5" a="1"/>
  <c r="O86" i="5" s="1"/>
  <c r="R86" i="5" s="1"/>
  <c r="M96" i="5"/>
  <c r="O83" i="5" a="1"/>
  <c r="O83" i="5" s="1"/>
  <c r="R83" i="5" s="1"/>
  <c r="O80" i="5" a="1"/>
  <c r="O80" i="5" s="1"/>
  <c r="R80" i="5" s="1"/>
  <c r="O79" i="5" a="1"/>
  <c r="O79" i="5" s="1"/>
  <c r="R79" i="5" s="1"/>
  <c r="O81" i="5" a="1"/>
  <c r="O81" i="5" s="1"/>
  <c r="R81" i="5" s="1"/>
  <c r="O78" i="5" a="1"/>
  <c r="O78" i="5" s="1"/>
  <c r="R78" i="5" s="1"/>
  <c r="O85" i="3"/>
  <c r="O70" i="3" s="1"/>
  <c r="R70" i="3" s="1"/>
  <c r="O149" i="3"/>
  <c r="R149" i="3" s="1"/>
  <c r="O135" i="3"/>
  <c r="R135" i="3" s="1"/>
  <c r="O141" i="3"/>
  <c r="R141" i="3" s="1"/>
  <c r="O140" i="3"/>
  <c r="R140" i="3" s="1"/>
  <c r="O131" i="3"/>
  <c r="R131" i="3" s="1"/>
  <c r="O104" i="3"/>
  <c r="R104" i="3" s="1"/>
  <c r="O93" i="3"/>
  <c r="R93" i="3" s="1"/>
  <c r="O145" i="3"/>
  <c r="R145" i="3" s="1"/>
  <c r="O97" i="3"/>
  <c r="R97" i="3" s="1"/>
  <c r="O168" i="3"/>
  <c r="R168" i="3" s="1"/>
  <c r="K12" i="14"/>
  <c r="K11" i="14"/>
  <c r="K10" i="14"/>
  <c r="K9" i="14"/>
  <c r="K8" i="14"/>
  <c r="K7" i="14"/>
  <c r="K6" i="14"/>
  <c r="K5" i="14"/>
  <c r="K4" i="14"/>
  <c r="K3" i="14"/>
  <c r="O147" i="3"/>
  <c r="R147" i="3" s="1"/>
  <c r="R51" i="3"/>
  <c r="O69" i="3"/>
  <c r="R69" i="3" s="1"/>
  <c r="O103" i="3"/>
  <c r="R103" i="3" s="1"/>
  <c r="O22" i="3"/>
  <c r="R22" i="3" s="1"/>
  <c r="O53" i="3"/>
  <c r="R53" i="3" s="1"/>
  <c r="O59" i="3"/>
  <c r="R59" i="3" s="1"/>
  <c r="O57" i="3"/>
  <c r="R57" i="3" s="1"/>
  <c r="O77" i="3"/>
  <c r="R77" i="3" s="1"/>
  <c r="O156" i="3"/>
  <c r="R156" i="3" s="1"/>
  <c r="O157" i="3"/>
  <c r="R157" i="3" s="1"/>
  <c r="O127" i="3"/>
  <c r="R127" i="3" s="1"/>
  <c r="O123" i="3"/>
  <c r="R123" i="3" s="1"/>
  <c r="O126" i="3"/>
  <c r="R126" i="3" s="1"/>
  <c r="O125" i="3"/>
  <c r="R125" i="3" s="1"/>
  <c r="O124" i="3"/>
  <c r="R124" i="3" s="1"/>
  <c r="O146" i="3"/>
  <c r="R146" i="3" s="1"/>
  <c r="O185" i="3"/>
  <c r="R185" i="3" s="1"/>
  <c r="O113" i="3"/>
  <c r="R113" i="3" s="1"/>
  <c r="O112" i="3"/>
  <c r="R112" i="3" s="1"/>
  <c r="O115" i="3"/>
  <c r="R115" i="3" s="1"/>
  <c r="O165" i="3"/>
  <c r="R165" i="3" s="1"/>
  <c r="O14" i="3"/>
  <c r="R14" i="3" s="1"/>
  <c r="T157" i="5" l="1"/>
  <c r="T160" i="5"/>
  <c r="T155" i="5"/>
  <c r="T161" i="5" s="1"/>
  <c r="Q46" i="3"/>
  <c r="Q72" i="3" s="1"/>
  <c r="Q73" i="3" s="1"/>
  <c r="Q16" i="5"/>
  <c r="Q20" i="5" s="1"/>
  <c r="O39" i="3"/>
  <c r="R39" i="3" s="1"/>
  <c r="AF168" i="11"/>
  <c r="AK192" i="11"/>
  <c r="AN192" i="11" s="1"/>
  <c r="AT192" i="11" s="1"/>
  <c r="AL191" i="11"/>
  <c r="AL190" i="11"/>
  <c r="AL189" i="11"/>
  <c r="AL187" i="11"/>
  <c r="AL186" i="11"/>
  <c r="AL185" i="11"/>
  <c r="AL179" i="11"/>
  <c r="AL178" i="11"/>
  <c r="AL177" i="11"/>
  <c r="AL176" i="11"/>
  <c r="AL173" i="11"/>
  <c r="AL172" i="11"/>
  <c r="AL171" i="11"/>
  <c r="AL167" i="11"/>
  <c r="AL166" i="11"/>
  <c r="AL164" i="11"/>
  <c r="AL161" i="11"/>
  <c r="AL159" i="11"/>
  <c r="AL156" i="11"/>
  <c r="AL153" i="11"/>
  <c r="AL146" i="11"/>
  <c r="AL140" i="11"/>
  <c r="AL139" i="11"/>
  <c r="AL138" i="11"/>
  <c r="AL135" i="11"/>
  <c r="AL134" i="11"/>
  <c r="AL132" i="11"/>
  <c r="AL131" i="11"/>
  <c r="AL125" i="11"/>
  <c r="AL124" i="11"/>
  <c r="AL122" i="11"/>
  <c r="AL121" i="11"/>
  <c r="AL120" i="11"/>
  <c r="AL118" i="11"/>
  <c r="AL116" i="11"/>
  <c r="AL114" i="11"/>
  <c r="AL112" i="11"/>
  <c r="AL111" i="11"/>
  <c r="AL110" i="11"/>
  <c r="AL109" i="11"/>
  <c r="AL108" i="11"/>
  <c r="AL107" i="11"/>
  <c r="AL106" i="11"/>
  <c r="AL105" i="11"/>
  <c r="AL104" i="11"/>
  <c r="AL103" i="11"/>
  <c r="AL102" i="11"/>
  <c r="AL101" i="11"/>
  <c r="AL100" i="11"/>
  <c r="AL97" i="11"/>
  <c r="AL93" i="11"/>
  <c r="AL89" i="11"/>
  <c r="AL82" i="11"/>
  <c r="AL81" i="11"/>
  <c r="AL71" i="11"/>
  <c r="AL51" i="11"/>
  <c r="AK190" i="11"/>
  <c r="AK189" i="11"/>
  <c r="AN188" i="11"/>
  <c r="AT188" i="11" s="1"/>
  <c r="AK185" i="11"/>
  <c r="AK179" i="11"/>
  <c r="AK177" i="11"/>
  <c r="AK176" i="11"/>
  <c r="AK171" i="11"/>
  <c r="AN170" i="11"/>
  <c r="AT170" i="11" s="1"/>
  <c r="AK167" i="11"/>
  <c r="AK166" i="11"/>
  <c r="AN165" i="11"/>
  <c r="AT165" i="11" s="1"/>
  <c r="AK161" i="11"/>
  <c r="AK159" i="11"/>
  <c r="AK154" i="11"/>
  <c r="AK153" i="11"/>
  <c r="AK149" i="11"/>
  <c r="AK148" i="11"/>
  <c r="AK147" i="11"/>
  <c r="AK146" i="11"/>
  <c r="AK144" i="11"/>
  <c r="AK143" i="11"/>
  <c r="AK142" i="11"/>
  <c r="AN141" i="11"/>
  <c r="AT141" i="11" s="1"/>
  <c r="AK138" i="11"/>
  <c r="AK133" i="11"/>
  <c r="AK132" i="11"/>
  <c r="AK131" i="11"/>
  <c r="AK130" i="11"/>
  <c r="AK122" i="11"/>
  <c r="AK113" i="11"/>
  <c r="AK112" i="11"/>
  <c r="AK111" i="11"/>
  <c r="AK110" i="11"/>
  <c r="AK108" i="11"/>
  <c r="AK107" i="11"/>
  <c r="AK102" i="11"/>
  <c r="AK86" i="11"/>
  <c r="AK78" i="11"/>
  <c r="AK71" i="11"/>
  <c r="AK70" i="11"/>
  <c r="AK65" i="11"/>
  <c r="AK62" i="11"/>
  <c r="AK60" i="11"/>
  <c r="AN60" i="11" s="1"/>
  <c r="AT60" i="11" s="1"/>
  <c r="AK58" i="11"/>
  <c r="AN58" i="11" s="1"/>
  <c r="AT58" i="11" s="1"/>
  <c r="AK54" i="11"/>
  <c r="AK43" i="11"/>
  <c r="AK42" i="11"/>
  <c r="AN42" i="11" s="1"/>
  <c r="AT42" i="11" s="1"/>
  <c r="AK35" i="11"/>
  <c r="AK31" i="11"/>
  <c r="AN31" i="11" s="1"/>
  <c r="AT31" i="11" s="1"/>
  <c r="AK28" i="11"/>
  <c r="AK27" i="11"/>
  <c r="AK26" i="11"/>
  <c r="AN26" i="11" s="1"/>
  <c r="AT26" i="11" s="1"/>
  <c r="AK25" i="11"/>
  <c r="AK24" i="11"/>
  <c r="AK23" i="11"/>
  <c r="AN30" i="11"/>
  <c r="AT30" i="11" s="1"/>
  <c r="AN29" i="11"/>
  <c r="AT29" i="11" s="1"/>
  <c r="AK21" i="11"/>
  <c r="AK10" i="11"/>
  <c r="AL224" i="11"/>
  <c r="AK224" i="11"/>
  <c r="AN193" i="11"/>
  <c r="AT193" i="11" s="1"/>
  <c r="AO122" i="11"/>
  <c r="AO121" i="11"/>
  <c r="AO120" i="11"/>
  <c r="AO119" i="11"/>
  <c r="AO118" i="11"/>
  <c r="AO117" i="11"/>
  <c r="AO116" i="11"/>
  <c r="AO115" i="11"/>
  <c r="AO114" i="11"/>
  <c r="AO113" i="11"/>
  <c r="AO112" i="11"/>
  <c r="AO111" i="11"/>
  <c r="AO110" i="11"/>
  <c r="AO109" i="11"/>
  <c r="AO108" i="11"/>
  <c r="AO107" i="11"/>
  <c r="AO106" i="11"/>
  <c r="AO105" i="11"/>
  <c r="AO104" i="11"/>
  <c r="AO103" i="11"/>
  <c r="AO102" i="11"/>
  <c r="AO101" i="11"/>
  <c r="AO100" i="11"/>
  <c r="AO99" i="11"/>
  <c r="AO98" i="11"/>
  <c r="AO97" i="11"/>
  <c r="AO96" i="11"/>
  <c r="AO95" i="11"/>
  <c r="AO94" i="11"/>
  <c r="AN91" i="11"/>
  <c r="AT91" i="11" s="1"/>
  <c r="AO53" i="11"/>
  <c r="AL46" i="11"/>
  <c r="AO24" i="11"/>
  <c r="O25" i="5" a="1"/>
  <c r="O25" i="5" s="1"/>
  <c r="R25" i="5" s="1"/>
  <c r="R29" i="5" s="1"/>
  <c r="C58" i="27"/>
  <c r="C57" i="27"/>
  <c r="C56" i="27"/>
  <c r="C55" i="27"/>
  <c r="C54" i="27"/>
  <c r="C53" i="27"/>
  <c r="C52" i="27"/>
  <c r="C51" i="27"/>
  <c r="C50" i="27"/>
  <c r="C49" i="27"/>
  <c r="C48" i="27"/>
  <c r="C47" i="27"/>
  <c r="O73" i="5" s="1" a="1"/>
  <c r="O73" i="5" s="1"/>
  <c r="C46" i="27"/>
  <c r="O71" i="5" s="1" a="1"/>
  <c r="O71" i="5" s="1"/>
  <c r="AL99" i="11" s="1"/>
  <c r="C45" i="27"/>
  <c r="O68" i="5" s="1" a="1"/>
  <c r="O68" i="5" s="1"/>
  <c r="C44" i="27"/>
  <c r="C43" i="27"/>
  <c r="C42" i="27"/>
  <c r="C41" i="27"/>
  <c r="O98" i="5" s="1" a="1"/>
  <c r="O98" i="5" s="1"/>
  <c r="C40" i="27"/>
  <c r="O118" i="5" s="1" a="1"/>
  <c r="O118" i="5" s="1"/>
  <c r="R118" i="5" s="1"/>
  <c r="C39" i="27"/>
  <c r="O105" i="5" s="1" a="1"/>
  <c r="O105" i="5" s="1"/>
  <c r="R105" i="5" s="1"/>
  <c r="C38" i="27"/>
  <c r="C37" i="27"/>
  <c r="C36" i="27"/>
  <c r="O54" i="5" s="1" a="1"/>
  <c r="O54" i="5" s="1"/>
  <c r="C35" i="27"/>
  <c r="O53" i="5" s="1" a="1"/>
  <c r="O53" i="5" s="1"/>
  <c r="C34" i="27"/>
  <c r="C33" i="27"/>
  <c r="C32" i="27"/>
  <c r="O33" i="5" s="1" a="1"/>
  <c r="O33" i="5" s="1"/>
  <c r="C31" i="27"/>
  <c r="C30" i="27"/>
  <c r="C29" i="27"/>
  <c r="C28" i="27"/>
  <c r="O91" i="5" s="1" a="1"/>
  <c r="O91" i="5" s="1"/>
  <c r="C27" i="27"/>
  <c r="C26" i="27"/>
  <c r="O44" i="5" s="1" a="1"/>
  <c r="O44" i="5" s="1"/>
  <c r="C25" i="27"/>
  <c r="C24" i="27"/>
  <c r="C23" i="27"/>
  <c r="O104" i="5" s="1" a="1"/>
  <c r="O104" i="5" s="1"/>
  <c r="C22" i="27"/>
  <c r="C21" i="27"/>
  <c r="C20" i="27"/>
  <c r="O13" i="5" s="1" a="1"/>
  <c r="O13" i="5" s="1"/>
  <c r="R13" i="5" s="1"/>
  <c r="C19" i="27"/>
  <c r="O14" i="5" s="1" a="1"/>
  <c r="O14" i="5" s="1"/>
  <c r="C18" i="27"/>
  <c r="C17" i="27"/>
  <c r="C16" i="27"/>
  <c r="C15" i="27"/>
  <c r="C14" i="27"/>
  <c r="O34" i="5" s="1" a="1"/>
  <c r="O34" i="5" s="1"/>
  <c r="C13" i="27"/>
  <c r="C12" i="27"/>
  <c r="C11" i="27"/>
  <c r="C9" i="27"/>
  <c r="C10" i="27"/>
  <c r="E59" i="27"/>
  <c r="P128" i="5"/>
  <c r="P126" i="5"/>
  <c r="P125" i="5"/>
  <c r="P124" i="5"/>
  <c r="P123" i="5"/>
  <c r="P122" i="5"/>
  <c r="P120" i="5"/>
  <c r="P119" i="5"/>
  <c r="P117" i="5"/>
  <c r="P116" i="5"/>
  <c r="O115" i="5" a="1"/>
  <c r="O115" i="5" s="1"/>
  <c r="P114" i="5"/>
  <c r="O113" i="5" a="1"/>
  <c r="O113" i="5" s="1"/>
  <c r="R113" i="5" s="1"/>
  <c r="O112" i="5" a="1"/>
  <c r="O112" i="5" s="1"/>
  <c r="R112" i="5" s="1"/>
  <c r="P111" i="5"/>
  <c r="P109" i="5"/>
  <c r="P108" i="5"/>
  <c r="P107" i="5"/>
  <c r="P106" i="5"/>
  <c r="P103" i="5"/>
  <c r="O102" i="5" a="1"/>
  <c r="O102" i="5" s="1"/>
  <c r="P101" i="5"/>
  <c r="P100" i="5"/>
  <c r="O99" i="5" a="1"/>
  <c r="O99" i="5" s="1"/>
  <c r="P97" i="5"/>
  <c r="O96" i="5" a="1"/>
  <c r="O96" i="5" s="1"/>
  <c r="R96" i="5" s="1"/>
  <c r="P95" i="5"/>
  <c r="P94" i="5"/>
  <c r="O93" i="5" a="1"/>
  <c r="O93" i="5" s="1"/>
  <c r="P92" i="5"/>
  <c r="P90" i="5"/>
  <c r="P89" i="5"/>
  <c r="P88" i="5"/>
  <c r="P87" i="5"/>
  <c r="O85" i="5" a="1"/>
  <c r="O85" i="5" s="1"/>
  <c r="P84" i="5"/>
  <c r="O82" i="5" a="1"/>
  <c r="O82" i="5" s="1"/>
  <c r="P76" i="5"/>
  <c r="P75" i="5"/>
  <c r="P74" i="5"/>
  <c r="P72" i="5"/>
  <c r="O70" i="5" a="1"/>
  <c r="O70" i="5" s="1"/>
  <c r="P67" i="5"/>
  <c r="P66" i="5"/>
  <c r="P65" i="5"/>
  <c r="P64" i="5"/>
  <c r="P63" i="5"/>
  <c r="P62" i="5"/>
  <c r="P61" i="5"/>
  <c r="P60" i="5"/>
  <c r="O59" i="5" a="1"/>
  <c r="O59" i="5" s="1"/>
  <c r="O58" i="5" a="1"/>
  <c r="O58" i="5" s="1"/>
  <c r="O57" i="5" a="1"/>
  <c r="O57" i="5" s="1"/>
  <c r="O55" i="5" a="1"/>
  <c r="O55" i="5" s="1"/>
  <c r="P52" i="5"/>
  <c r="O51" i="5" a="1"/>
  <c r="O51" i="5" s="1"/>
  <c r="O50" i="5" a="1"/>
  <c r="O50" i="5" s="1"/>
  <c r="O49" i="5" a="1"/>
  <c r="O49" i="5" s="1"/>
  <c r="O48" i="5" a="1"/>
  <c r="O48" i="5" s="1"/>
  <c r="O47" i="5" a="1"/>
  <c r="O47" i="5" s="1"/>
  <c r="O46" i="5" a="1"/>
  <c r="O46" i="5" s="1"/>
  <c r="P45" i="5"/>
  <c r="P43" i="5"/>
  <c r="P42" i="5"/>
  <c r="P41" i="5"/>
  <c r="P40" i="5"/>
  <c r="P39" i="5"/>
  <c r="O38" i="5" a="1"/>
  <c r="O38" i="5" s="1"/>
  <c r="O37" i="5" a="1"/>
  <c r="O37" i="5" s="1"/>
  <c r="R37" i="5" s="1"/>
  <c r="O35" i="5" a="1"/>
  <c r="O35" i="5" s="1"/>
  <c r="O9" i="5" a="1"/>
  <c r="O9" i="5" s="1"/>
  <c r="O19" i="5"/>
  <c r="P19" i="5"/>
  <c r="P56" i="5"/>
  <c r="P69" i="5"/>
  <c r="P127" i="5"/>
  <c r="O139" i="5"/>
  <c r="P139" i="5"/>
  <c r="O151" i="5"/>
  <c r="P151" i="5"/>
  <c r="O184" i="3"/>
  <c r="R184" i="3" s="1"/>
  <c r="C144" i="26"/>
  <c r="C143" i="26"/>
  <c r="O173" i="3" s="1"/>
  <c r="R173" i="3" s="1"/>
  <c r="C142" i="26"/>
  <c r="C141" i="26"/>
  <c r="C140" i="26"/>
  <c r="C139" i="26"/>
  <c r="C138" i="26"/>
  <c r="C137" i="26"/>
  <c r="C136" i="26"/>
  <c r="C135" i="26"/>
  <c r="C134" i="26"/>
  <c r="C133" i="26"/>
  <c r="C132" i="26"/>
  <c r="C131" i="26"/>
  <c r="C130" i="26"/>
  <c r="C129" i="26"/>
  <c r="C128" i="26"/>
  <c r="C127" i="26"/>
  <c r="O119" i="3" s="1"/>
  <c r="R119" i="3" s="1"/>
  <c r="C126" i="26"/>
  <c r="C125" i="26"/>
  <c r="C124" i="26"/>
  <c r="C123" i="26"/>
  <c r="C122" i="26"/>
  <c r="C121" i="26"/>
  <c r="O139" i="3" s="1"/>
  <c r="R139" i="3" s="1"/>
  <c r="C120" i="26"/>
  <c r="C119" i="26"/>
  <c r="C118" i="26"/>
  <c r="C117" i="26"/>
  <c r="C116" i="26"/>
  <c r="C115" i="26"/>
  <c r="C114" i="26"/>
  <c r="C113" i="26"/>
  <c r="C112" i="26"/>
  <c r="O106" i="3" s="1"/>
  <c r="R106" i="3" s="1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C89" i="26"/>
  <c r="C88" i="26"/>
  <c r="O152" i="3"/>
  <c r="AK168" i="11" s="1"/>
  <c r="AN168" i="11" s="1"/>
  <c r="C87" i="26"/>
  <c r="C86" i="26"/>
  <c r="C85" i="26"/>
  <c r="C84" i="26"/>
  <c r="C83" i="26"/>
  <c r="C82" i="26"/>
  <c r="C81" i="26"/>
  <c r="C80" i="26"/>
  <c r="C79" i="26"/>
  <c r="C78" i="26"/>
  <c r="C77" i="26"/>
  <c r="O35" i="3"/>
  <c r="AK36" i="11" s="1"/>
  <c r="AN36" i="11" s="1"/>
  <c r="P34" i="3"/>
  <c r="C76" i="26"/>
  <c r="C75" i="26"/>
  <c r="C74" i="26"/>
  <c r="C73" i="26"/>
  <c r="C72" i="26"/>
  <c r="O21" i="3" s="1"/>
  <c r="R21" i="3" s="1"/>
  <c r="C71" i="26"/>
  <c r="C70" i="26"/>
  <c r="C69" i="26"/>
  <c r="P28" i="3" s="1"/>
  <c r="C68" i="26"/>
  <c r="C67" i="26"/>
  <c r="C66" i="26"/>
  <c r="P26" i="3" s="1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O80" i="3" s="1"/>
  <c r="R80" i="3" s="1"/>
  <c r="C41" i="26"/>
  <c r="C40" i="26"/>
  <c r="C39" i="26"/>
  <c r="C38" i="26"/>
  <c r="C37" i="26"/>
  <c r="C36" i="26"/>
  <c r="C35" i="26"/>
  <c r="C34" i="26"/>
  <c r="C33" i="26"/>
  <c r="C32" i="26"/>
  <c r="O10" i="3"/>
  <c r="AK14" i="11" s="1"/>
  <c r="AN14" i="11" s="1"/>
  <c r="C24" i="26"/>
  <c r="C23" i="26"/>
  <c r="C22" i="26"/>
  <c r="C21" i="26"/>
  <c r="C20" i="26"/>
  <c r="O44" i="3" s="1"/>
  <c r="R44" i="3" s="1"/>
  <c r="C19" i="26"/>
  <c r="C18" i="26"/>
  <c r="C17" i="26"/>
  <c r="C16" i="26"/>
  <c r="O16" i="3" s="1"/>
  <c r="R16" i="3" s="1"/>
  <c r="C15" i="26"/>
  <c r="C14" i="26"/>
  <c r="C13" i="26"/>
  <c r="C12" i="26"/>
  <c r="C11" i="26"/>
  <c r="C10" i="26"/>
  <c r="C31" i="26"/>
  <c r="C30" i="26"/>
  <c r="C29" i="26"/>
  <c r="C28" i="26"/>
  <c r="C27" i="26"/>
  <c r="C26" i="26"/>
  <c r="O182" i="3"/>
  <c r="R182" i="3" s="1"/>
  <c r="O181" i="3"/>
  <c r="R181" i="3" s="1"/>
  <c r="O175" i="3"/>
  <c r="R175" i="3" s="1"/>
  <c r="P174" i="3"/>
  <c r="O172" i="3"/>
  <c r="R172" i="3" s="1"/>
  <c r="O169" i="3"/>
  <c r="R169" i="3" s="1"/>
  <c r="P164" i="3"/>
  <c r="P163" i="3"/>
  <c r="P162" i="3"/>
  <c r="O161" i="3"/>
  <c r="R161" i="3" s="1"/>
  <c r="O160" i="3"/>
  <c r="R160" i="3" s="1"/>
  <c r="O159" i="3"/>
  <c r="R159" i="3" s="1"/>
  <c r="O158" i="3"/>
  <c r="R158" i="3" s="1"/>
  <c r="O155" i="3"/>
  <c r="R155" i="3" s="1"/>
  <c r="O154" i="3"/>
  <c r="R154" i="3" s="1"/>
  <c r="O153" i="3"/>
  <c r="R153" i="3" s="1"/>
  <c r="O151" i="3"/>
  <c r="R151" i="3" s="1"/>
  <c r="O150" i="3"/>
  <c r="R150" i="3" s="1"/>
  <c r="O148" i="3"/>
  <c r="R148" i="3" s="1"/>
  <c r="O144" i="3"/>
  <c r="R144" i="3" s="1"/>
  <c r="O143" i="3"/>
  <c r="AK117" i="11" s="1"/>
  <c r="O142" i="3"/>
  <c r="R142" i="3" s="1"/>
  <c r="P138" i="3"/>
  <c r="O137" i="3"/>
  <c r="R137" i="3" s="1"/>
  <c r="O136" i="3"/>
  <c r="R136" i="3" s="1"/>
  <c r="P134" i="3"/>
  <c r="O133" i="3"/>
  <c r="R133" i="3" s="1"/>
  <c r="O132" i="3"/>
  <c r="AK135" i="11" s="1"/>
  <c r="O130" i="3"/>
  <c r="R130" i="3" s="1"/>
  <c r="O129" i="3"/>
  <c r="R129" i="3" s="1"/>
  <c r="O128" i="3"/>
  <c r="R128" i="3" s="1"/>
  <c r="O122" i="3"/>
  <c r="R122" i="3" s="1"/>
  <c r="O121" i="3"/>
  <c r="R121" i="3" s="1"/>
  <c r="O120" i="3"/>
  <c r="O118" i="3"/>
  <c r="R118" i="3" s="1"/>
  <c r="O117" i="3"/>
  <c r="R117" i="3" s="1"/>
  <c r="O116" i="3"/>
  <c r="R116" i="3" s="1"/>
  <c r="O114" i="3"/>
  <c r="R114" i="3" s="1"/>
  <c r="O111" i="3"/>
  <c r="R111" i="3" s="1"/>
  <c r="O110" i="3"/>
  <c r="R110" i="3" s="1"/>
  <c r="O109" i="3"/>
  <c r="R109" i="3" s="1"/>
  <c r="O108" i="3"/>
  <c r="R108" i="3" s="1"/>
  <c r="O107" i="3"/>
  <c r="R107" i="3" s="1"/>
  <c r="O105" i="3"/>
  <c r="R105" i="3" s="1"/>
  <c r="O102" i="3"/>
  <c r="R102" i="3" s="1"/>
  <c r="O100" i="3"/>
  <c r="R100" i="3" s="1"/>
  <c r="O98" i="3"/>
  <c r="R98" i="3" s="1"/>
  <c r="O96" i="3"/>
  <c r="R96" i="3" s="1"/>
  <c r="O95" i="3"/>
  <c r="R95" i="3" s="1"/>
  <c r="O94" i="3"/>
  <c r="R94" i="3" s="1"/>
  <c r="O92" i="3"/>
  <c r="R92" i="3" s="1"/>
  <c r="O91" i="3"/>
  <c r="R91" i="3" s="1"/>
  <c r="O90" i="3"/>
  <c r="R90" i="3" s="1"/>
  <c r="O89" i="3"/>
  <c r="R89" i="3" s="1"/>
  <c r="O88" i="3"/>
  <c r="R88" i="3" s="1"/>
  <c r="O87" i="3"/>
  <c r="R87" i="3" s="1"/>
  <c r="O86" i="3"/>
  <c r="R86" i="3" s="1"/>
  <c r="O83" i="3"/>
  <c r="R83" i="3" s="1"/>
  <c r="O82" i="3"/>
  <c r="R82" i="3" s="1"/>
  <c r="O79" i="3"/>
  <c r="R79" i="3" s="1"/>
  <c r="O78" i="3"/>
  <c r="R78" i="3" s="1"/>
  <c r="O76" i="3"/>
  <c r="R76" i="3" s="1"/>
  <c r="O75" i="3"/>
  <c r="R75" i="3" s="1"/>
  <c r="O68" i="3"/>
  <c r="R68" i="3" s="1"/>
  <c r="O67" i="3"/>
  <c r="R67" i="3" s="1"/>
  <c r="O65" i="3"/>
  <c r="R65" i="3" s="1"/>
  <c r="P64" i="3"/>
  <c r="O63" i="3"/>
  <c r="R63" i="3" s="1"/>
  <c r="P62" i="3"/>
  <c r="O61" i="3"/>
  <c r="R61" i="3" s="1"/>
  <c r="O60" i="3"/>
  <c r="R60" i="3" s="1"/>
  <c r="O58" i="3"/>
  <c r="R58" i="3" s="1"/>
  <c r="O56" i="3"/>
  <c r="R56" i="3" s="1"/>
  <c r="O55" i="3"/>
  <c r="R55" i="3" s="1"/>
  <c r="O54" i="3"/>
  <c r="R54" i="3" s="1"/>
  <c r="O52" i="3"/>
  <c r="R52" i="3" s="1"/>
  <c r="O43" i="3"/>
  <c r="R43" i="3" s="1"/>
  <c r="P42" i="3"/>
  <c r="O40" i="3"/>
  <c r="R40" i="3" s="1"/>
  <c r="O33" i="3"/>
  <c r="R33" i="3" s="1"/>
  <c r="P32" i="3"/>
  <c r="P27" i="3"/>
  <c r="P24" i="3"/>
  <c r="P23" i="3"/>
  <c r="O20" i="3"/>
  <c r="R20" i="3" s="1"/>
  <c r="O17" i="3"/>
  <c r="R17" i="3" s="1"/>
  <c r="O15" i="3"/>
  <c r="R15" i="3" s="1"/>
  <c r="O13" i="3"/>
  <c r="R13" i="3" s="1"/>
  <c r="O9" i="3"/>
  <c r="R9" i="3" s="1"/>
  <c r="P200" i="3"/>
  <c r="O200" i="3"/>
  <c r="P187" i="3"/>
  <c r="P183" i="3"/>
  <c r="P167" i="3"/>
  <c r="P166" i="3"/>
  <c r="P101" i="3"/>
  <c r="P66" i="3"/>
  <c r="O50" i="3"/>
  <c r="R50" i="3" s="1"/>
  <c r="M185" i="3"/>
  <c r="M31" i="3"/>
  <c r="M147" i="3"/>
  <c r="M146" i="3"/>
  <c r="M54" i="5"/>
  <c r="K102" i="3"/>
  <c r="AD32" i="11"/>
  <c r="K35" i="5"/>
  <c r="K50" i="5"/>
  <c r="AK9" i="11" l="1"/>
  <c r="AK67" i="11"/>
  <c r="AK124" i="11"/>
  <c r="AK118" i="11"/>
  <c r="AK158" i="11"/>
  <c r="AK68" i="11"/>
  <c r="AK121" i="11"/>
  <c r="AK69" i="11"/>
  <c r="AK33" i="11"/>
  <c r="AK92" i="11"/>
  <c r="AK34" i="11"/>
  <c r="AN34" i="11" s="1"/>
  <c r="AT34" i="11" s="1"/>
  <c r="AK13" i="11"/>
  <c r="AK187" i="11"/>
  <c r="AN187" i="11" s="1"/>
  <c r="AT187" i="11" s="1"/>
  <c r="AK178" i="11"/>
  <c r="AK186" i="11"/>
  <c r="AK16" i="11"/>
  <c r="AN16" i="11" s="1"/>
  <c r="AT16" i="11" s="1"/>
  <c r="AK97" i="11"/>
  <c r="AK17" i="11"/>
  <c r="AK115" i="11"/>
  <c r="AK116" i="11"/>
  <c r="AK191" i="11"/>
  <c r="AK96" i="11"/>
  <c r="AK66" i="11"/>
  <c r="AK155" i="11"/>
  <c r="AK139" i="11"/>
  <c r="AK40" i="11"/>
  <c r="AN40" i="11" s="1"/>
  <c r="AT40" i="11" s="1"/>
  <c r="AK15" i="11"/>
  <c r="AN15" i="11" s="1"/>
  <c r="AT15" i="11" s="1"/>
  <c r="AK119" i="11"/>
  <c r="AK44" i="11"/>
  <c r="AK45" i="11"/>
  <c r="AK94" i="11"/>
  <c r="AK156" i="11"/>
  <c r="AK51" i="11"/>
  <c r="AK157" i="11"/>
  <c r="AK22" i="11"/>
  <c r="AK82" i="11"/>
  <c r="AK90" i="11"/>
  <c r="O41" i="3"/>
  <c r="O45" i="3" s="1"/>
  <c r="AK103" i="11"/>
  <c r="AK136" i="11"/>
  <c r="AK162" i="11"/>
  <c r="AK84" i="11"/>
  <c r="AK98" i="11"/>
  <c r="AK64" i="11"/>
  <c r="AK106" i="11"/>
  <c r="AK137" i="11"/>
  <c r="AK163" i="11"/>
  <c r="AN163" i="11" s="1"/>
  <c r="AT163" i="11" s="1"/>
  <c r="R71" i="3"/>
  <c r="R188" i="3"/>
  <c r="AK134" i="11"/>
  <c r="AK101" i="11"/>
  <c r="R120" i="3"/>
  <c r="AK93" i="11"/>
  <c r="AK114" i="11"/>
  <c r="AK81" i="11"/>
  <c r="AK53" i="11"/>
  <c r="AK104" i="11"/>
  <c r="AK125" i="11"/>
  <c r="AN125" i="11" s="1"/>
  <c r="AT125" i="11" s="1"/>
  <c r="AK145" i="11"/>
  <c r="AN145" i="11" s="1"/>
  <c r="AT145" i="11" s="1"/>
  <c r="AK83" i="11"/>
  <c r="AK105" i="11"/>
  <c r="AK126" i="11"/>
  <c r="AK95" i="11"/>
  <c r="AK140" i="11"/>
  <c r="AK100" i="11"/>
  <c r="AK120" i="11"/>
  <c r="AK52" i="11"/>
  <c r="AK169" i="11"/>
  <c r="AK57" i="11"/>
  <c r="AN57" i="11" s="1"/>
  <c r="AT57" i="11" s="1"/>
  <c r="AK128" i="11"/>
  <c r="AK79" i="11"/>
  <c r="AN79" i="11" s="1"/>
  <c r="AT79" i="11" s="1"/>
  <c r="P10" i="3"/>
  <c r="R10" i="3"/>
  <c r="R18" i="3" s="1"/>
  <c r="AK59" i="11"/>
  <c r="AK87" i="11"/>
  <c r="AK109" i="11"/>
  <c r="AK150" i="11"/>
  <c r="AN150" i="11" s="1"/>
  <c r="AT150" i="11" s="1"/>
  <c r="AK172" i="11"/>
  <c r="AK99" i="11"/>
  <c r="AK164" i="11"/>
  <c r="P143" i="3"/>
  <c r="R143" i="3"/>
  <c r="P152" i="3"/>
  <c r="R152" i="3"/>
  <c r="AK88" i="11"/>
  <c r="AN88" i="11" s="1"/>
  <c r="AT88" i="11" s="1"/>
  <c r="AK151" i="11"/>
  <c r="AK173" i="11"/>
  <c r="AN173" i="11" s="1"/>
  <c r="AT173" i="11" s="1"/>
  <c r="P35" i="3"/>
  <c r="R35" i="3"/>
  <c r="R36" i="3" s="1"/>
  <c r="P132" i="3"/>
  <c r="R132" i="3"/>
  <c r="AK55" i="11"/>
  <c r="AN55" i="11" s="1"/>
  <c r="AT55" i="11" s="1"/>
  <c r="AK127" i="11"/>
  <c r="AK129" i="11"/>
  <c r="AK61" i="11"/>
  <c r="AK89" i="11"/>
  <c r="AK152" i="11"/>
  <c r="AK175" i="11"/>
  <c r="AN175" i="11" s="1"/>
  <c r="AT175" i="11" s="1"/>
  <c r="AL18" i="11"/>
  <c r="R9" i="5"/>
  <c r="R10" i="5" s="1"/>
  <c r="AL54" i="11"/>
  <c r="AL21" i="11"/>
  <c r="R14" i="5"/>
  <c r="R15" i="5" s="1"/>
  <c r="AL136" i="11"/>
  <c r="AL22" i="11"/>
  <c r="AL149" i="11"/>
  <c r="R104" i="5"/>
  <c r="AL127" i="11"/>
  <c r="R46" i="5"/>
  <c r="AL128" i="11"/>
  <c r="R47" i="5"/>
  <c r="P91" i="5"/>
  <c r="R91" i="5"/>
  <c r="AL87" i="11"/>
  <c r="R38" i="5"/>
  <c r="AL133" i="11"/>
  <c r="R48" i="5"/>
  <c r="AL129" i="11"/>
  <c r="R49" i="5"/>
  <c r="AL158" i="11"/>
  <c r="R33" i="5"/>
  <c r="AL90" i="11"/>
  <c r="R71" i="5"/>
  <c r="AL115" i="11"/>
  <c r="R85" i="5"/>
  <c r="AL169" i="11"/>
  <c r="AL117" i="11"/>
  <c r="R99" i="5"/>
  <c r="AL142" i="11"/>
  <c r="R44" i="5"/>
  <c r="AL78" i="11"/>
  <c r="R34" i="5"/>
  <c r="AL113" i="11"/>
  <c r="R82" i="5"/>
  <c r="AL148" i="11"/>
  <c r="R102" i="5"/>
  <c r="AL143" i="11"/>
  <c r="R55" i="5"/>
  <c r="AL151" i="11"/>
  <c r="R53" i="5"/>
  <c r="AL95" i="11"/>
  <c r="R58" i="5"/>
  <c r="AL144" i="11"/>
  <c r="R54" i="5"/>
  <c r="AL162" i="11"/>
  <c r="R70" i="5"/>
  <c r="AL137" i="11"/>
  <c r="R115" i="5"/>
  <c r="AL174" i="11"/>
  <c r="AN174" i="11" s="1"/>
  <c r="AT174" i="11" s="1"/>
  <c r="AL147" i="11"/>
  <c r="AL157" i="11"/>
  <c r="R51" i="5"/>
  <c r="AL152" i="11"/>
  <c r="AL96" i="11"/>
  <c r="R59" i="5"/>
  <c r="AL92" i="11"/>
  <c r="R35" i="5"/>
  <c r="AL126" i="11"/>
  <c r="R98" i="5"/>
  <c r="AL98" i="11"/>
  <c r="R68" i="5"/>
  <c r="AL119" i="11"/>
  <c r="R73" i="5"/>
  <c r="AL130" i="11"/>
  <c r="R50" i="5"/>
  <c r="AL94" i="11"/>
  <c r="R57" i="5"/>
  <c r="AL155" i="11"/>
  <c r="R93" i="5"/>
  <c r="AO14" i="11"/>
  <c r="AT14" i="11"/>
  <c r="AO168" i="11"/>
  <c r="AT168" i="11"/>
  <c r="Q141" i="5"/>
  <c r="Q30" i="5"/>
  <c r="Q31" i="5" s="1"/>
  <c r="AL154" i="11"/>
  <c r="AN146" i="11"/>
  <c r="AT146" i="11" s="1"/>
  <c r="AN153" i="11"/>
  <c r="AT153" i="11" s="1"/>
  <c r="AN185" i="11"/>
  <c r="C59" i="27"/>
  <c r="C60" i="27" s="1"/>
  <c r="P54" i="5"/>
  <c r="O129" i="5"/>
  <c r="O15" i="5"/>
  <c r="O29" i="5"/>
  <c r="O10" i="5"/>
  <c r="O36" i="3"/>
  <c r="P31" i="3"/>
  <c r="C25" i="26"/>
  <c r="C145" i="26"/>
  <c r="P185" i="3"/>
  <c r="I140" i="3"/>
  <c r="I102" i="3"/>
  <c r="K83" i="3"/>
  <c r="K88" i="3"/>
  <c r="K64" i="3"/>
  <c r="K57" i="3"/>
  <c r="I64" i="3"/>
  <c r="I57" i="3"/>
  <c r="G64" i="3"/>
  <c r="G57" i="3"/>
  <c r="K65" i="3"/>
  <c r="Q143" i="5" l="1"/>
  <c r="C8" i="29"/>
  <c r="AQ198" i="11"/>
  <c r="R41" i="3"/>
  <c r="R45" i="3" s="1"/>
  <c r="AK41" i="11"/>
  <c r="R37" i="3"/>
  <c r="AN126" i="11"/>
  <c r="AT126" i="11" s="1"/>
  <c r="AN123" i="11"/>
  <c r="AT123" i="11" s="1"/>
  <c r="R16" i="5"/>
  <c r="R20" i="5" s="1"/>
  <c r="R30" i="5" s="1"/>
  <c r="R31" i="5" s="1"/>
  <c r="R129" i="5"/>
  <c r="R131" i="5" s="1"/>
  <c r="Q153" i="5"/>
  <c r="O16" i="5"/>
  <c r="O20" i="5" s="1"/>
  <c r="O30" i="5" s="1"/>
  <c r="O31" i="5" s="1"/>
  <c r="O131" i="5"/>
  <c r="C147" i="26"/>
  <c r="M149" i="3"/>
  <c r="M168" i="3"/>
  <c r="M97" i="3"/>
  <c r="M145" i="3"/>
  <c r="P145" i="3" s="1"/>
  <c r="M93" i="3"/>
  <c r="P93" i="3" s="1"/>
  <c r="M104" i="3"/>
  <c r="P104" i="3" s="1"/>
  <c r="M131" i="3"/>
  <c r="P131" i="3" s="1"/>
  <c r="M141" i="3"/>
  <c r="P141" i="3" s="1"/>
  <c r="M135" i="3"/>
  <c r="J13" i="14"/>
  <c r="J12" i="14"/>
  <c r="J11" i="14"/>
  <c r="J10" i="14"/>
  <c r="J9" i="14"/>
  <c r="J8" i="14"/>
  <c r="J7" i="14"/>
  <c r="J6" i="14"/>
  <c r="J5" i="14"/>
  <c r="J4" i="14"/>
  <c r="J3" i="14"/>
  <c r="M156" i="3"/>
  <c r="M157" i="3"/>
  <c r="P157" i="3" s="1"/>
  <c r="M128" i="3"/>
  <c r="M125" i="3"/>
  <c r="M124" i="3"/>
  <c r="M126" i="3"/>
  <c r="M123" i="3"/>
  <c r="M51" i="3"/>
  <c r="M69" i="3"/>
  <c r="M103" i="3"/>
  <c r="M130" i="3"/>
  <c r="M99" i="3"/>
  <c r="M22" i="3"/>
  <c r="M55" i="3"/>
  <c r="M54" i="3"/>
  <c r="M95" i="3"/>
  <c r="M59" i="3"/>
  <c r="P59" i="3" s="1"/>
  <c r="M60" i="3"/>
  <c r="M57" i="3"/>
  <c r="R46" i="3" l="1"/>
  <c r="R72" i="3" s="1"/>
  <c r="R73" i="3" s="1"/>
  <c r="AN41" i="11"/>
  <c r="AT41" i="11" s="1"/>
  <c r="AK46" i="11"/>
  <c r="R141" i="5"/>
  <c r="Q157" i="5"/>
  <c r="Q160" i="5"/>
  <c r="Q155" i="5"/>
  <c r="Q161" i="5" s="1"/>
  <c r="O141" i="5"/>
  <c r="R142" i="5" s="1"/>
  <c r="M61" i="3"/>
  <c r="AF67" i="11" s="1"/>
  <c r="AI67" i="11" s="1"/>
  <c r="AF130" i="11"/>
  <c r="AF154" i="11"/>
  <c r="M77" i="3"/>
  <c r="AF78" i="11" s="1"/>
  <c r="M113" i="3"/>
  <c r="AF108" i="11" s="1"/>
  <c r="M112" i="3"/>
  <c r="AF107" i="11" s="1"/>
  <c r="M165" i="3"/>
  <c r="P165" i="3" s="1"/>
  <c r="M115" i="3"/>
  <c r="M85" i="3"/>
  <c r="M70" i="3" s="1"/>
  <c r="M39" i="3"/>
  <c r="P39" i="3" s="1"/>
  <c r="P96" i="5"/>
  <c r="M14" i="5"/>
  <c r="P14" i="5" s="1"/>
  <c r="M46" i="5"/>
  <c r="P46" i="5" s="1"/>
  <c r="M25" i="5"/>
  <c r="P38" i="5"/>
  <c r="M35" i="5"/>
  <c r="P35" i="5" s="1"/>
  <c r="M83" i="5"/>
  <c r="P83" i="5" s="1"/>
  <c r="M80" i="5"/>
  <c r="P80" i="5" s="1"/>
  <c r="M79" i="5"/>
  <c r="P79" i="5" s="1"/>
  <c r="M81" i="5"/>
  <c r="M78" i="5"/>
  <c r="M121" i="5"/>
  <c r="P121" i="5" s="1"/>
  <c r="AJ99" i="11"/>
  <c r="AI193" i="11"/>
  <c r="AO193" i="11" s="1"/>
  <c r="AI188" i="11"/>
  <c r="AO188" i="11" s="1"/>
  <c r="AI170" i="11"/>
  <c r="AO170" i="11" s="1"/>
  <c r="AI165" i="11"/>
  <c r="AO165" i="11" s="1"/>
  <c r="AI141" i="11"/>
  <c r="AO141" i="11" s="1"/>
  <c r="AI91" i="11"/>
  <c r="AO91" i="11" s="1"/>
  <c r="AI36" i="11"/>
  <c r="AO36" i="11" s="1"/>
  <c r="AI30" i="11"/>
  <c r="AO30" i="11" s="1"/>
  <c r="AI29" i="11"/>
  <c r="AO29" i="11" s="1"/>
  <c r="AF192" i="11"/>
  <c r="AI192" i="11" s="1"/>
  <c r="AO192" i="11" s="1"/>
  <c r="AG191" i="11"/>
  <c r="AG190" i="11"/>
  <c r="AF190" i="11"/>
  <c r="AG189" i="11"/>
  <c r="AF189" i="11"/>
  <c r="AG187" i="11"/>
  <c r="AG186" i="11"/>
  <c r="AG185" i="11"/>
  <c r="AF185" i="11"/>
  <c r="AG178" i="11"/>
  <c r="AG177" i="11"/>
  <c r="AF177" i="11"/>
  <c r="AF176" i="11"/>
  <c r="AG173" i="11"/>
  <c r="AG172" i="11"/>
  <c r="AG171" i="11"/>
  <c r="AF171" i="11"/>
  <c r="AG167" i="11"/>
  <c r="AF167" i="11"/>
  <c r="AG166" i="11"/>
  <c r="AF166" i="11"/>
  <c r="AG164" i="11"/>
  <c r="AG161" i="11"/>
  <c r="AF161" i="11"/>
  <c r="AG159" i="11"/>
  <c r="AF159" i="11"/>
  <c r="AG156" i="11"/>
  <c r="AG154" i="11"/>
  <c r="AG153" i="11"/>
  <c r="AF153" i="11"/>
  <c r="AF149" i="11"/>
  <c r="AF148" i="11"/>
  <c r="AF147" i="11"/>
  <c r="AG146" i="11"/>
  <c r="AF146" i="11"/>
  <c r="AG144" i="11"/>
  <c r="AF144" i="11"/>
  <c r="AF143" i="11"/>
  <c r="AF142" i="11"/>
  <c r="AG140" i="11"/>
  <c r="AG139" i="11"/>
  <c r="AG138" i="11"/>
  <c r="AF138" i="11"/>
  <c r="AG135" i="11"/>
  <c r="AF135" i="11"/>
  <c r="AG134" i="11"/>
  <c r="AF133" i="11"/>
  <c r="AF132" i="11"/>
  <c r="AF131" i="11"/>
  <c r="AF127" i="11"/>
  <c r="AG125" i="11"/>
  <c r="AG124" i="11"/>
  <c r="AG122" i="11"/>
  <c r="AG121" i="11"/>
  <c r="AG120" i="11"/>
  <c r="AG118" i="11"/>
  <c r="AF117" i="11"/>
  <c r="AF116" i="11"/>
  <c r="AF114" i="11"/>
  <c r="AF112" i="11"/>
  <c r="AF111" i="11"/>
  <c r="AG110" i="11"/>
  <c r="AF110" i="11"/>
  <c r="AG109" i="11"/>
  <c r="AG108" i="11"/>
  <c r="AG107" i="11"/>
  <c r="AG106" i="11"/>
  <c r="AG105" i="11"/>
  <c r="AG104" i="11"/>
  <c r="AG103" i="11"/>
  <c r="AG102" i="11"/>
  <c r="AF102" i="11"/>
  <c r="AG101" i="11"/>
  <c r="AG100" i="11"/>
  <c r="AG97" i="11"/>
  <c r="AG93" i="11"/>
  <c r="AG89" i="11"/>
  <c r="AG81" i="11"/>
  <c r="AG71" i="11"/>
  <c r="AF70" i="11"/>
  <c r="AI70" i="11" s="1"/>
  <c r="AF65" i="11"/>
  <c r="AI65" i="11" s="1"/>
  <c r="AF64" i="11"/>
  <c r="AI64" i="11" s="1"/>
  <c r="AF62" i="11"/>
  <c r="AI62" i="11" s="1"/>
  <c r="AF60" i="11"/>
  <c r="AI60" i="11" s="1"/>
  <c r="AO60" i="11" s="1"/>
  <c r="AF59" i="11"/>
  <c r="AI59" i="11" s="1"/>
  <c r="AF58" i="11"/>
  <c r="AI58" i="11" s="1"/>
  <c r="AO58" i="11" s="1"/>
  <c r="AF55" i="11"/>
  <c r="AI55" i="11" s="1"/>
  <c r="AO55" i="11" s="1"/>
  <c r="AG51" i="11"/>
  <c r="AF42" i="11"/>
  <c r="AI42" i="11" s="1"/>
  <c r="AO42" i="11" s="1"/>
  <c r="AF35" i="11"/>
  <c r="AI35" i="11" s="1"/>
  <c r="AF31" i="11"/>
  <c r="AI31" i="11" s="1"/>
  <c r="AO31" i="11" s="1"/>
  <c r="AF28" i="11"/>
  <c r="AI28" i="11" s="1"/>
  <c r="AF27" i="11"/>
  <c r="AI27" i="11" s="1"/>
  <c r="AF26" i="11"/>
  <c r="AI26" i="11" s="1"/>
  <c r="AO26" i="11" s="1"/>
  <c r="AF25" i="11"/>
  <c r="AI25" i="11" s="1"/>
  <c r="AF24" i="11"/>
  <c r="AI32" i="11" s="1"/>
  <c r="AF23" i="11"/>
  <c r="AI23" i="11" s="1"/>
  <c r="AF21" i="11"/>
  <c r="AG224" i="11"/>
  <c r="AF224" i="11"/>
  <c r="AH197" i="11"/>
  <c r="AH203" i="11" s="1"/>
  <c r="AG46" i="11"/>
  <c r="C139" i="24"/>
  <c r="C138" i="24"/>
  <c r="C137" i="24"/>
  <c r="M173" i="3" s="1"/>
  <c r="AF172" i="11" s="1"/>
  <c r="C136" i="24"/>
  <c r="C135" i="24"/>
  <c r="C134" i="24"/>
  <c r="M159" i="3" s="1"/>
  <c r="AF169" i="11" s="1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M144" i="3"/>
  <c r="AF163" i="11" s="1"/>
  <c r="AI163" i="11" s="1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M148" i="3" s="1"/>
  <c r="P148" i="3" s="1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M91" i="3" s="1"/>
  <c r="P91" i="3" s="1"/>
  <c r="C56" i="24"/>
  <c r="C55" i="24"/>
  <c r="C54" i="24"/>
  <c r="C53" i="24"/>
  <c r="C52" i="24"/>
  <c r="C51" i="24"/>
  <c r="C50" i="24"/>
  <c r="C49" i="24"/>
  <c r="C48" i="24"/>
  <c r="C47" i="24"/>
  <c r="M86" i="3" s="1"/>
  <c r="P86" i="3" s="1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M65" i="3" s="1"/>
  <c r="AF68" i="11" s="1"/>
  <c r="AI68" i="11" s="1"/>
  <c r="C31" i="24"/>
  <c r="C30" i="24"/>
  <c r="C23" i="24"/>
  <c r="M184" i="3"/>
  <c r="AF191" i="11" s="1"/>
  <c r="C22" i="24"/>
  <c r="C21" i="24"/>
  <c r="C20" i="24"/>
  <c r="M182" i="3" s="1"/>
  <c r="P182" i="3" s="1"/>
  <c r="C19" i="24"/>
  <c r="C18" i="24"/>
  <c r="C17" i="24"/>
  <c r="C16" i="24"/>
  <c r="C15" i="24"/>
  <c r="C14" i="24"/>
  <c r="C13" i="24"/>
  <c r="C12" i="24"/>
  <c r="C11" i="24"/>
  <c r="C10" i="24"/>
  <c r="C9" i="24"/>
  <c r="C29" i="24"/>
  <c r="C28" i="24"/>
  <c r="C27" i="24"/>
  <c r="C26" i="24"/>
  <c r="C25" i="24"/>
  <c r="C24" i="24"/>
  <c r="F29" i="24"/>
  <c r="E139" i="24"/>
  <c r="E23" i="24"/>
  <c r="N183" i="3"/>
  <c r="M181" i="3"/>
  <c r="AF186" i="11" s="1"/>
  <c r="M175" i="3"/>
  <c r="P175" i="3" s="1"/>
  <c r="M172" i="3"/>
  <c r="P172" i="3" s="1"/>
  <c r="M169" i="3"/>
  <c r="P169" i="3" s="1"/>
  <c r="N167" i="3"/>
  <c r="N166" i="3"/>
  <c r="N163" i="3"/>
  <c r="N162" i="3"/>
  <c r="M161" i="3"/>
  <c r="AF137" i="11" s="1"/>
  <c r="M160" i="3"/>
  <c r="P160" i="3" s="1"/>
  <c r="M158" i="3"/>
  <c r="AF152" i="11" s="1"/>
  <c r="M155" i="3"/>
  <c r="P155" i="3" s="1"/>
  <c r="M154" i="3"/>
  <c r="AF140" i="11" s="1"/>
  <c r="M153" i="3"/>
  <c r="AF93" i="11" s="1"/>
  <c r="M151" i="3"/>
  <c r="AF139" i="11" s="1"/>
  <c r="M150" i="3"/>
  <c r="AF136" i="11" s="1"/>
  <c r="M142" i="3"/>
  <c r="AF126" i="11" s="1"/>
  <c r="M139" i="3"/>
  <c r="AF121" i="11" s="1"/>
  <c r="M137" i="3"/>
  <c r="AF155" i="11" s="1"/>
  <c r="M136" i="3"/>
  <c r="AF125" i="11" s="1"/>
  <c r="M133" i="3"/>
  <c r="P133" i="3" s="1"/>
  <c r="M129" i="3"/>
  <c r="AF115" i="11" s="1"/>
  <c r="M127" i="3"/>
  <c r="P127" i="3" s="1"/>
  <c r="M122" i="3"/>
  <c r="P122" i="3" s="1"/>
  <c r="M121" i="3"/>
  <c r="AF120" i="11" s="1"/>
  <c r="M120" i="3"/>
  <c r="AF101" i="11" s="1"/>
  <c r="M119" i="3"/>
  <c r="AF119" i="11" s="1"/>
  <c r="M118" i="3"/>
  <c r="AF100" i="11" s="1"/>
  <c r="M117" i="3"/>
  <c r="AF123" i="11" s="1"/>
  <c r="M116" i="3"/>
  <c r="AF162" i="11" s="1"/>
  <c r="M114" i="3"/>
  <c r="AF98" i="11" s="1"/>
  <c r="M111" i="3"/>
  <c r="AF106" i="11" s="1"/>
  <c r="M110" i="3"/>
  <c r="AF104" i="11" s="1"/>
  <c r="M109" i="3"/>
  <c r="AF103" i="11" s="1"/>
  <c r="M108" i="3"/>
  <c r="AF97" i="11" s="1"/>
  <c r="M107" i="3"/>
  <c r="AF96" i="11" s="1"/>
  <c r="M106" i="3"/>
  <c r="AF95" i="11" s="1"/>
  <c r="M105" i="3"/>
  <c r="AF94" i="11" s="1"/>
  <c r="M102" i="3"/>
  <c r="AF151" i="11" s="1"/>
  <c r="N101" i="3"/>
  <c r="M100" i="3"/>
  <c r="AF157" i="11" s="1"/>
  <c r="M98" i="3"/>
  <c r="AF129" i="11" s="1"/>
  <c r="M96" i="3"/>
  <c r="AF128" i="11" s="1"/>
  <c r="M94" i="3"/>
  <c r="AF156" i="11" s="1"/>
  <c r="M92" i="3"/>
  <c r="P92" i="3" s="1"/>
  <c r="M90" i="3"/>
  <c r="AF89" i="11" s="1"/>
  <c r="M89" i="3"/>
  <c r="AF81" i="11" s="1"/>
  <c r="M88" i="3"/>
  <c r="AF87" i="11" s="1"/>
  <c r="M87" i="3"/>
  <c r="AF83" i="11" s="1"/>
  <c r="AI83" i="11" s="1"/>
  <c r="M83" i="3"/>
  <c r="AF84" i="11" s="1"/>
  <c r="AI84" i="11" s="1"/>
  <c r="M82" i="3"/>
  <c r="AF82" i="11" s="1"/>
  <c r="M80" i="3"/>
  <c r="P80" i="3" s="1"/>
  <c r="M79" i="3"/>
  <c r="P79" i="3" s="1"/>
  <c r="M78" i="3"/>
  <c r="AF92" i="11" s="1"/>
  <c r="M76" i="3"/>
  <c r="AF124" i="11" s="1"/>
  <c r="M75" i="3"/>
  <c r="AF158" i="11" s="1"/>
  <c r="M68" i="3"/>
  <c r="AF61" i="11" s="1"/>
  <c r="AI61" i="11" s="1"/>
  <c r="M67" i="3"/>
  <c r="AF69" i="11" s="1"/>
  <c r="AI69" i="11" s="1"/>
  <c r="N66" i="3"/>
  <c r="M63" i="3"/>
  <c r="AF53" i="11" s="1"/>
  <c r="AH53" i="11" s="1"/>
  <c r="N62" i="3"/>
  <c r="M58" i="3"/>
  <c r="AF66" i="11" s="1"/>
  <c r="AI66" i="11" s="1"/>
  <c r="M56" i="3"/>
  <c r="AF57" i="11" s="1"/>
  <c r="AI57" i="11" s="1"/>
  <c r="AO57" i="11" s="1"/>
  <c r="M53" i="3"/>
  <c r="AF54" i="11" s="1"/>
  <c r="M52" i="3"/>
  <c r="P52" i="3" s="1"/>
  <c r="M44" i="3"/>
  <c r="AF45" i="11" s="1"/>
  <c r="AI45" i="11" s="1"/>
  <c r="M43" i="3"/>
  <c r="AF44" i="11" s="1"/>
  <c r="AI44" i="11" s="1"/>
  <c r="N42" i="3"/>
  <c r="M40" i="3"/>
  <c r="AF40" i="11" s="1"/>
  <c r="AI40" i="11" s="1"/>
  <c r="AO40" i="11" s="1"/>
  <c r="M33" i="3"/>
  <c r="P33" i="3" s="1"/>
  <c r="N28" i="3"/>
  <c r="N27" i="3"/>
  <c r="N26" i="3"/>
  <c r="N24" i="3"/>
  <c r="N23" i="3"/>
  <c r="M21" i="3"/>
  <c r="AF22" i="11" s="1"/>
  <c r="M20" i="3"/>
  <c r="AF33" i="11" s="1"/>
  <c r="AI33" i="11" s="1"/>
  <c r="M17" i="3"/>
  <c r="AF17" i="11" s="1"/>
  <c r="AI17" i="11" s="1"/>
  <c r="M16" i="3"/>
  <c r="P16" i="3" s="1"/>
  <c r="M15" i="3"/>
  <c r="AF13" i="11" s="1"/>
  <c r="AI13" i="11" s="1"/>
  <c r="M14" i="3"/>
  <c r="AF10" i="11" s="1"/>
  <c r="AI10" i="11" s="1"/>
  <c r="M13" i="3"/>
  <c r="AF9" i="11" s="1"/>
  <c r="AI9" i="11" s="1"/>
  <c r="M9" i="3"/>
  <c r="AF15" i="11" s="1"/>
  <c r="AI15" i="11" s="1"/>
  <c r="AO15" i="11" s="1"/>
  <c r="M142" i="5"/>
  <c r="N125" i="5"/>
  <c r="N123" i="5"/>
  <c r="N122" i="5"/>
  <c r="N120" i="5"/>
  <c r="N119" i="5"/>
  <c r="M118" i="5"/>
  <c r="P118" i="5" s="1"/>
  <c r="N117" i="5"/>
  <c r="M115" i="5"/>
  <c r="P115" i="5" s="1"/>
  <c r="M113" i="5"/>
  <c r="P113" i="5" s="1"/>
  <c r="M112" i="5"/>
  <c r="AG152" i="11" s="1"/>
  <c r="N111" i="5"/>
  <c r="M110" i="5"/>
  <c r="P110" i="5" s="1"/>
  <c r="N109" i="5"/>
  <c r="N108" i="5"/>
  <c r="N107" i="5"/>
  <c r="N106" i="5"/>
  <c r="M105" i="5"/>
  <c r="P105" i="5" s="1"/>
  <c r="M104" i="5"/>
  <c r="P104" i="5" s="1"/>
  <c r="N103" i="5"/>
  <c r="M102" i="5"/>
  <c r="P102" i="5" s="1"/>
  <c r="N101" i="5"/>
  <c r="M99" i="5"/>
  <c r="P99" i="5" s="1"/>
  <c r="M98" i="5"/>
  <c r="P98" i="5" s="1"/>
  <c r="N95" i="5"/>
  <c r="N94" i="5"/>
  <c r="M93" i="5"/>
  <c r="P93" i="5" s="1"/>
  <c r="N92" i="5"/>
  <c r="N91" i="5"/>
  <c r="N90" i="5"/>
  <c r="N89" i="5"/>
  <c r="N88" i="5"/>
  <c r="N87" i="5"/>
  <c r="M86" i="5"/>
  <c r="P86" i="5" s="1"/>
  <c r="M85" i="5"/>
  <c r="P85" i="5" s="1"/>
  <c r="N84" i="5"/>
  <c r="M82" i="5"/>
  <c r="P82" i="5" s="1"/>
  <c r="M73" i="5"/>
  <c r="P73" i="5" s="1"/>
  <c r="M71" i="5"/>
  <c r="P71" i="5" s="1"/>
  <c r="M70" i="5"/>
  <c r="AG162" i="11" s="1"/>
  <c r="N69" i="5"/>
  <c r="M68" i="5"/>
  <c r="P68" i="5" s="1"/>
  <c r="N67" i="5"/>
  <c r="N66" i="5"/>
  <c r="N65" i="5"/>
  <c r="N64" i="5"/>
  <c r="N63" i="5"/>
  <c r="N62" i="5"/>
  <c r="N60" i="5"/>
  <c r="M59" i="5"/>
  <c r="P59" i="5" s="1"/>
  <c r="M58" i="5"/>
  <c r="P58" i="5" s="1"/>
  <c r="M57" i="5"/>
  <c r="P57" i="5" s="1"/>
  <c r="N56" i="5"/>
  <c r="M55" i="5"/>
  <c r="P55" i="5" s="1"/>
  <c r="M53" i="5"/>
  <c r="P53" i="5" s="1"/>
  <c r="N52" i="5"/>
  <c r="M51" i="5"/>
  <c r="P51" i="5" s="1"/>
  <c r="M50" i="5"/>
  <c r="P50" i="5" s="1"/>
  <c r="M49" i="5"/>
  <c r="P49" i="5" s="1"/>
  <c r="M48" i="5"/>
  <c r="P48" i="5" s="1"/>
  <c r="M47" i="5"/>
  <c r="P47" i="5" s="1"/>
  <c r="N45" i="5"/>
  <c r="M44" i="5"/>
  <c r="P44" i="5" s="1"/>
  <c r="N43" i="5"/>
  <c r="N42" i="5"/>
  <c r="M37" i="5"/>
  <c r="P37" i="5" s="1"/>
  <c r="M36" i="5"/>
  <c r="P36" i="5" s="1"/>
  <c r="M34" i="5"/>
  <c r="P34" i="5" s="1"/>
  <c r="M33" i="5"/>
  <c r="P33" i="5" s="1"/>
  <c r="M13" i="5"/>
  <c r="P13" i="5" s="1"/>
  <c r="M9" i="5"/>
  <c r="P9" i="5" s="1"/>
  <c r="P10" i="5" s="1"/>
  <c r="N151" i="5"/>
  <c r="M151" i="5"/>
  <c r="N139" i="5"/>
  <c r="M139" i="5"/>
  <c r="N128" i="5"/>
  <c r="N127" i="5"/>
  <c r="N126" i="5"/>
  <c r="N124" i="5"/>
  <c r="N116" i="5"/>
  <c r="N114" i="5"/>
  <c r="N100" i="5"/>
  <c r="N97" i="5"/>
  <c r="N76" i="5"/>
  <c r="N75" i="5"/>
  <c r="N74" i="5"/>
  <c r="N72" i="5"/>
  <c r="N61" i="5"/>
  <c r="N41" i="5"/>
  <c r="N40" i="5"/>
  <c r="N39" i="5"/>
  <c r="N19" i="5"/>
  <c r="M19" i="5"/>
  <c r="C59" i="25"/>
  <c r="E11" i="25"/>
  <c r="E58" i="25"/>
  <c r="C58" i="25"/>
  <c r="C11" i="25"/>
  <c r="N200" i="3"/>
  <c r="M200" i="3"/>
  <c r="N187" i="3"/>
  <c r="N174" i="3"/>
  <c r="N164" i="3"/>
  <c r="N143" i="3"/>
  <c r="N138" i="3"/>
  <c r="N134" i="3"/>
  <c r="N132" i="3"/>
  <c r="M50" i="3"/>
  <c r="P50" i="3" s="1"/>
  <c r="N34" i="3"/>
  <c r="N32" i="3"/>
  <c r="AD123" i="11"/>
  <c r="T123" i="11"/>
  <c r="O123" i="11"/>
  <c r="J123" i="11"/>
  <c r="H72" i="11"/>
  <c r="G178" i="11"/>
  <c r="F123" i="11"/>
  <c r="E203" i="11"/>
  <c r="K31" i="3"/>
  <c r="AA24" i="11" s="1"/>
  <c r="AD24" i="11" s="1"/>
  <c r="K185" i="3"/>
  <c r="N185" i="3" s="1"/>
  <c r="K113" i="3"/>
  <c r="K112" i="3"/>
  <c r="K146" i="3"/>
  <c r="K36" i="5"/>
  <c r="K70" i="3"/>
  <c r="B19" i="11"/>
  <c r="B37" i="11"/>
  <c r="B46" i="11"/>
  <c r="B52" i="11"/>
  <c r="B54" i="11"/>
  <c r="B68" i="11"/>
  <c r="B77" i="11"/>
  <c r="B78" i="11"/>
  <c r="B83" i="11"/>
  <c r="B93" i="11"/>
  <c r="B94" i="11"/>
  <c r="B95" i="11"/>
  <c r="B96" i="11"/>
  <c r="B97" i="11"/>
  <c r="B98" i="11"/>
  <c r="B99" i="11"/>
  <c r="B131" i="11"/>
  <c r="B132" i="11"/>
  <c r="B133" i="11"/>
  <c r="B134" i="11"/>
  <c r="B156" i="11"/>
  <c r="B157" i="11"/>
  <c r="B161" i="11"/>
  <c r="B162" i="11"/>
  <c r="B164" i="11"/>
  <c r="B165" i="11"/>
  <c r="B166" i="11"/>
  <c r="B169" i="11"/>
  <c r="B186" i="11"/>
  <c r="B193" i="11"/>
  <c r="B202" i="11"/>
  <c r="B221" i="11"/>
  <c r="R143" i="5" l="1"/>
  <c r="R153" i="5"/>
  <c r="R160" i="5" s="1"/>
  <c r="N85" i="3"/>
  <c r="AG18" i="11"/>
  <c r="AH18" i="11" s="1"/>
  <c r="AI18" i="11" s="1"/>
  <c r="AG94" i="11"/>
  <c r="AG95" i="11"/>
  <c r="AG116" i="11"/>
  <c r="AG143" i="11"/>
  <c r="AI143" i="11" s="1"/>
  <c r="AG78" i="11"/>
  <c r="AI78" i="11" s="1"/>
  <c r="AG151" i="11"/>
  <c r="AI151" i="11" s="1"/>
  <c r="AG179" i="11"/>
  <c r="P15" i="5"/>
  <c r="P16" i="5" s="1"/>
  <c r="P20" i="5" s="1"/>
  <c r="AG169" i="11"/>
  <c r="AI169" i="11" s="1"/>
  <c r="AG174" i="11"/>
  <c r="AI174" i="11" s="1"/>
  <c r="AO174" i="11" s="1"/>
  <c r="AG137" i="11"/>
  <c r="AI137" i="11" s="1"/>
  <c r="N14" i="5"/>
  <c r="AG96" i="11"/>
  <c r="AG114" i="11"/>
  <c r="AG176" i="11"/>
  <c r="AI176" i="11" s="1"/>
  <c r="M15" i="5"/>
  <c r="AG155" i="11"/>
  <c r="AI155" i="11" s="1"/>
  <c r="AG22" i="11"/>
  <c r="AG90" i="11"/>
  <c r="AG54" i="11"/>
  <c r="AI54" i="11" s="1"/>
  <c r="P25" i="5"/>
  <c r="P29" i="5" s="1"/>
  <c r="AG111" i="11"/>
  <c r="AG112" i="11"/>
  <c r="AG158" i="11"/>
  <c r="AI158" i="11" s="1"/>
  <c r="AG21" i="11"/>
  <c r="AI21" i="11" s="1"/>
  <c r="AL230" i="11"/>
  <c r="AJ163" i="11"/>
  <c r="AO163" i="11"/>
  <c r="K123" i="11"/>
  <c r="O153" i="5"/>
  <c r="O155" i="5" s="1"/>
  <c r="O161" i="5" s="1"/>
  <c r="O143" i="5"/>
  <c r="O145" i="5" s="1"/>
  <c r="AG127" i="11"/>
  <c r="AI127" i="11" s="1"/>
  <c r="AG128" i="11"/>
  <c r="AI128" i="11" s="1"/>
  <c r="AG98" i="11"/>
  <c r="AG130" i="11"/>
  <c r="AI130" i="11" s="1"/>
  <c r="AG115" i="11"/>
  <c r="N112" i="5"/>
  <c r="P112" i="5"/>
  <c r="AG123" i="11"/>
  <c r="AG133" i="11"/>
  <c r="AI133" i="11" s="1"/>
  <c r="AG147" i="11"/>
  <c r="AI147" i="11" s="1"/>
  <c r="AG132" i="11"/>
  <c r="AI132" i="11" s="1"/>
  <c r="P78" i="5"/>
  <c r="AG92" i="11"/>
  <c r="AI92" i="11" s="1"/>
  <c r="AG126" i="11"/>
  <c r="AI126" i="11" s="1"/>
  <c r="AO126" i="11" s="1"/>
  <c r="AG142" i="11"/>
  <c r="AI142" i="11" s="1"/>
  <c r="AG113" i="11"/>
  <c r="AG117" i="11"/>
  <c r="AG82" i="11"/>
  <c r="AG119" i="11"/>
  <c r="N98" i="5"/>
  <c r="N70" i="5"/>
  <c r="P70" i="5"/>
  <c r="AG157" i="11"/>
  <c r="AI157" i="11" s="1"/>
  <c r="AG129" i="11"/>
  <c r="AI129" i="11" s="1"/>
  <c r="AG131" i="11"/>
  <c r="AI131" i="11" s="1"/>
  <c r="P81" i="5"/>
  <c r="AG148" i="11"/>
  <c r="AI148" i="11" s="1"/>
  <c r="AG87" i="11"/>
  <c r="AI87" i="11" s="1"/>
  <c r="AG136" i="11"/>
  <c r="AI136" i="11" s="1"/>
  <c r="AG149" i="11"/>
  <c r="AI149" i="11" s="1"/>
  <c r="AF79" i="11"/>
  <c r="AI79" i="11" s="1"/>
  <c r="AO79" i="11" s="1"/>
  <c r="AF88" i="11"/>
  <c r="AI88" i="11" s="1"/>
  <c r="AO88" i="11" s="1"/>
  <c r="AF51" i="11"/>
  <c r="AI51" i="11" s="1"/>
  <c r="AF175" i="11"/>
  <c r="AI175" i="11" s="1"/>
  <c r="AO175" i="11" s="1"/>
  <c r="AF178" i="11"/>
  <c r="AI178" i="11" s="1"/>
  <c r="AF105" i="11"/>
  <c r="AF52" i="11"/>
  <c r="AI52" i="11" s="1"/>
  <c r="M41" i="3"/>
  <c r="AF41" i="11" s="1"/>
  <c r="AI41" i="11" s="1"/>
  <c r="AO41" i="11" s="1"/>
  <c r="AF179" i="11"/>
  <c r="AF86" i="11"/>
  <c r="AI86" i="11" s="1"/>
  <c r="P85" i="3"/>
  <c r="AF109" i="11"/>
  <c r="AF118" i="11"/>
  <c r="N70" i="3"/>
  <c r="AF173" i="11"/>
  <c r="AI173" i="11" s="1"/>
  <c r="AO173" i="11" s="1"/>
  <c r="AF164" i="11"/>
  <c r="AI164" i="11" s="1"/>
  <c r="AF187" i="11"/>
  <c r="AF195" i="11" s="1"/>
  <c r="AF150" i="11"/>
  <c r="AI150" i="11" s="1"/>
  <c r="AO150" i="11" s="1"/>
  <c r="AF90" i="11"/>
  <c r="AF134" i="11"/>
  <c r="AI134" i="11" s="1"/>
  <c r="AF145" i="11"/>
  <c r="AI145" i="11" s="1"/>
  <c r="AO145" i="11" s="1"/>
  <c r="N144" i="3"/>
  <c r="P144" i="3"/>
  <c r="AF43" i="11"/>
  <c r="AI43" i="11" s="1"/>
  <c r="N158" i="3"/>
  <c r="P158" i="3"/>
  <c r="AF122" i="11"/>
  <c r="P115" i="3"/>
  <c r="AF34" i="11"/>
  <c r="AI34" i="11" s="1"/>
  <c r="AO34" i="11" s="1"/>
  <c r="AF16" i="11"/>
  <c r="AI16" i="11" s="1"/>
  <c r="AO16" i="11" s="1"/>
  <c r="AF113" i="11"/>
  <c r="AJ98" i="11"/>
  <c r="AI152" i="11"/>
  <c r="AJ109" i="11"/>
  <c r="AI140" i="11"/>
  <c r="AI125" i="11"/>
  <c r="AO125" i="11" s="1"/>
  <c r="AI190" i="11"/>
  <c r="AJ94" i="11"/>
  <c r="AJ105" i="11"/>
  <c r="AJ115" i="11"/>
  <c r="AJ100" i="11"/>
  <c r="AI153" i="11"/>
  <c r="AO153" i="11" s="1"/>
  <c r="AJ101" i="11"/>
  <c r="AI146" i="11"/>
  <c r="AO146" i="11" s="1"/>
  <c r="AI93" i="11"/>
  <c r="AJ104" i="11"/>
  <c r="AJ114" i="11"/>
  <c r="AI124" i="11"/>
  <c r="AI135" i="11"/>
  <c r="AI172" i="11"/>
  <c r="AI189" i="11"/>
  <c r="AI166" i="11"/>
  <c r="AJ113" i="11"/>
  <c r="AI81" i="11"/>
  <c r="AI156" i="11"/>
  <c r="AI89" i="11"/>
  <c r="AJ111" i="11"/>
  <c r="AI171" i="11"/>
  <c r="AJ95" i="11"/>
  <c r="AJ106" i="11"/>
  <c r="AJ116" i="11"/>
  <c r="AI159" i="11"/>
  <c r="AJ96" i="11"/>
  <c r="AJ107" i="11"/>
  <c r="AI138" i="11"/>
  <c r="AI161" i="11"/>
  <c r="AI167" i="11"/>
  <c r="AJ103" i="11"/>
  <c r="AI185" i="11"/>
  <c r="AJ102" i="11"/>
  <c r="AI186" i="11"/>
  <c r="AI191" i="11"/>
  <c r="AJ97" i="11"/>
  <c r="AJ108" i="11"/>
  <c r="AI139" i="11"/>
  <c r="AI162" i="11"/>
  <c r="AI177" i="11"/>
  <c r="AJ110" i="11"/>
  <c r="AI154" i="11"/>
  <c r="AJ112" i="11"/>
  <c r="AI144" i="11"/>
  <c r="M29" i="5"/>
  <c r="M129" i="5"/>
  <c r="AG195" i="11"/>
  <c r="P123" i="11"/>
  <c r="AH199" i="11"/>
  <c r="U123" i="11"/>
  <c r="AH72" i="11"/>
  <c r="C141" i="24"/>
  <c r="M191" i="3" s="1"/>
  <c r="Y123" i="11"/>
  <c r="Z123" i="11" s="1"/>
  <c r="B195" i="11"/>
  <c r="B38" i="11"/>
  <c r="B47" i="11" s="1"/>
  <c r="B180" i="11"/>
  <c r="AI179" i="11" l="1"/>
  <c r="R157" i="5"/>
  <c r="R155" i="5"/>
  <c r="R161" i="5" s="1"/>
  <c r="AG37" i="11"/>
  <c r="O160" i="5"/>
  <c r="AI22" i="11"/>
  <c r="AI37" i="11" s="1"/>
  <c r="P30" i="5"/>
  <c r="P31" i="5" s="1"/>
  <c r="AG72" i="11"/>
  <c r="O157" i="5"/>
  <c r="AI90" i="11"/>
  <c r="P129" i="5"/>
  <c r="P131" i="5" s="1"/>
  <c r="P141" i="5" s="1"/>
  <c r="P153" i="5" s="1"/>
  <c r="P157" i="5" s="1"/>
  <c r="AG180" i="11"/>
  <c r="AI82" i="11"/>
  <c r="AF46" i="11"/>
  <c r="AI187" i="11"/>
  <c r="M45" i="3"/>
  <c r="AF19" i="11"/>
  <c r="AF37" i="11"/>
  <c r="AI123" i="11"/>
  <c r="AI46" i="11"/>
  <c r="P70" i="3"/>
  <c r="AF71" i="11"/>
  <c r="M131" i="5"/>
  <c r="C140" i="24"/>
  <c r="AE123" i="11"/>
  <c r="K14" i="3"/>
  <c r="N14" i="3" s="1"/>
  <c r="K149" i="3"/>
  <c r="K168" i="3"/>
  <c r="K97" i="3"/>
  <c r="K145" i="3"/>
  <c r="N145" i="3" s="1"/>
  <c r="K93" i="3"/>
  <c r="N93" i="3" s="1"/>
  <c r="K104" i="3"/>
  <c r="N104" i="3" s="1"/>
  <c r="K131" i="3"/>
  <c r="N131" i="3" s="1"/>
  <c r="K140" i="3"/>
  <c r="K141" i="3"/>
  <c r="N141" i="3" s="1"/>
  <c r="K135" i="3"/>
  <c r="I12" i="14"/>
  <c r="I11" i="14"/>
  <c r="I10" i="14"/>
  <c r="I9" i="14"/>
  <c r="I8" i="14"/>
  <c r="I7" i="14"/>
  <c r="I6" i="14"/>
  <c r="I5" i="14"/>
  <c r="I4" i="14"/>
  <c r="I3" i="14"/>
  <c r="K156" i="3"/>
  <c r="K51" i="3"/>
  <c r="K69" i="3"/>
  <c r="K103" i="3"/>
  <c r="K75" i="3"/>
  <c r="K129" i="3"/>
  <c r="K130" i="3"/>
  <c r="K99" i="3"/>
  <c r="K22" i="3"/>
  <c r="K55" i="3"/>
  <c r="K96" i="3"/>
  <c r="K95" i="3"/>
  <c r="K60" i="3"/>
  <c r="AG182" i="11" l="1"/>
  <c r="P160" i="5"/>
  <c r="P155" i="5"/>
  <c r="P161" i="5" s="1"/>
  <c r="AF38" i="11"/>
  <c r="AF47" i="11" s="1"/>
  <c r="AJ123" i="11"/>
  <c r="AO123" i="11"/>
  <c r="AI195" i="11"/>
  <c r="AO187" i="11"/>
  <c r="AI71" i="11"/>
  <c r="AI72" i="11" s="1"/>
  <c r="AF72" i="11"/>
  <c r="K78" i="3"/>
  <c r="AA92" i="11" s="1"/>
  <c r="K87" i="3"/>
  <c r="AA83" i="11" s="1"/>
  <c r="AD83" i="11" s="1"/>
  <c r="AJ83" i="11" s="1"/>
  <c r="AA21" i="11"/>
  <c r="AD21" i="11" s="1"/>
  <c r="AJ21" i="11" s="1"/>
  <c r="AA62" i="11"/>
  <c r="AD62" i="11" s="1"/>
  <c r="AJ62" i="11" s="1"/>
  <c r="K114" i="3"/>
  <c r="K107" i="3"/>
  <c r="K106" i="3"/>
  <c r="K105" i="3"/>
  <c r="K117" i="3"/>
  <c r="K128" i="3"/>
  <c r="K123" i="3"/>
  <c r="K126" i="3"/>
  <c r="AA131" i="11" s="1"/>
  <c r="K125" i="3"/>
  <c r="K124" i="3"/>
  <c r="K157" i="3"/>
  <c r="N157" i="3" s="1"/>
  <c r="AA192" i="11"/>
  <c r="AD192" i="11" s="1"/>
  <c r="AJ192" i="11" s="1"/>
  <c r="K165" i="3"/>
  <c r="N165" i="3" s="1"/>
  <c r="K115" i="3"/>
  <c r="N115" i="3" s="1"/>
  <c r="K39" i="3"/>
  <c r="N39" i="3" s="1"/>
  <c r="K121" i="5"/>
  <c r="N121" i="5" s="1"/>
  <c r="K73" i="5"/>
  <c r="K83" i="5"/>
  <c r="K78" i="5"/>
  <c r="AB132" i="11" s="1"/>
  <c r="K81" i="5"/>
  <c r="AB131" i="11" s="1"/>
  <c r="K80" i="5"/>
  <c r="K79" i="5"/>
  <c r="AD188" i="11"/>
  <c r="AJ188" i="11" s="1"/>
  <c r="AD170" i="11"/>
  <c r="AJ170" i="11" s="1"/>
  <c r="AD165" i="11"/>
  <c r="AJ165" i="11" s="1"/>
  <c r="AD141" i="11"/>
  <c r="AJ141" i="11" s="1"/>
  <c r="AD91" i="11"/>
  <c r="AJ91" i="11" s="1"/>
  <c r="AD36" i="11"/>
  <c r="AJ36" i="11" s="1"/>
  <c r="AJ32" i="11"/>
  <c r="AD30" i="11"/>
  <c r="AJ30" i="11" s="1"/>
  <c r="AD29" i="11"/>
  <c r="AJ29" i="11" s="1"/>
  <c r="L128" i="5"/>
  <c r="L127" i="5"/>
  <c r="L126" i="5"/>
  <c r="L125" i="5"/>
  <c r="L124" i="5"/>
  <c r="L123" i="5"/>
  <c r="L122" i="5"/>
  <c r="L120" i="5"/>
  <c r="L119" i="5"/>
  <c r="L117" i="5"/>
  <c r="L116" i="5"/>
  <c r="L114" i="5"/>
  <c r="L112" i="5"/>
  <c r="L111" i="5"/>
  <c r="L109" i="5"/>
  <c r="L108" i="5"/>
  <c r="L107" i="5"/>
  <c r="L106" i="5"/>
  <c r="L103" i="5"/>
  <c r="L101" i="5"/>
  <c r="L100" i="5"/>
  <c r="L98" i="5"/>
  <c r="L97" i="5"/>
  <c r="L95" i="5"/>
  <c r="L94" i="5"/>
  <c r="L92" i="5"/>
  <c r="L91" i="5"/>
  <c r="L90" i="5"/>
  <c r="L89" i="5"/>
  <c r="L88" i="5"/>
  <c r="L87" i="5"/>
  <c r="L84" i="5"/>
  <c r="L76" i="5"/>
  <c r="L75" i="5"/>
  <c r="L74" i="5"/>
  <c r="L72" i="5"/>
  <c r="L70" i="5"/>
  <c r="L69" i="5"/>
  <c r="L67" i="5"/>
  <c r="L66" i="5"/>
  <c r="L65" i="5"/>
  <c r="L64" i="5"/>
  <c r="L63" i="5"/>
  <c r="L62" i="5"/>
  <c r="L61" i="5"/>
  <c r="L60" i="5"/>
  <c r="L56" i="5"/>
  <c r="L52" i="5"/>
  <c r="L45" i="5"/>
  <c r="L43" i="5"/>
  <c r="L42" i="5"/>
  <c r="L41" i="5"/>
  <c r="L40" i="5"/>
  <c r="L39" i="5"/>
  <c r="AB191" i="11"/>
  <c r="AB187" i="11"/>
  <c r="AB186" i="11"/>
  <c r="AB185" i="11"/>
  <c r="AB178" i="11"/>
  <c r="AB177" i="11"/>
  <c r="AB173" i="11"/>
  <c r="AB172" i="11"/>
  <c r="AB171" i="11"/>
  <c r="AB167" i="11"/>
  <c r="AB166" i="11"/>
  <c r="AB164" i="11"/>
  <c r="AB162" i="11"/>
  <c r="AB161" i="11"/>
  <c r="AB159" i="11"/>
  <c r="AB156" i="11"/>
  <c r="AB154" i="11"/>
  <c r="AB153" i="11"/>
  <c r="AB152" i="11"/>
  <c r="AB151" i="11"/>
  <c r="AB146" i="11"/>
  <c r="AB140" i="11"/>
  <c r="AB139" i="11"/>
  <c r="AB138" i="11"/>
  <c r="AB135" i="11"/>
  <c r="AB134" i="11"/>
  <c r="AB130" i="11"/>
  <c r="AB126" i="11"/>
  <c r="AB125" i="11"/>
  <c r="AB124" i="11"/>
  <c r="AB93" i="11"/>
  <c r="AB89" i="11"/>
  <c r="AB82" i="11"/>
  <c r="AB81" i="11"/>
  <c r="AB42" i="11"/>
  <c r="AB46" i="11" s="1"/>
  <c r="AA190" i="11"/>
  <c r="AD190" i="11" s="1"/>
  <c r="AJ190" i="11" s="1"/>
  <c r="AA189" i="11"/>
  <c r="AD189" i="11" s="1"/>
  <c r="AJ189" i="11" s="1"/>
  <c r="AA185" i="11"/>
  <c r="AA177" i="11"/>
  <c r="AA171" i="11"/>
  <c r="AA167" i="11"/>
  <c r="AA166" i="11"/>
  <c r="AA161" i="11"/>
  <c r="AA158" i="11"/>
  <c r="AA153" i="11"/>
  <c r="AA152" i="11"/>
  <c r="AA149" i="11"/>
  <c r="AA146" i="11"/>
  <c r="AA143" i="11"/>
  <c r="AA142" i="11"/>
  <c r="AA138" i="11"/>
  <c r="AA135" i="11"/>
  <c r="AA86" i="11"/>
  <c r="AD86" i="11" s="1"/>
  <c r="AJ86" i="11" s="1"/>
  <c r="AA84" i="11"/>
  <c r="AD84" i="11" s="1"/>
  <c r="AJ84" i="11" s="1"/>
  <c r="AA71" i="11"/>
  <c r="AD71" i="11" s="1"/>
  <c r="AA70" i="11"/>
  <c r="AD70" i="11" s="1"/>
  <c r="AJ70" i="11" s="1"/>
  <c r="AA42" i="11"/>
  <c r="AA35" i="11"/>
  <c r="AD35" i="11" s="1"/>
  <c r="AJ35" i="11" s="1"/>
  <c r="AA28" i="11"/>
  <c r="AD28" i="11" s="1"/>
  <c r="AJ28" i="11" s="1"/>
  <c r="AA27" i="11"/>
  <c r="AD27" i="11" s="1"/>
  <c r="AJ27" i="11" s="1"/>
  <c r="AA26" i="11"/>
  <c r="AD26" i="11" s="1"/>
  <c r="AJ26" i="11" s="1"/>
  <c r="AA25" i="11"/>
  <c r="AD25" i="11" s="1"/>
  <c r="AJ25" i="11" s="1"/>
  <c r="AJ24" i="11"/>
  <c r="AA23" i="11"/>
  <c r="AD23" i="11" s="1"/>
  <c r="AJ23" i="11" s="1"/>
  <c r="AB224" i="11"/>
  <c r="AC197" i="11"/>
  <c r="AC203" i="11" s="1"/>
  <c r="AD193" i="11"/>
  <c r="AJ193" i="11" s="1"/>
  <c r="K118" i="5"/>
  <c r="N118" i="5" s="1"/>
  <c r="K115" i="5"/>
  <c r="AB137" i="11" s="1"/>
  <c r="K113" i="5"/>
  <c r="AB169" i="11" s="1"/>
  <c r="K110" i="5"/>
  <c r="AB176" i="11" s="1"/>
  <c r="K105" i="5"/>
  <c r="AB136" i="11" s="1"/>
  <c r="K104" i="5"/>
  <c r="N104" i="5" s="1"/>
  <c r="K102" i="5"/>
  <c r="N102" i="5" s="1"/>
  <c r="K99" i="5"/>
  <c r="K96" i="5"/>
  <c r="AB147" i="11" s="1"/>
  <c r="K93" i="5"/>
  <c r="AB155" i="11" s="1"/>
  <c r="K86" i="5"/>
  <c r="K85" i="5"/>
  <c r="N85" i="5" s="1"/>
  <c r="K82" i="5"/>
  <c r="N82" i="5" s="1"/>
  <c r="K71" i="5"/>
  <c r="K68" i="5"/>
  <c r="K59" i="5"/>
  <c r="K58" i="5"/>
  <c r="K57" i="5"/>
  <c r="K55" i="5"/>
  <c r="N55" i="5" s="1"/>
  <c r="K54" i="5"/>
  <c r="N54" i="5" s="1"/>
  <c r="K53" i="5"/>
  <c r="N53" i="5" s="1"/>
  <c r="K51" i="5"/>
  <c r="AB157" i="11" s="1"/>
  <c r="K49" i="5"/>
  <c r="N49" i="5" s="1"/>
  <c r="K48" i="5"/>
  <c r="AB133" i="11" s="1"/>
  <c r="K47" i="5"/>
  <c r="AB128" i="11" s="1"/>
  <c r="K46" i="5"/>
  <c r="AB127" i="11" s="1"/>
  <c r="K44" i="5"/>
  <c r="N44" i="5" s="1"/>
  <c r="K38" i="5"/>
  <c r="K37" i="5"/>
  <c r="AB92" i="11"/>
  <c r="K34" i="5"/>
  <c r="K33" i="5"/>
  <c r="N33" i="5" s="1"/>
  <c r="K25" i="5"/>
  <c r="K13" i="5"/>
  <c r="N13" i="5" s="1"/>
  <c r="N15" i="5" s="1"/>
  <c r="K9" i="5"/>
  <c r="AB18" i="11" s="1"/>
  <c r="L151" i="5"/>
  <c r="K151" i="5"/>
  <c r="K142" i="5"/>
  <c r="L139" i="5"/>
  <c r="K139" i="5"/>
  <c r="L19" i="5"/>
  <c r="K19" i="5"/>
  <c r="C55" i="23"/>
  <c r="C54" i="23"/>
  <c r="C11" i="23"/>
  <c r="K175" i="3"/>
  <c r="C136" i="22"/>
  <c r="C135" i="22"/>
  <c r="C134" i="22"/>
  <c r="K160" i="3" s="1"/>
  <c r="C133" i="22"/>
  <c r="C132" i="22"/>
  <c r="K159" i="3" s="1"/>
  <c r="AA169" i="11" s="1"/>
  <c r="C131" i="22"/>
  <c r="C130" i="22"/>
  <c r="C129" i="22"/>
  <c r="C128" i="22"/>
  <c r="C127" i="22"/>
  <c r="C126" i="22"/>
  <c r="C125" i="22"/>
  <c r="C124" i="22"/>
  <c r="C123" i="22"/>
  <c r="C122" i="22"/>
  <c r="C121" i="22"/>
  <c r="C120" i="22"/>
  <c r="C119" i="22"/>
  <c r="C118" i="22"/>
  <c r="C117" i="22"/>
  <c r="C116" i="22"/>
  <c r="C115" i="22"/>
  <c r="C114" i="22"/>
  <c r="K139" i="3" s="1"/>
  <c r="C113" i="22"/>
  <c r="C112" i="22"/>
  <c r="C111" i="22"/>
  <c r="C110" i="22"/>
  <c r="C109" i="22"/>
  <c r="C108" i="22"/>
  <c r="C107" i="22"/>
  <c r="C106" i="22"/>
  <c r="C105" i="22"/>
  <c r="C104" i="22"/>
  <c r="C103" i="22"/>
  <c r="K120" i="3" s="1"/>
  <c r="C102" i="22"/>
  <c r="C101" i="22"/>
  <c r="C100" i="22"/>
  <c r="C99" i="22"/>
  <c r="K94" i="3" s="1"/>
  <c r="AA156" i="11" s="1"/>
  <c r="C98" i="22"/>
  <c r="C97" i="22"/>
  <c r="C96" i="22"/>
  <c r="AA144" i="11" s="1"/>
  <c r="C95" i="22"/>
  <c r="C94" i="22"/>
  <c r="C93" i="22"/>
  <c r="C92" i="22"/>
  <c r="C91" i="22"/>
  <c r="C90" i="22"/>
  <c r="C89" i="22"/>
  <c r="L174" i="3"/>
  <c r="K173" i="3"/>
  <c r="AA172" i="11" s="1"/>
  <c r="K172" i="3"/>
  <c r="N172" i="3" s="1"/>
  <c r="K169" i="3"/>
  <c r="N169" i="3" s="1"/>
  <c r="L166" i="3"/>
  <c r="L164" i="3"/>
  <c r="L163" i="3"/>
  <c r="C88" i="22"/>
  <c r="C87" i="22"/>
  <c r="AA133" i="11"/>
  <c r="AA128" i="11"/>
  <c r="K33" i="3"/>
  <c r="L32" i="3"/>
  <c r="C86" i="22"/>
  <c r="C85" i="22"/>
  <c r="C84" i="22"/>
  <c r="C83" i="22"/>
  <c r="C82" i="22"/>
  <c r="C81" i="22"/>
  <c r="C80" i="22"/>
  <c r="C79" i="22"/>
  <c r="C78" i="22"/>
  <c r="C77" i="22"/>
  <c r="C76" i="22"/>
  <c r="K147" i="3" s="1"/>
  <c r="AA148" i="11" s="1"/>
  <c r="C75" i="22"/>
  <c r="C74" i="22"/>
  <c r="C73" i="22"/>
  <c r="C72" i="22"/>
  <c r="K79" i="3" s="1"/>
  <c r="C71" i="22"/>
  <c r="Y31" i="11"/>
  <c r="Z31" i="11" s="1"/>
  <c r="L28" i="3"/>
  <c r="C70" i="22"/>
  <c r="C69" i="22"/>
  <c r="C68" i="22"/>
  <c r="C67" i="22"/>
  <c r="C66" i="22"/>
  <c r="C65" i="22"/>
  <c r="C64" i="22"/>
  <c r="C63" i="22"/>
  <c r="C62" i="22"/>
  <c r="C61" i="22"/>
  <c r="C60" i="22"/>
  <c r="C59" i="22"/>
  <c r="C58" i="22"/>
  <c r="C57" i="22"/>
  <c r="C56" i="22"/>
  <c r="C55" i="22"/>
  <c r="C54" i="22"/>
  <c r="C53" i="22"/>
  <c r="C52" i="22"/>
  <c r="K161" i="3" s="1"/>
  <c r="AA137" i="11" s="1"/>
  <c r="C51" i="22"/>
  <c r="K61" i="3" s="1"/>
  <c r="AA67" i="11" s="1"/>
  <c r="AD67" i="11" s="1"/>
  <c r="AJ67" i="11" s="1"/>
  <c r="C50" i="22"/>
  <c r="AA59" i="11" s="1"/>
  <c r="AD59" i="11" s="1"/>
  <c r="AJ59" i="11" s="1"/>
  <c r="K59" i="3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K53" i="3" s="1"/>
  <c r="AA54" i="11" s="1"/>
  <c r="C35" i="22"/>
  <c r="C34" i="22"/>
  <c r="C33" i="22"/>
  <c r="C32" i="22"/>
  <c r="C31" i="22"/>
  <c r="C30" i="22"/>
  <c r="K90" i="3"/>
  <c r="AA89" i="11" s="1"/>
  <c r="K82" i="3"/>
  <c r="AA82" i="11" s="1"/>
  <c r="K68" i="3"/>
  <c r="AA61" i="11" s="1"/>
  <c r="AD61" i="11" s="1"/>
  <c r="AJ61" i="11" s="1"/>
  <c r="AA68" i="11"/>
  <c r="AD68" i="11" s="1"/>
  <c r="AJ68" i="11" s="1"/>
  <c r="K67" i="3"/>
  <c r="AA69" i="11" s="1"/>
  <c r="AD69" i="11" s="1"/>
  <c r="AJ69" i="11" s="1"/>
  <c r="C22" i="22"/>
  <c r="K184" i="3" s="1"/>
  <c r="AA191" i="11" s="1"/>
  <c r="C20" i="22"/>
  <c r="C19" i="22"/>
  <c r="C18" i="22"/>
  <c r="C17" i="22"/>
  <c r="C16" i="22"/>
  <c r="K40" i="3" s="1"/>
  <c r="AA40" i="11" s="1"/>
  <c r="AD40" i="11" s="1"/>
  <c r="AJ40" i="11" s="1"/>
  <c r="C15" i="22"/>
  <c r="C14" i="22"/>
  <c r="K16" i="3" s="1"/>
  <c r="N16" i="3" s="1"/>
  <c r="C13" i="22"/>
  <c r="C12" i="22"/>
  <c r="C11" i="22"/>
  <c r="C10" i="22"/>
  <c r="C9" i="22"/>
  <c r="C29" i="22"/>
  <c r="C28" i="22"/>
  <c r="C27" i="22"/>
  <c r="C26" i="22"/>
  <c r="C25" i="22"/>
  <c r="C24" i="22"/>
  <c r="K182" i="3"/>
  <c r="N182" i="3" s="1"/>
  <c r="K181" i="3"/>
  <c r="AA186" i="11" s="1"/>
  <c r="AA176" i="11"/>
  <c r="K155" i="3"/>
  <c r="K154" i="3"/>
  <c r="AA140" i="11" s="1"/>
  <c r="K153" i="3"/>
  <c r="AA93" i="11" s="1"/>
  <c r="K151" i="3"/>
  <c r="AA139" i="11" s="1"/>
  <c r="K150" i="3"/>
  <c r="AA136" i="11" s="1"/>
  <c r="K148" i="3"/>
  <c r="K142" i="3"/>
  <c r="AA126" i="11" s="1"/>
  <c r="AA147" i="11"/>
  <c r="K137" i="3"/>
  <c r="AA155" i="11" s="1"/>
  <c r="K136" i="3"/>
  <c r="AA125" i="11" s="1"/>
  <c r="AA154" i="11"/>
  <c r="L134" i="3"/>
  <c r="K133" i="3"/>
  <c r="N133" i="3" s="1"/>
  <c r="L132" i="3"/>
  <c r="K127" i="3"/>
  <c r="N127" i="3" s="1"/>
  <c r="K122" i="3"/>
  <c r="N122" i="3" s="1"/>
  <c r="K121" i="3"/>
  <c r="K119" i="3"/>
  <c r="K118" i="3"/>
  <c r="K116" i="3"/>
  <c r="AA162" i="11" s="1"/>
  <c r="K111" i="3"/>
  <c r="K110" i="3"/>
  <c r="K109" i="3"/>
  <c r="K108" i="3"/>
  <c r="AA151" i="11"/>
  <c r="L101" i="3"/>
  <c r="K100" i="3"/>
  <c r="AA157" i="11" s="1"/>
  <c r="AA130" i="11"/>
  <c r="K98" i="3"/>
  <c r="AA129" i="11" s="1"/>
  <c r="AA127" i="11"/>
  <c r="K92" i="3"/>
  <c r="K91" i="3"/>
  <c r="N91" i="3" s="1"/>
  <c r="K89" i="3"/>
  <c r="AA81" i="11" s="1"/>
  <c r="AA87" i="11"/>
  <c r="L85" i="3"/>
  <c r="K80" i="3"/>
  <c r="K77" i="3"/>
  <c r="AA78" i="11" s="1"/>
  <c r="K76" i="3"/>
  <c r="AA124" i="11" s="1"/>
  <c r="K86" i="3"/>
  <c r="L66" i="3"/>
  <c r="L62" i="3"/>
  <c r="K58" i="3"/>
  <c r="AA66" i="11" s="1"/>
  <c r="AD66" i="11" s="1"/>
  <c r="AJ66" i="11" s="1"/>
  <c r="AA65" i="11"/>
  <c r="AD65" i="11" s="1"/>
  <c r="AJ65" i="11" s="1"/>
  <c r="K56" i="3"/>
  <c r="AA57" i="11" s="1"/>
  <c r="AD57" i="11" s="1"/>
  <c r="AJ57" i="11" s="1"/>
  <c r="AA64" i="11"/>
  <c r="AD64" i="11" s="1"/>
  <c r="AJ64" i="11" s="1"/>
  <c r="K54" i="3"/>
  <c r="AA55" i="11" s="1"/>
  <c r="AD55" i="11" s="1"/>
  <c r="AJ55" i="11" s="1"/>
  <c r="K52" i="3"/>
  <c r="N52" i="3" s="1"/>
  <c r="K44" i="3"/>
  <c r="AA45" i="11" s="1"/>
  <c r="AD45" i="11" s="1"/>
  <c r="AJ45" i="11" s="1"/>
  <c r="K43" i="3"/>
  <c r="AA44" i="11" s="1"/>
  <c r="AD44" i="11" s="1"/>
  <c r="AJ44" i="11" s="1"/>
  <c r="L42" i="3"/>
  <c r="AA43" i="11"/>
  <c r="AD43" i="11" s="1"/>
  <c r="AJ43" i="11" s="1"/>
  <c r="L34" i="3"/>
  <c r="L27" i="3"/>
  <c r="L26" i="3"/>
  <c r="L24" i="3"/>
  <c r="L23" i="3"/>
  <c r="K21" i="3"/>
  <c r="AA22" i="11" s="1"/>
  <c r="K20" i="3"/>
  <c r="AA33" i="11" s="1"/>
  <c r="AD33" i="11" s="1"/>
  <c r="AJ33" i="11" s="1"/>
  <c r="K17" i="3"/>
  <c r="K15" i="3"/>
  <c r="AA10" i="11"/>
  <c r="AD10" i="11" s="1"/>
  <c r="AJ10" i="11" s="1"/>
  <c r="K13" i="3"/>
  <c r="K9" i="3"/>
  <c r="N9" i="3" s="1"/>
  <c r="L200" i="3"/>
  <c r="K200" i="3"/>
  <c r="L187" i="3"/>
  <c r="L183" i="3"/>
  <c r="L167" i="3"/>
  <c r="L162" i="3"/>
  <c r="L158" i="3"/>
  <c r="L143" i="3"/>
  <c r="L138" i="3"/>
  <c r="K50" i="3"/>
  <c r="N50" i="3" s="1"/>
  <c r="I119" i="3"/>
  <c r="AA187" i="11" l="1"/>
  <c r="AD187" i="11" s="1"/>
  <c r="AJ187" i="11" s="1"/>
  <c r="AA159" i="11"/>
  <c r="AD159" i="11" s="1"/>
  <c r="AJ159" i="11" s="1"/>
  <c r="AB143" i="11"/>
  <c r="AD143" i="11" s="1"/>
  <c r="AJ143" i="11" s="1"/>
  <c r="AB179" i="11"/>
  <c r="AJ71" i="11"/>
  <c r="AB149" i="11"/>
  <c r="AD149" i="11" s="1"/>
  <c r="AJ149" i="11" s="1"/>
  <c r="AB129" i="11"/>
  <c r="AA51" i="11"/>
  <c r="AD51" i="11" s="1"/>
  <c r="AJ51" i="11" s="1"/>
  <c r="AF73" i="11"/>
  <c r="AF74" i="11" s="1"/>
  <c r="AA13" i="11"/>
  <c r="AD13" i="11" s="1"/>
  <c r="AJ13" i="11" s="1"/>
  <c r="N15" i="3"/>
  <c r="AA17" i="11"/>
  <c r="AD17" i="11" s="1"/>
  <c r="N17" i="3"/>
  <c r="AA16" i="11"/>
  <c r="AD16" i="11" s="1"/>
  <c r="AJ16" i="11" s="1"/>
  <c r="AA9" i="11"/>
  <c r="AD9" i="11" s="1"/>
  <c r="AJ9" i="11" s="1"/>
  <c r="N13" i="3"/>
  <c r="AA15" i="11"/>
  <c r="AD15" i="11" s="1"/>
  <c r="AJ15" i="11" s="1"/>
  <c r="AA175" i="11"/>
  <c r="AD175" i="11" s="1"/>
  <c r="AJ175" i="11" s="1"/>
  <c r="AA145" i="11"/>
  <c r="AD145" i="11" s="1"/>
  <c r="AJ145" i="11" s="1"/>
  <c r="AA52" i="11"/>
  <c r="AD52" i="11" s="1"/>
  <c r="AJ52" i="11" s="1"/>
  <c r="AB87" i="11"/>
  <c r="K129" i="5"/>
  <c r="AB144" i="11"/>
  <c r="AD144" i="11" s="1"/>
  <c r="AJ144" i="11" s="1"/>
  <c r="AB78" i="11"/>
  <c r="AD78" i="11" s="1"/>
  <c r="AJ78" i="11" s="1"/>
  <c r="K29" i="5"/>
  <c r="N25" i="5"/>
  <c r="N29" i="5" s="1"/>
  <c r="AB22" i="11"/>
  <c r="AD22" i="11" s="1"/>
  <c r="AJ22" i="11" s="1"/>
  <c r="AB158" i="11"/>
  <c r="AD158" i="11" s="1"/>
  <c r="AJ158" i="11" s="1"/>
  <c r="AB90" i="11"/>
  <c r="AB54" i="11"/>
  <c r="AD54" i="11" s="1"/>
  <c r="AJ54" i="11" s="1"/>
  <c r="AB142" i="11"/>
  <c r="AD142" i="11" s="1"/>
  <c r="AJ142" i="11" s="1"/>
  <c r="AB148" i="11"/>
  <c r="AD148" i="11" s="1"/>
  <c r="AJ148" i="11" s="1"/>
  <c r="AB174" i="11"/>
  <c r="AD174" i="11" s="1"/>
  <c r="AJ174" i="11" s="1"/>
  <c r="L86" i="3"/>
  <c r="N86" i="3"/>
  <c r="AA79" i="11"/>
  <c r="AD79" i="11" s="1"/>
  <c r="AJ79" i="11" s="1"/>
  <c r="N80" i="3"/>
  <c r="L59" i="3"/>
  <c r="N59" i="3"/>
  <c r="AA134" i="11"/>
  <c r="AD134" i="11" s="1"/>
  <c r="AJ134" i="11" s="1"/>
  <c r="N92" i="3"/>
  <c r="L33" i="3"/>
  <c r="N33" i="3"/>
  <c r="AA178" i="11"/>
  <c r="AD178" i="11" s="1"/>
  <c r="AJ178" i="11" s="1"/>
  <c r="N175" i="3"/>
  <c r="AA164" i="11"/>
  <c r="AD164" i="11" s="1"/>
  <c r="AJ164" i="11" s="1"/>
  <c r="N160" i="3"/>
  <c r="AA88" i="11"/>
  <c r="AD88" i="11" s="1"/>
  <c r="AJ88" i="11" s="1"/>
  <c r="N79" i="3"/>
  <c r="AA150" i="11"/>
  <c r="AD150" i="11" s="1"/>
  <c r="AJ150" i="11" s="1"/>
  <c r="N148" i="3"/>
  <c r="AA173" i="11"/>
  <c r="AD173" i="11" s="1"/>
  <c r="AJ173" i="11" s="1"/>
  <c r="N155" i="3"/>
  <c r="AA58" i="11"/>
  <c r="AD58" i="11" s="1"/>
  <c r="AJ58" i="11" s="1"/>
  <c r="N64" i="3"/>
  <c r="AA179" i="11"/>
  <c r="AA132" i="11"/>
  <c r="AD132" i="11" s="1"/>
  <c r="AJ132" i="11" s="1"/>
  <c r="K41" i="3"/>
  <c r="AA41" i="11" s="1"/>
  <c r="AD41" i="11" s="1"/>
  <c r="AJ41" i="11" s="1"/>
  <c r="AD81" i="11"/>
  <c r="AJ81" i="11" s="1"/>
  <c r="AD136" i="11"/>
  <c r="AJ136" i="11" s="1"/>
  <c r="AD93" i="11"/>
  <c r="AJ93" i="11" s="1"/>
  <c r="AD156" i="11"/>
  <c r="AJ156" i="11" s="1"/>
  <c r="AD157" i="11"/>
  <c r="AJ157" i="11" s="1"/>
  <c r="AD92" i="11"/>
  <c r="AJ92" i="11" s="1"/>
  <c r="AD137" i="11"/>
  <c r="AJ137" i="11" s="1"/>
  <c r="AD151" i="11"/>
  <c r="AJ151" i="11" s="1"/>
  <c r="AD152" i="11"/>
  <c r="AJ152" i="11" s="1"/>
  <c r="AD191" i="11"/>
  <c r="AJ191" i="11" s="1"/>
  <c r="AD119" i="11"/>
  <c r="AJ119" i="11" s="1"/>
  <c r="AD133" i="11"/>
  <c r="AJ133" i="11" s="1"/>
  <c r="AD122" i="11"/>
  <c r="AJ122" i="11" s="1"/>
  <c r="AD128" i="11"/>
  <c r="AJ128" i="11" s="1"/>
  <c r="AD138" i="11"/>
  <c r="AJ138" i="11" s="1"/>
  <c r="AD153" i="11"/>
  <c r="AJ153" i="11" s="1"/>
  <c r="AD127" i="11"/>
  <c r="AJ127" i="11" s="1"/>
  <c r="AD120" i="11"/>
  <c r="AJ120" i="11" s="1"/>
  <c r="AD139" i="11"/>
  <c r="AJ139" i="11" s="1"/>
  <c r="AD129" i="11"/>
  <c r="AJ129" i="11" s="1"/>
  <c r="AD130" i="11"/>
  <c r="AJ130" i="11" s="1"/>
  <c r="AD161" i="11"/>
  <c r="AJ161" i="11" s="1"/>
  <c r="AD146" i="11"/>
  <c r="AJ146" i="11" s="1"/>
  <c r="AD177" i="11"/>
  <c r="AJ177" i="11" s="1"/>
  <c r="AD118" i="11"/>
  <c r="AJ118" i="11" s="1"/>
  <c r="AD176" i="11"/>
  <c r="AJ176" i="11" s="1"/>
  <c r="AD172" i="11"/>
  <c r="AJ172" i="11" s="1"/>
  <c r="AD117" i="11"/>
  <c r="AJ117" i="11" s="1"/>
  <c r="AD140" i="11"/>
  <c r="AJ140" i="11" s="1"/>
  <c r="AD171" i="11"/>
  <c r="AJ171" i="11" s="1"/>
  <c r="AD154" i="11"/>
  <c r="AJ154" i="11" s="1"/>
  <c r="AD155" i="11"/>
  <c r="AJ155" i="11" s="1"/>
  <c r="AD162" i="11"/>
  <c r="AJ162" i="11" s="1"/>
  <c r="AD147" i="11"/>
  <c r="AJ147" i="11" s="1"/>
  <c r="AD121" i="11"/>
  <c r="AJ121" i="11" s="1"/>
  <c r="AD42" i="11"/>
  <c r="AJ42" i="11" s="1"/>
  <c r="AD124" i="11"/>
  <c r="AJ124" i="11" s="1"/>
  <c r="AD186" i="11"/>
  <c r="AJ186" i="11" s="1"/>
  <c r="AD166" i="11"/>
  <c r="AJ166" i="11" s="1"/>
  <c r="AD167" i="11"/>
  <c r="AJ167" i="11" s="1"/>
  <c r="AD82" i="11"/>
  <c r="AJ82" i="11" s="1"/>
  <c r="AD125" i="11"/>
  <c r="AJ125" i="11" s="1"/>
  <c r="AD89" i="11"/>
  <c r="AJ89" i="11" s="1"/>
  <c r="AD169" i="11"/>
  <c r="AJ169" i="11" s="1"/>
  <c r="AD131" i="11"/>
  <c r="AJ131" i="11" s="1"/>
  <c r="AD126" i="11"/>
  <c r="AJ126" i="11" s="1"/>
  <c r="AD135" i="11"/>
  <c r="AJ135" i="11" s="1"/>
  <c r="AA60" i="11"/>
  <c r="AD60" i="11" s="1"/>
  <c r="AA31" i="11"/>
  <c r="AD31" i="11" s="1"/>
  <c r="AA34" i="11"/>
  <c r="AD34" i="11" s="1"/>
  <c r="AA90" i="11"/>
  <c r="AC199" i="11"/>
  <c r="K15" i="5"/>
  <c r="C137" i="22"/>
  <c r="K63" i="3"/>
  <c r="AA53" i="11" s="1"/>
  <c r="C23" i="22"/>
  <c r="P175" i="11"/>
  <c r="P174" i="11"/>
  <c r="P173" i="11"/>
  <c r="P145" i="11"/>
  <c r="K175" i="11"/>
  <c r="K174" i="11"/>
  <c r="K173" i="11"/>
  <c r="K153" i="11"/>
  <c r="K150" i="11"/>
  <c r="K118" i="11"/>
  <c r="K146" i="11"/>
  <c r="K145" i="11"/>
  <c r="K88" i="11"/>
  <c r="K79" i="11"/>
  <c r="G94" i="3"/>
  <c r="AD179" i="11" l="1"/>
  <c r="AJ179" i="11" s="1"/>
  <c r="AJ195" i="11"/>
  <c r="AJ46" i="11"/>
  <c r="AE60" i="11"/>
  <c r="AJ60" i="11"/>
  <c r="AE34" i="11"/>
  <c r="AJ34" i="11"/>
  <c r="AE31" i="11"/>
  <c r="AJ31" i="11"/>
  <c r="AA19" i="11"/>
  <c r="AD46" i="11"/>
  <c r="AA46" i="11"/>
  <c r="K131" i="5"/>
  <c r="AB180" i="11"/>
  <c r="AD87" i="11"/>
  <c r="AJ87" i="11" s="1"/>
  <c r="AD90" i="11"/>
  <c r="AJ90" i="11" s="1"/>
  <c r="K45" i="3"/>
  <c r="AC53" i="11"/>
  <c r="AC72" i="11" s="1"/>
  <c r="AA72" i="11"/>
  <c r="AA37" i="11"/>
  <c r="C138" i="22"/>
  <c r="I70" i="3"/>
  <c r="AJ37" i="11" l="1"/>
  <c r="AA38" i="11"/>
  <c r="AA47" i="11" s="1"/>
  <c r="AA73" i="11" s="1"/>
  <c r="AA74" i="11" s="1"/>
  <c r="L70" i="3"/>
  <c r="V71" i="11"/>
  <c r="AD53" i="11"/>
  <c r="AJ53" i="11" s="1"/>
  <c r="AJ72" i="11" s="1"/>
  <c r="I22" i="3"/>
  <c r="V21" i="11" s="1"/>
  <c r="I21" i="3"/>
  <c r="V22" i="11" s="1"/>
  <c r="I156" i="3"/>
  <c r="V176" i="11" s="1"/>
  <c r="I83" i="3"/>
  <c r="V84" i="11" s="1"/>
  <c r="Y84" i="11" s="1"/>
  <c r="AE84" i="11" s="1"/>
  <c r="I147" i="3"/>
  <c r="V148" i="11" s="1"/>
  <c r="I51" i="3"/>
  <c r="V62" i="11" s="1"/>
  <c r="Y62" i="11" s="1"/>
  <c r="AE62" i="11" s="1"/>
  <c r="I69" i="3"/>
  <c r="V70" i="11" s="1"/>
  <c r="Y70" i="11" s="1"/>
  <c r="AE70" i="11" s="1"/>
  <c r="V151" i="11"/>
  <c r="I130" i="3"/>
  <c r="I99" i="3"/>
  <c r="V130" i="11" s="1"/>
  <c r="I55" i="3"/>
  <c r="V64" i="11" s="1"/>
  <c r="Y64" i="11" s="1"/>
  <c r="AE64" i="11" s="1"/>
  <c r="I54" i="3"/>
  <c r="V55" i="11" s="1"/>
  <c r="Y55" i="11" s="1"/>
  <c r="AE55" i="11" s="1"/>
  <c r="I95" i="3"/>
  <c r="V127" i="11" s="1"/>
  <c r="V147" i="11"/>
  <c r="I61" i="3"/>
  <c r="V67" i="11" s="1"/>
  <c r="Y67" i="11" s="1"/>
  <c r="AE67" i="11" s="1"/>
  <c r="I60" i="3"/>
  <c r="V59" i="11" s="1"/>
  <c r="Y59" i="11" s="1"/>
  <c r="AE59" i="11" s="1"/>
  <c r="V65" i="11"/>
  <c r="Y65" i="11" s="1"/>
  <c r="AE65" i="11" s="1"/>
  <c r="I78" i="3"/>
  <c r="V92" i="11" s="1"/>
  <c r="I157" i="3"/>
  <c r="L157" i="3" s="1"/>
  <c r="I128" i="3"/>
  <c r="I125" i="3"/>
  <c r="I124" i="3"/>
  <c r="I126" i="3"/>
  <c r="V131" i="11" s="1"/>
  <c r="I123" i="3"/>
  <c r="V132" i="11" s="1"/>
  <c r="I146" i="3"/>
  <c r="I31" i="3"/>
  <c r="I185" i="3"/>
  <c r="I149" i="3"/>
  <c r="V149" i="11" s="1"/>
  <c r="I168" i="3"/>
  <c r="V167" i="11" s="1"/>
  <c r="I97" i="3"/>
  <c r="V133" i="11" s="1"/>
  <c r="I145" i="3"/>
  <c r="L145" i="3" s="1"/>
  <c r="I93" i="3"/>
  <c r="I104" i="3"/>
  <c r="L104" i="3" s="1"/>
  <c r="I131" i="3"/>
  <c r="L131" i="3" s="1"/>
  <c r="I141" i="3"/>
  <c r="L141" i="3" s="1"/>
  <c r="I135" i="3"/>
  <c r="V154" i="11" s="1"/>
  <c r="H12" i="14"/>
  <c r="H11" i="14"/>
  <c r="H10" i="14"/>
  <c r="H9" i="14"/>
  <c r="H8" i="14"/>
  <c r="H7" i="14"/>
  <c r="H6" i="14"/>
  <c r="H5" i="14"/>
  <c r="H4" i="14"/>
  <c r="H3" i="14"/>
  <c r="I115" i="3"/>
  <c r="L115" i="3" s="1"/>
  <c r="I165" i="3"/>
  <c r="L165" i="3" s="1"/>
  <c r="I113" i="3"/>
  <c r="I112" i="3"/>
  <c r="I39" i="3"/>
  <c r="L39" i="3" s="1"/>
  <c r="I121" i="5"/>
  <c r="L121" i="5" s="1"/>
  <c r="I86" i="5"/>
  <c r="L86" i="5" s="1"/>
  <c r="I50" i="5"/>
  <c r="I83" i="5"/>
  <c r="L83" i="5" s="1"/>
  <c r="I80" i="5"/>
  <c r="L80" i="5" s="1"/>
  <c r="I79" i="5"/>
  <c r="L79" i="5" s="1"/>
  <c r="I81" i="5"/>
  <c r="I78" i="5"/>
  <c r="I36" i="5"/>
  <c r="L36" i="5" s="1"/>
  <c r="I118" i="5"/>
  <c r="C59" i="20"/>
  <c r="W172" i="11"/>
  <c r="W167" i="11"/>
  <c r="W166" i="11"/>
  <c r="W161" i="11"/>
  <c r="I115" i="5"/>
  <c r="L115" i="5" s="1"/>
  <c r="I113" i="5"/>
  <c r="L113" i="5" s="1"/>
  <c r="W159" i="11"/>
  <c r="I110" i="5"/>
  <c r="L110" i="5" s="1"/>
  <c r="J109" i="5"/>
  <c r="W140" i="11"/>
  <c r="J107" i="5"/>
  <c r="I105" i="5"/>
  <c r="I104" i="5"/>
  <c r="L104" i="5" s="1"/>
  <c r="I102" i="5"/>
  <c r="L102" i="5" s="1"/>
  <c r="I99" i="5"/>
  <c r="L99" i="5" s="1"/>
  <c r="W138" i="11"/>
  <c r="I96" i="5"/>
  <c r="I93" i="5"/>
  <c r="W125" i="11"/>
  <c r="J91" i="5"/>
  <c r="W153" i="11"/>
  <c r="J89" i="5"/>
  <c r="W135" i="11"/>
  <c r="J87" i="5"/>
  <c r="I85" i="5"/>
  <c r="L85" i="5" s="1"/>
  <c r="I82" i="5"/>
  <c r="L82" i="5" s="1"/>
  <c r="J74" i="5"/>
  <c r="I73" i="5"/>
  <c r="L73" i="5" s="1"/>
  <c r="J72" i="5"/>
  <c r="I71" i="5"/>
  <c r="L71" i="5" s="1"/>
  <c r="J70" i="5"/>
  <c r="J69" i="5"/>
  <c r="I68" i="5"/>
  <c r="L68" i="5" s="1"/>
  <c r="J66" i="5"/>
  <c r="J63" i="5"/>
  <c r="J62" i="5"/>
  <c r="J61" i="5"/>
  <c r="J60" i="5"/>
  <c r="I59" i="5"/>
  <c r="L59" i="5" s="1"/>
  <c r="I58" i="5"/>
  <c r="L58" i="5" s="1"/>
  <c r="I57" i="5"/>
  <c r="L57" i="5" s="1"/>
  <c r="J56" i="5"/>
  <c r="I55" i="5"/>
  <c r="L55" i="5" s="1"/>
  <c r="I54" i="5"/>
  <c r="L54" i="5" s="1"/>
  <c r="I53" i="5"/>
  <c r="L53" i="5" s="1"/>
  <c r="I51" i="5"/>
  <c r="I49" i="5"/>
  <c r="L49" i="5" s="1"/>
  <c r="I48" i="5"/>
  <c r="I47" i="5"/>
  <c r="I46" i="5"/>
  <c r="I44" i="5"/>
  <c r="L44" i="5" s="1"/>
  <c r="W124" i="11"/>
  <c r="W89" i="11"/>
  <c r="I38" i="5"/>
  <c r="L38" i="5" s="1"/>
  <c r="I37" i="5"/>
  <c r="I35" i="5"/>
  <c r="I34" i="5"/>
  <c r="I33" i="5"/>
  <c r="I13" i="5"/>
  <c r="I15" i="5" s="1"/>
  <c r="I9" i="5"/>
  <c r="W18" i="11" s="1"/>
  <c r="V26" i="11"/>
  <c r="Y26" i="11" s="1"/>
  <c r="AE26" i="11" s="1"/>
  <c r="V25" i="11"/>
  <c r="Y25" i="11" s="1"/>
  <c r="AE25" i="11" s="1"/>
  <c r="W187" i="11"/>
  <c r="W186" i="11"/>
  <c r="W185" i="11"/>
  <c r="V185" i="11"/>
  <c r="W178" i="11"/>
  <c r="W177" i="11"/>
  <c r="V177" i="11"/>
  <c r="W171" i="11"/>
  <c r="V171" i="11"/>
  <c r="V166" i="11"/>
  <c r="Y165" i="11"/>
  <c r="AE165" i="11" s="1"/>
  <c r="W164" i="11"/>
  <c r="W162" i="11"/>
  <c r="V161" i="11"/>
  <c r="W156" i="11"/>
  <c r="V153" i="11"/>
  <c r="W152" i="11"/>
  <c r="V152" i="11"/>
  <c r="W146" i="11"/>
  <c r="W139" i="11"/>
  <c r="V135" i="11"/>
  <c r="W134" i="11"/>
  <c r="W126" i="11"/>
  <c r="W93" i="11"/>
  <c r="Y91" i="11"/>
  <c r="AE91" i="11" s="1"/>
  <c r="V90" i="11"/>
  <c r="V86" i="11"/>
  <c r="Y86" i="11" s="1"/>
  <c r="AE86" i="11" s="1"/>
  <c r="W81" i="11"/>
  <c r="W71" i="11"/>
  <c r="W51" i="11"/>
  <c r="W42" i="11"/>
  <c r="W46" i="11" s="1"/>
  <c r="V42" i="11"/>
  <c r="V35" i="11"/>
  <c r="Y35" i="11" s="1"/>
  <c r="AE35" i="11" s="1"/>
  <c r="Y30" i="11"/>
  <c r="AE30" i="11" s="1"/>
  <c r="Y29" i="11"/>
  <c r="AE29" i="11" s="1"/>
  <c r="V28" i="11"/>
  <c r="Y28" i="11" s="1"/>
  <c r="AE28" i="11" s="1"/>
  <c r="V27" i="11"/>
  <c r="Y27" i="11" s="1"/>
  <c r="AE27" i="11" s="1"/>
  <c r="V23" i="11"/>
  <c r="Y23" i="11" s="1"/>
  <c r="AE23" i="11" s="1"/>
  <c r="X197" i="11"/>
  <c r="Y193" i="11"/>
  <c r="AE193" i="11" s="1"/>
  <c r="Y188" i="11"/>
  <c r="AE188" i="11" s="1"/>
  <c r="Y170" i="11"/>
  <c r="AE170" i="11" s="1"/>
  <c r="Y141" i="11"/>
  <c r="AE141" i="11" s="1"/>
  <c r="Y36" i="11"/>
  <c r="AE36" i="11" s="1"/>
  <c r="Y32" i="11"/>
  <c r="AE32" i="11" s="1"/>
  <c r="J120" i="5"/>
  <c r="J119" i="5"/>
  <c r="J117" i="5"/>
  <c r="J103" i="5"/>
  <c r="J101" i="5"/>
  <c r="J100" i="5"/>
  <c r="J98" i="5"/>
  <c r="J97" i="5"/>
  <c r="J95" i="5"/>
  <c r="J125" i="5"/>
  <c r="J124" i="5"/>
  <c r="J123" i="5"/>
  <c r="J122" i="5"/>
  <c r="J116" i="5"/>
  <c r="J112" i="5"/>
  <c r="J111" i="5"/>
  <c r="J106" i="5"/>
  <c r="J84" i="5"/>
  <c r="J76" i="5"/>
  <c r="J75" i="5"/>
  <c r="W87" i="11"/>
  <c r="I25" i="5"/>
  <c r="L25" i="5" s="1"/>
  <c r="C23" i="19"/>
  <c r="C22" i="19"/>
  <c r="C21" i="19"/>
  <c r="I182" i="3" s="1"/>
  <c r="L182" i="3" s="1"/>
  <c r="C20" i="19"/>
  <c r="I43" i="3" s="1"/>
  <c r="V44" i="11" s="1"/>
  <c r="Y44" i="11" s="1"/>
  <c r="AE44" i="11" s="1"/>
  <c r="C19" i="19"/>
  <c r="C18" i="19"/>
  <c r="C17" i="19"/>
  <c r="I40" i="3" s="1"/>
  <c r="V40" i="11" s="1"/>
  <c r="Y40" i="11" s="1"/>
  <c r="AE40" i="11" s="1"/>
  <c r="C16" i="19"/>
  <c r="C15" i="19"/>
  <c r="I16" i="3" s="1"/>
  <c r="L16" i="3" s="1"/>
  <c r="C14" i="19"/>
  <c r="C13" i="19"/>
  <c r="C12" i="19"/>
  <c r="C11" i="19"/>
  <c r="C10" i="19"/>
  <c r="C65" i="19"/>
  <c r="I169" i="3"/>
  <c r="V175" i="11" s="1"/>
  <c r="Y175" i="11" s="1"/>
  <c r="AE175" i="11" s="1"/>
  <c r="C62" i="19"/>
  <c r="C57" i="19"/>
  <c r="I91" i="3"/>
  <c r="C132" i="19"/>
  <c r="C131" i="19"/>
  <c r="C130" i="19"/>
  <c r="C129" i="19"/>
  <c r="C128" i="19"/>
  <c r="I159" i="3" s="1"/>
  <c r="V169" i="11" s="1"/>
  <c r="C127" i="19"/>
  <c r="C126" i="19"/>
  <c r="C125" i="19"/>
  <c r="I129" i="3" s="1"/>
  <c r="C124" i="19"/>
  <c r="C123" i="19"/>
  <c r="C122" i="19"/>
  <c r="I127" i="3" s="1"/>
  <c r="L127" i="3" s="1"/>
  <c r="C121" i="19"/>
  <c r="C120" i="19"/>
  <c r="C119" i="19"/>
  <c r="C118" i="19"/>
  <c r="C117" i="19"/>
  <c r="I110" i="3" s="1"/>
  <c r="C116" i="19"/>
  <c r="C115" i="19"/>
  <c r="I108" i="3" s="1"/>
  <c r="C114" i="19"/>
  <c r="I109" i="3" s="1"/>
  <c r="C113" i="19"/>
  <c r="I118" i="3" s="1"/>
  <c r="C112" i="19"/>
  <c r="C111" i="19"/>
  <c r="C110" i="19"/>
  <c r="C109" i="19"/>
  <c r="C108" i="19"/>
  <c r="C107" i="19"/>
  <c r="I111" i="3" s="1"/>
  <c r="C106" i="19"/>
  <c r="C105" i="19"/>
  <c r="C104" i="19"/>
  <c r="C103" i="19"/>
  <c r="I107" i="3" s="1"/>
  <c r="C102" i="19"/>
  <c r="I106" i="3" s="1"/>
  <c r="C101" i="19"/>
  <c r="I105" i="3" s="1"/>
  <c r="C100" i="19"/>
  <c r="C99" i="19"/>
  <c r="I120" i="3" s="1"/>
  <c r="C98" i="19"/>
  <c r="I142" i="3" s="1"/>
  <c r="V126" i="11" s="1"/>
  <c r="C97" i="19"/>
  <c r="I150" i="3" s="1"/>
  <c r="V136" i="11" s="1"/>
  <c r="C96" i="19"/>
  <c r="C95" i="19"/>
  <c r="I94" i="3" s="1"/>
  <c r="V156" i="11" s="1"/>
  <c r="C94" i="19"/>
  <c r="C93" i="19"/>
  <c r="I137" i="3" s="1"/>
  <c r="V155" i="11" s="1"/>
  <c r="C92" i="19"/>
  <c r="C91" i="19"/>
  <c r="C90" i="19"/>
  <c r="C89" i="19"/>
  <c r="C88" i="19"/>
  <c r="C87" i="19"/>
  <c r="I75" i="3" s="1"/>
  <c r="V158" i="11" s="1"/>
  <c r="C86" i="19"/>
  <c r="C85" i="19"/>
  <c r="C84" i="19"/>
  <c r="C83" i="19"/>
  <c r="C82" i="19"/>
  <c r="C81" i="19"/>
  <c r="C80" i="19"/>
  <c r="C79" i="19"/>
  <c r="C78" i="19"/>
  <c r="C77" i="19"/>
  <c r="I98" i="3" s="1"/>
  <c r="V129" i="11" s="1"/>
  <c r="C76" i="19"/>
  <c r="C75" i="19"/>
  <c r="C74" i="19"/>
  <c r="C73" i="19"/>
  <c r="I151" i="3" s="1"/>
  <c r="V139" i="11" s="1"/>
  <c r="C72" i="19"/>
  <c r="C71" i="19"/>
  <c r="C70" i="19"/>
  <c r="I155" i="3" s="1"/>
  <c r="L155" i="3" s="1"/>
  <c r="C69" i="19"/>
  <c r="I79" i="3" s="1"/>
  <c r="L79" i="3" s="1"/>
  <c r="C68" i="19"/>
  <c r="C67" i="19"/>
  <c r="C66" i="19"/>
  <c r="C64" i="19"/>
  <c r="C63" i="19"/>
  <c r="C61" i="19"/>
  <c r="C60" i="19"/>
  <c r="C59" i="19"/>
  <c r="C58" i="19"/>
  <c r="C56" i="19"/>
  <c r="C55" i="19"/>
  <c r="C54" i="19"/>
  <c r="C53" i="19"/>
  <c r="C52" i="19"/>
  <c r="C51" i="19"/>
  <c r="I161" i="3" s="1"/>
  <c r="V137" i="11" s="1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E133" i="19"/>
  <c r="E24" i="19"/>
  <c r="J187" i="3"/>
  <c r="I184" i="3"/>
  <c r="V191" i="11" s="1"/>
  <c r="J183" i="3"/>
  <c r="I181" i="3"/>
  <c r="V186" i="11" s="1"/>
  <c r="I175" i="3"/>
  <c r="L175" i="3" s="1"/>
  <c r="I173" i="3"/>
  <c r="V172" i="11" s="1"/>
  <c r="I172" i="3"/>
  <c r="L172" i="3" s="1"/>
  <c r="I160" i="3"/>
  <c r="L160" i="3" s="1"/>
  <c r="I154" i="3"/>
  <c r="V140" i="11" s="1"/>
  <c r="I153" i="3"/>
  <c r="V93" i="11" s="1"/>
  <c r="I148" i="3"/>
  <c r="L148" i="3" s="1"/>
  <c r="I139" i="3"/>
  <c r="I136" i="3"/>
  <c r="V125" i="11" s="1"/>
  <c r="J134" i="3"/>
  <c r="I133" i="3"/>
  <c r="J132" i="3"/>
  <c r="I122" i="3"/>
  <c r="L122" i="3" s="1"/>
  <c r="I121" i="3"/>
  <c r="I117" i="3"/>
  <c r="I116" i="3"/>
  <c r="V162" i="11" s="1"/>
  <c r="I114" i="3"/>
  <c r="I103" i="3"/>
  <c r="V144" i="11" s="1"/>
  <c r="J101" i="3"/>
  <c r="I100" i="3"/>
  <c r="V157" i="11" s="1"/>
  <c r="I96" i="3"/>
  <c r="V128" i="11" s="1"/>
  <c r="I92" i="3"/>
  <c r="L92" i="3" s="1"/>
  <c r="I90" i="3"/>
  <c r="V89" i="11" s="1"/>
  <c r="I89" i="3"/>
  <c r="V81" i="11" s="1"/>
  <c r="I88" i="3"/>
  <c r="V87" i="11" s="1"/>
  <c r="I87" i="3"/>
  <c r="V83" i="11" s="1"/>
  <c r="Y83" i="11" s="1"/>
  <c r="AE83" i="11" s="1"/>
  <c r="I82" i="3"/>
  <c r="V82" i="11" s="1"/>
  <c r="I80" i="3"/>
  <c r="L80" i="3" s="1"/>
  <c r="I77" i="3"/>
  <c r="V78" i="11" s="1"/>
  <c r="I76" i="3"/>
  <c r="V124" i="11" s="1"/>
  <c r="I68" i="3"/>
  <c r="V61" i="11" s="1"/>
  <c r="Y61" i="11" s="1"/>
  <c r="AE61" i="11" s="1"/>
  <c r="I67" i="3"/>
  <c r="V69" i="11" s="1"/>
  <c r="Y69" i="11" s="1"/>
  <c r="AE69" i="11" s="1"/>
  <c r="J66" i="3"/>
  <c r="I65" i="3"/>
  <c r="V68" i="11" s="1"/>
  <c r="Y68" i="11" s="1"/>
  <c r="AE68" i="11" s="1"/>
  <c r="L64" i="3"/>
  <c r="I63" i="3"/>
  <c r="V53" i="11" s="1"/>
  <c r="X53" i="11" s="1"/>
  <c r="X72" i="11" s="1"/>
  <c r="I58" i="3"/>
  <c r="V66" i="11" s="1"/>
  <c r="Y66" i="11" s="1"/>
  <c r="AE66" i="11" s="1"/>
  <c r="I56" i="3"/>
  <c r="V57" i="11" s="1"/>
  <c r="Y57" i="11" s="1"/>
  <c r="AE57" i="11" s="1"/>
  <c r="I53" i="3"/>
  <c r="V54" i="11" s="1"/>
  <c r="I52" i="3"/>
  <c r="L52" i="3" s="1"/>
  <c r="I44" i="3"/>
  <c r="V45" i="11" s="1"/>
  <c r="Y45" i="11" s="1"/>
  <c r="AE45" i="11" s="1"/>
  <c r="J42" i="3"/>
  <c r="J27" i="3"/>
  <c r="J26" i="3"/>
  <c r="J24" i="3"/>
  <c r="J23" i="3"/>
  <c r="I20" i="3"/>
  <c r="V33" i="11" s="1"/>
  <c r="Y33" i="11" s="1"/>
  <c r="AE33" i="11" s="1"/>
  <c r="I17" i="3"/>
  <c r="V17" i="11" s="1"/>
  <c r="Y17" i="11" s="1"/>
  <c r="AE17" i="11" s="1"/>
  <c r="I15" i="3"/>
  <c r="V13" i="11" s="1"/>
  <c r="Y13" i="11" s="1"/>
  <c r="AE13" i="11" s="1"/>
  <c r="I14" i="3"/>
  <c r="V10" i="11" s="1"/>
  <c r="Y10" i="11" s="1"/>
  <c r="AE10" i="11" s="1"/>
  <c r="I13" i="3"/>
  <c r="V9" i="11" s="1"/>
  <c r="Y9" i="11" s="1"/>
  <c r="AE9" i="11" s="1"/>
  <c r="I9" i="3"/>
  <c r="V15" i="11" s="1"/>
  <c r="J151" i="5"/>
  <c r="I151" i="5"/>
  <c r="I142" i="5"/>
  <c r="J139" i="5"/>
  <c r="I139" i="5"/>
  <c r="J128" i="5"/>
  <c r="J127" i="5"/>
  <c r="J126" i="5"/>
  <c r="J114" i="5"/>
  <c r="J94" i="5"/>
  <c r="J65" i="5"/>
  <c r="J64" i="5"/>
  <c r="J52" i="5"/>
  <c r="J45" i="5"/>
  <c r="J43" i="5"/>
  <c r="J42" i="5"/>
  <c r="J41" i="5"/>
  <c r="J40" i="5"/>
  <c r="J19" i="5"/>
  <c r="I19" i="5"/>
  <c r="J200" i="3"/>
  <c r="I200" i="3"/>
  <c r="J174" i="3"/>
  <c r="J167" i="3"/>
  <c r="J166" i="3"/>
  <c r="J164" i="3"/>
  <c r="J163" i="3"/>
  <c r="J162" i="3"/>
  <c r="J158" i="3"/>
  <c r="J143" i="3"/>
  <c r="J138" i="3"/>
  <c r="J85" i="3"/>
  <c r="J86" i="3"/>
  <c r="J62" i="3"/>
  <c r="I50" i="3"/>
  <c r="L50" i="3" s="1"/>
  <c r="J34" i="3"/>
  <c r="J32" i="3"/>
  <c r="G86" i="11"/>
  <c r="Q86" i="11"/>
  <c r="T86" i="11" s="1"/>
  <c r="L86" i="11"/>
  <c r="O86" i="11" s="1"/>
  <c r="C86" i="11"/>
  <c r="F86" i="11" s="1"/>
  <c r="AX86" i="11" s="1"/>
  <c r="BD86" i="11" s="1"/>
  <c r="G70" i="3"/>
  <c r="J70" i="3" s="1"/>
  <c r="H85" i="3"/>
  <c r="F85" i="3"/>
  <c r="E70" i="3"/>
  <c r="D85" i="3"/>
  <c r="B70" i="3"/>
  <c r="C71" i="11" s="1"/>
  <c r="C85" i="11"/>
  <c r="F85" i="11" s="1"/>
  <c r="C84" i="3"/>
  <c r="E84" i="3" s="1"/>
  <c r="G50" i="3"/>
  <c r="E50" i="3"/>
  <c r="L51" i="11" s="1"/>
  <c r="C50" i="3"/>
  <c r="G51" i="11" s="1"/>
  <c r="B50" i="3"/>
  <c r="C51" i="11" s="1"/>
  <c r="G21" i="3"/>
  <c r="G185" i="3"/>
  <c r="AN86" i="11" l="1"/>
  <c r="AO86" i="11" s="1"/>
  <c r="AS86" i="11"/>
  <c r="AY86" i="11" s="1"/>
  <c r="W127" i="11"/>
  <c r="Y127" i="11" s="1"/>
  <c r="AE127" i="11" s="1"/>
  <c r="L46" i="5"/>
  <c r="W174" i="11"/>
  <c r="Y174" i="11" s="1"/>
  <c r="AE174" i="11" s="1"/>
  <c r="L118" i="5"/>
  <c r="W133" i="11"/>
  <c r="Y133" i="11" s="1"/>
  <c r="AE133" i="11" s="1"/>
  <c r="L48" i="5"/>
  <c r="W155" i="11"/>
  <c r="Y155" i="11" s="1"/>
  <c r="AE155" i="11" s="1"/>
  <c r="L93" i="5"/>
  <c r="W130" i="11"/>
  <c r="Y130" i="11" s="1"/>
  <c r="AE130" i="11" s="1"/>
  <c r="L50" i="5"/>
  <c r="W179" i="11"/>
  <c r="W92" i="11"/>
  <c r="Y92" i="11" s="1"/>
  <c r="AE92" i="11" s="1"/>
  <c r="L35" i="5"/>
  <c r="W147" i="11"/>
  <c r="Y147" i="11" s="1"/>
  <c r="AE147" i="11" s="1"/>
  <c r="L96" i="5"/>
  <c r="W176" i="11"/>
  <c r="Y176" i="11" s="1"/>
  <c r="AE176" i="11" s="1"/>
  <c r="W82" i="11"/>
  <c r="Y82" i="11" s="1"/>
  <c r="AE82" i="11" s="1"/>
  <c r="W136" i="11"/>
  <c r="Y136" i="11" s="1"/>
  <c r="AE136" i="11" s="1"/>
  <c r="L105" i="5"/>
  <c r="W128" i="11"/>
  <c r="Y128" i="11" s="1"/>
  <c r="AE128" i="11" s="1"/>
  <c r="L47" i="5"/>
  <c r="L13" i="5"/>
  <c r="L15" i="5" s="1"/>
  <c r="W78" i="11"/>
  <c r="Y78" i="11" s="1"/>
  <c r="AE78" i="11" s="1"/>
  <c r="L34" i="5"/>
  <c r="W169" i="11"/>
  <c r="Y169" i="11" s="1"/>
  <c r="AE169" i="11" s="1"/>
  <c r="W90" i="11"/>
  <c r="Y90" i="11" s="1"/>
  <c r="AE90" i="11" s="1"/>
  <c r="L37" i="5"/>
  <c r="W157" i="11"/>
  <c r="Y157" i="11" s="1"/>
  <c r="AE157" i="11" s="1"/>
  <c r="L51" i="5"/>
  <c r="W158" i="11"/>
  <c r="Y158" i="11" s="1"/>
  <c r="AE158" i="11" s="1"/>
  <c r="L33" i="5"/>
  <c r="W137" i="11"/>
  <c r="Y137" i="11" s="1"/>
  <c r="AE137" i="11" s="1"/>
  <c r="Y15" i="11"/>
  <c r="AE15" i="11" s="1"/>
  <c r="Y21" i="11"/>
  <c r="AE21" i="11" s="1"/>
  <c r="X199" i="11"/>
  <c r="X203" i="11"/>
  <c r="W131" i="11"/>
  <c r="Y131" i="11" s="1"/>
  <c r="AE131" i="11" s="1"/>
  <c r="L81" i="5"/>
  <c r="W132" i="11"/>
  <c r="Y132" i="11" s="1"/>
  <c r="AE132" i="11" s="1"/>
  <c r="L78" i="5"/>
  <c r="Z26" i="11"/>
  <c r="G85" i="11"/>
  <c r="K85" i="11" s="1"/>
  <c r="Z175" i="11"/>
  <c r="W143" i="11"/>
  <c r="W151" i="11"/>
  <c r="Y151" i="11" s="1"/>
  <c r="AE151" i="11" s="1"/>
  <c r="W144" i="11"/>
  <c r="Y144" i="11" s="1"/>
  <c r="AE144" i="11" s="1"/>
  <c r="I29" i="5"/>
  <c r="L29" i="5"/>
  <c r="W129" i="11"/>
  <c r="Y129" i="11" s="1"/>
  <c r="AE129" i="11" s="1"/>
  <c r="W148" i="11"/>
  <c r="Y148" i="11" s="1"/>
  <c r="AE148" i="11" s="1"/>
  <c r="W149" i="11"/>
  <c r="Y149" i="11" s="1"/>
  <c r="AE149" i="11" s="1"/>
  <c r="W142" i="11"/>
  <c r="J118" i="5"/>
  <c r="I41" i="3"/>
  <c r="V41" i="11" s="1"/>
  <c r="Y41" i="11" s="1"/>
  <c r="AE41" i="11" s="1"/>
  <c r="V134" i="11"/>
  <c r="Y134" i="11" s="1"/>
  <c r="AE134" i="11" s="1"/>
  <c r="V159" i="11"/>
  <c r="Y159" i="11" s="1"/>
  <c r="AE159" i="11" s="1"/>
  <c r="V52" i="11"/>
  <c r="Y52" i="11" s="1"/>
  <c r="AE52" i="11" s="1"/>
  <c r="V16" i="11"/>
  <c r="Y16" i="11" s="1"/>
  <c r="AE16" i="11" s="1"/>
  <c r="V187" i="11"/>
  <c r="Y187" i="11" s="1"/>
  <c r="AE187" i="11" s="1"/>
  <c r="V43" i="11"/>
  <c r="Y43" i="11" s="1"/>
  <c r="AE43" i="11" s="1"/>
  <c r="V88" i="11"/>
  <c r="Y88" i="11" s="1"/>
  <c r="AE88" i="11" s="1"/>
  <c r="K86" i="11"/>
  <c r="V173" i="11"/>
  <c r="V79" i="11"/>
  <c r="Y79" i="11" s="1"/>
  <c r="AE79" i="11" s="1"/>
  <c r="V58" i="11"/>
  <c r="Y58" i="11" s="1"/>
  <c r="AE58" i="11" s="1"/>
  <c r="J91" i="3"/>
  <c r="L91" i="3"/>
  <c r="V145" i="11"/>
  <c r="Y145" i="11" s="1"/>
  <c r="AE145" i="11" s="1"/>
  <c r="Y118" i="11"/>
  <c r="AE118" i="11" s="1"/>
  <c r="V178" i="11"/>
  <c r="Y178" i="11" s="1"/>
  <c r="AE178" i="11" s="1"/>
  <c r="V143" i="11"/>
  <c r="V192" i="11"/>
  <c r="Y192" i="11" s="1"/>
  <c r="AE192" i="11" s="1"/>
  <c r="L185" i="3"/>
  <c r="V179" i="11"/>
  <c r="V24" i="11"/>
  <c r="Y24" i="11" s="1"/>
  <c r="AE24" i="11" s="1"/>
  <c r="L31" i="3"/>
  <c r="J169" i="3"/>
  <c r="L169" i="3"/>
  <c r="V51" i="11"/>
  <c r="V138" i="11"/>
  <c r="Y138" i="11" s="1"/>
  <c r="AE138" i="11" s="1"/>
  <c r="V142" i="11"/>
  <c r="L93" i="3"/>
  <c r="V150" i="11"/>
  <c r="Y150" i="11" s="1"/>
  <c r="AE150" i="11" s="1"/>
  <c r="V164" i="11"/>
  <c r="Y164" i="11" s="1"/>
  <c r="AE164" i="11" s="1"/>
  <c r="V146" i="11"/>
  <c r="Y146" i="11" s="1"/>
  <c r="AE146" i="11" s="1"/>
  <c r="J133" i="3"/>
  <c r="L133" i="3"/>
  <c r="J90" i="5"/>
  <c r="J92" i="5"/>
  <c r="W154" i="11"/>
  <c r="Y154" i="11" s="1"/>
  <c r="AE154" i="11" s="1"/>
  <c r="J88" i="5"/>
  <c r="J67" i="5"/>
  <c r="W173" i="11"/>
  <c r="J108" i="5"/>
  <c r="J39" i="5"/>
  <c r="Y161" i="11"/>
  <c r="AE161" i="11" s="1"/>
  <c r="Y152" i="11"/>
  <c r="AE152" i="11" s="1"/>
  <c r="Y167" i="11"/>
  <c r="AE167" i="11" s="1"/>
  <c r="Y124" i="11"/>
  <c r="AE124" i="11" s="1"/>
  <c r="Y81" i="11"/>
  <c r="AE81" i="11" s="1"/>
  <c r="Y139" i="11"/>
  <c r="AE139" i="11" s="1"/>
  <c r="W54" i="11"/>
  <c r="Y54" i="11" s="1"/>
  <c r="AE54" i="11" s="1"/>
  <c r="Y117" i="11"/>
  <c r="AE117" i="11" s="1"/>
  <c r="Y119" i="11"/>
  <c r="AE119" i="11" s="1"/>
  <c r="Y153" i="11"/>
  <c r="AE153" i="11" s="1"/>
  <c r="Y162" i="11"/>
  <c r="AE162" i="11" s="1"/>
  <c r="W22" i="11"/>
  <c r="W37" i="11" s="1"/>
  <c r="Y87" i="11"/>
  <c r="AE87" i="11" s="1"/>
  <c r="AE121" i="11"/>
  <c r="Y71" i="11"/>
  <c r="AE71" i="11" s="1"/>
  <c r="Y156" i="11"/>
  <c r="AE156" i="11" s="1"/>
  <c r="Y125" i="11"/>
  <c r="AE125" i="11" s="1"/>
  <c r="Y135" i="11"/>
  <c r="AE135" i="11" s="1"/>
  <c r="Y171" i="11"/>
  <c r="AE171" i="11" s="1"/>
  <c r="Z86" i="11"/>
  <c r="Y140" i="11"/>
  <c r="AE140" i="11" s="1"/>
  <c r="Y177" i="11"/>
  <c r="AE177" i="11" s="1"/>
  <c r="Y42" i="11"/>
  <c r="AE42" i="11" s="1"/>
  <c r="Y89" i="11"/>
  <c r="AE89" i="11" s="1"/>
  <c r="Y126" i="11"/>
  <c r="AE126" i="11" s="1"/>
  <c r="Y172" i="11"/>
  <c r="AE172" i="11" s="1"/>
  <c r="Y120" i="11"/>
  <c r="AE120" i="11" s="1"/>
  <c r="Y93" i="11"/>
  <c r="AE93" i="11" s="1"/>
  <c r="Y166" i="11"/>
  <c r="AE166" i="11" s="1"/>
  <c r="Y186" i="11"/>
  <c r="AE186" i="11" s="1"/>
  <c r="Y53" i="11"/>
  <c r="AE53" i="11" s="1"/>
  <c r="I129" i="5"/>
  <c r="J50" i="3"/>
  <c r="J185" i="3"/>
  <c r="U86" i="11"/>
  <c r="C133" i="19"/>
  <c r="C134" i="19" s="1"/>
  <c r="L85" i="11"/>
  <c r="O85" i="11" s="1"/>
  <c r="G84" i="3"/>
  <c r="I84" i="3" s="1"/>
  <c r="K84" i="3" s="1"/>
  <c r="M84" i="3" s="1"/>
  <c r="O84" i="3" s="1"/>
  <c r="F84" i="3"/>
  <c r="D84" i="3"/>
  <c r="J86" i="11"/>
  <c r="P86" i="11" s="1"/>
  <c r="AT86" i="11" l="1"/>
  <c r="Q84" i="3"/>
  <c r="AK85" i="11"/>
  <c r="AN85" i="11" s="1"/>
  <c r="P84" i="3"/>
  <c r="AF85" i="11"/>
  <c r="Y179" i="11"/>
  <c r="AE179" i="11" s="1"/>
  <c r="Z174" i="11"/>
  <c r="AA85" i="11"/>
  <c r="AD85" i="11" s="1"/>
  <c r="N84" i="3"/>
  <c r="AE46" i="11"/>
  <c r="Y143" i="11"/>
  <c r="AE143" i="11" s="1"/>
  <c r="J85" i="11"/>
  <c r="P85" i="11" s="1"/>
  <c r="Y142" i="11"/>
  <c r="AE142" i="11" s="1"/>
  <c r="Z145" i="11"/>
  <c r="I131" i="5"/>
  <c r="I45" i="3"/>
  <c r="Y46" i="11"/>
  <c r="V46" i="11"/>
  <c r="V19" i="11"/>
  <c r="V72" i="11"/>
  <c r="Y173" i="11"/>
  <c r="AE173" i="11" s="1"/>
  <c r="Y122" i="11"/>
  <c r="AE122" i="11" s="1"/>
  <c r="L84" i="3"/>
  <c r="V85" i="11"/>
  <c r="Y51" i="11"/>
  <c r="V37" i="11"/>
  <c r="Y22" i="11"/>
  <c r="W180" i="11"/>
  <c r="W72" i="11"/>
  <c r="H84" i="3"/>
  <c r="Q85" i="11"/>
  <c r="T85" i="11" s="1"/>
  <c r="J84" i="3"/>
  <c r="E118" i="3"/>
  <c r="B118" i="3"/>
  <c r="G136" i="3"/>
  <c r="G137" i="3"/>
  <c r="Q155" i="11" s="1"/>
  <c r="G127" i="3"/>
  <c r="E127" i="3"/>
  <c r="G82" i="5"/>
  <c r="J82" i="5" s="1"/>
  <c r="E82" i="5"/>
  <c r="Q32" i="11"/>
  <c r="T32" i="11" s="1"/>
  <c r="Z32" i="11" s="1"/>
  <c r="Q22" i="11"/>
  <c r="G36" i="5"/>
  <c r="R82" i="11" s="1"/>
  <c r="G146" i="3"/>
  <c r="G31" i="3"/>
  <c r="G149" i="3"/>
  <c r="G74" i="17" s="1"/>
  <c r="H74" i="17" s="1"/>
  <c r="G168" i="3"/>
  <c r="G97" i="3"/>
  <c r="G145" i="3"/>
  <c r="G93" i="3"/>
  <c r="G104" i="3"/>
  <c r="J104" i="3" s="1"/>
  <c r="G131" i="3"/>
  <c r="G140" i="3"/>
  <c r="G141" i="3"/>
  <c r="G135" i="3"/>
  <c r="Q154" i="11" s="1"/>
  <c r="G13" i="14"/>
  <c r="G12" i="14"/>
  <c r="G11" i="14"/>
  <c r="G10" i="14"/>
  <c r="G9" i="14"/>
  <c r="G8" i="14"/>
  <c r="G7" i="14"/>
  <c r="G6" i="14"/>
  <c r="G5" i="14"/>
  <c r="G4" i="14"/>
  <c r="G3" i="14"/>
  <c r="G39" i="3"/>
  <c r="G115" i="3"/>
  <c r="J115" i="3" s="1"/>
  <c r="G165" i="3"/>
  <c r="G113" i="3"/>
  <c r="G112" i="3"/>
  <c r="Q156" i="11"/>
  <c r="G156" i="3"/>
  <c r="Q176" i="11" s="1"/>
  <c r="G83" i="3"/>
  <c r="Q84" i="11" s="1"/>
  <c r="G147" i="3"/>
  <c r="G51" i="3"/>
  <c r="G38" i="17" s="1"/>
  <c r="H38" i="17" s="1"/>
  <c r="G69" i="3"/>
  <c r="G103" i="3"/>
  <c r="G75" i="3"/>
  <c r="G129" i="3"/>
  <c r="G130" i="3"/>
  <c r="G99" i="3"/>
  <c r="Q130" i="11" s="1"/>
  <c r="G22" i="3"/>
  <c r="G55" i="3"/>
  <c r="G36" i="17" s="1"/>
  <c r="H36" i="17" s="1"/>
  <c r="G54" i="3"/>
  <c r="G35" i="17" s="1"/>
  <c r="H35" i="17" s="1"/>
  <c r="G95" i="3"/>
  <c r="G87" i="3"/>
  <c r="Q83" i="11" s="1"/>
  <c r="G60" i="3"/>
  <c r="G49" i="17" s="1"/>
  <c r="H49" i="17" s="1"/>
  <c r="G78" i="3"/>
  <c r="Q92" i="11" s="1"/>
  <c r="G157" i="3"/>
  <c r="G128" i="3"/>
  <c r="G126" i="3"/>
  <c r="Q131" i="11" s="1"/>
  <c r="G123" i="3"/>
  <c r="G125" i="3"/>
  <c r="G124" i="3"/>
  <c r="G79" i="5"/>
  <c r="G80" i="5"/>
  <c r="G121" i="5"/>
  <c r="J121" i="5" s="1"/>
  <c r="G86" i="5"/>
  <c r="G83" i="5"/>
  <c r="G78" i="5"/>
  <c r="R132" i="11" s="1"/>
  <c r="G81" i="5"/>
  <c r="R131" i="11" s="1"/>
  <c r="T170" i="11"/>
  <c r="Z170" i="11" s="1"/>
  <c r="T165" i="11"/>
  <c r="Z165" i="11" s="1"/>
  <c r="T141" i="11"/>
  <c r="Z141" i="11" s="1"/>
  <c r="T91" i="11"/>
  <c r="Z91" i="11" s="1"/>
  <c r="T193" i="11"/>
  <c r="Z193" i="11" s="1"/>
  <c r="T188" i="11"/>
  <c r="Z188" i="11" s="1"/>
  <c r="R191" i="11"/>
  <c r="R190" i="11"/>
  <c r="R189" i="11"/>
  <c r="R186" i="11"/>
  <c r="R185" i="11"/>
  <c r="R178" i="11"/>
  <c r="R177" i="11"/>
  <c r="R173" i="11"/>
  <c r="R172" i="11"/>
  <c r="R171" i="11"/>
  <c r="R167" i="11"/>
  <c r="R166" i="11"/>
  <c r="R164" i="11"/>
  <c r="R162" i="11"/>
  <c r="R161" i="11"/>
  <c r="R159" i="11"/>
  <c r="R156" i="11"/>
  <c r="R154" i="11"/>
  <c r="R152" i="11"/>
  <c r="R140" i="11"/>
  <c r="R139" i="11"/>
  <c r="R138" i="11"/>
  <c r="R135" i="11"/>
  <c r="R134" i="11"/>
  <c r="R126" i="11"/>
  <c r="R125" i="11"/>
  <c r="R124" i="11"/>
  <c r="R93" i="11"/>
  <c r="R89" i="11"/>
  <c r="R81" i="11"/>
  <c r="R20" i="11"/>
  <c r="O79" i="11"/>
  <c r="P79" i="11" s="1"/>
  <c r="G175" i="3"/>
  <c r="J175" i="3" s="1"/>
  <c r="G173" i="3"/>
  <c r="Q172" i="11" s="1"/>
  <c r="G172" i="3"/>
  <c r="Q190" i="11"/>
  <c r="G161" i="3"/>
  <c r="Q137" i="11" s="1"/>
  <c r="G160" i="3"/>
  <c r="H162" i="3"/>
  <c r="H167" i="3"/>
  <c r="D162" i="3"/>
  <c r="F162" i="3"/>
  <c r="D163" i="3"/>
  <c r="F163" i="3"/>
  <c r="H163" i="3"/>
  <c r="D164" i="3"/>
  <c r="F164" i="3"/>
  <c r="H174" i="3"/>
  <c r="Q166" i="11"/>
  <c r="G159" i="3"/>
  <c r="Q169" i="11" s="1"/>
  <c r="G155" i="3"/>
  <c r="G154" i="3"/>
  <c r="Q140" i="11" s="1"/>
  <c r="G153" i="3"/>
  <c r="Q93" i="11" s="1"/>
  <c r="G151" i="3"/>
  <c r="Q139" i="11" s="1"/>
  <c r="G150" i="3"/>
  <c r="G148" i="3"/>
  <c r="J148" i="3" s="1"/>
  <c r="G142" i="3"/>
  <c r="Q126" i="11" s="1"/>
  <c r="G139" i="3"/>
  <c r="Q153" i="11"/>
  <c r="T153" i="11" s="1"/>
  <c r="Z153" i="11" s="1"/>
  <c r="G122" i="3"/>
  <c r="G121" i="3"/>
  <c r="G120" i="3"/>
  <c r="G119" i="3"/>
  <c r="G118" i="3"/>
  <c r="G117" i="3"/>
  <c r="G116" i="3"/>
  <c r="Q162" i="11" s="1"/>
  <c r="G114" i="3"/>
  <c r="G111" i="3"/>
  <c r="G110" i="3"/>
  <c r="G109" i="3"/>
  <c r="G108" i="3"/>
  <c r="G107" i="3"/>
  <c r="G106" i="3"/>
  <c r="G105" i="3"/>
  <c r="G102" i="3"/>
  <c r="G89" i="17" s="1"/>
  <c r="H89" i="17" s="1"/>
  <c r="G100" i="3"/>
  <c r="G98" i="3"/>
  <c r="Q129" i="11" s="1"/>
  <c r="G96" i="3"/>
  <c r="Q128" i="11" s="1"/>
  <c r="G92" i="3"/>
  <c r="G90" i="3"/>
  <c r="G89" i="3"/>
  <c r="Q81" i="11" s="1"/>
  <c r="G88" i="3"/>
  <c r="Q87" i="11" s="1"/>
  <c r="G82" i="3"/>
  <c r="Q82" i="11" s="1"/>
  <c r="G79" i="3"/>
  <c r="G77" i="3"/>
  <c r="Q78" i="11" s="1"/>
  <c r="G76" i="3"/>
  <c r="Q177" i="11"/>
  <c r="Q171" i="11"/>
  <c r="Q152" i="11"/>
  <c r="Q135" i="11"/>
  <c r="Q90" i="11"/>
  <c r="H166" i="3"/>
  <c r="H101" i="3"/>
  <c r="Q189" i="11"/>
  <c r="Q185" i="11"/>
  <c r="Q71" i="11"/>
  <c r="Q42" i="11"/>
  <c r="Q35" i="11"/>
  <c r="T35" i="11" s="1"/>
  <c r="Z35" i="11" s="1"/>
  <c r="T30" i="11"/>
  <c r="Z30" i="11" s="1"/>
  <c r="T29" i="11"/>
  <c r="Z29" i="11" s="1"/>
  <c r="Q28" i="11"/>
  <c r="Q27" i="11"/>
  <c r="Q25" i="11"/>
  <c r="Q23" i="11"/>
  <c r="Q20" i="11"/>
  <c r="S197" i="11"/>
  <c r="R46" i="11"/>
  <c r="T36" i="11"/>
  <c r="Z36" i="11" s="1"/>
  <c r="H34" i="3"/>
  <c r="H32" i="3"/>
  <c r="H27" i="3"/>
  <c r="H26" i="3"/>
  <c r="H24" i="3"/>
  <c r="H23" i="3"/>
  <c r="H42" i="3"/>
  <c r="H70" i="3"/>
  <c r="H86" i="3"/>
  <c r="H66" i="3"/>
  <c r="H62" i="3"/>
  <c r="H138" i="3"/>
  <c r="H134" i="3"/>
  <c r="H187" i="3"/>
  <c r="H183" i="3"/>
  <c r="G25" i="5"/>
  <c r="G33" i="5"/>
  <c r="R158" i="11" s="1"/>
  <c r="H128" i="5"/>
  <c r="H127" i="5"/>
  <c r="H126" i="5"/>
  <c r="H125" i="5"/>
  <c r="H124" i="5"/>
  <c r="H123" i="5"/>
  <c r="H122" i="5"/>
  <c r="H120" i="5"/>
  <c r="H119" i="5"/>
  <c r="H117" i="5"/>
  <c r="H116" i="5"/>
  <c r="H114" i="5"/>
  <c r="H112" i="5"/>
  <c r="H111" i="5"/>
  <c r="H109" i="5"/>
  <c r="H108" i="5"/>
  <c r="H107" i="5"/>
  <c r="H106" i="5"/>
  <c r="H103" i="5"/>
  <c r="H101" i="5"/>
  <c r="H100" i="5"/>
  <c r="H98" i="5"/>
  <c r="H97" i="5"/>
  <c r="H95" i="5"/>
  <c r="H94" i="5"/>
  <c r="H92" i="5"/>
  <c r="H91" i="5"/>
  <c r="H90" i="5"/>
  <c r="H89" i="5"/>
  <c r="H88" i="5"/>
  <c r="H87" i="5"/>
  <c r="H84" i="5"/>
  <c r="H76" i="5"/>
  <c r="H75" i="5"/>
  <c r="H74" i="5"/>
  <c r="H72" i="5"/>
  <c r="H70" i="5"/>
  <c r="H69" i="5"/>
  <c r="H67" i="5"/>
  <c r="H66" i="5"/>
  <c r="H65" i="5"/>
  <c r="H64" i="5"/>
  <c r="H63" i="5"/>
  <c r="H62" i="5"/>
  <c r="H61" i="5"/>
  <c r="H60" i="5"/>
  <c r="H56" i="5"/>
  <c r="H52" i="5"/>
  <c r="H45" i="5"/>
  <c r="H43" i="5"/>
  <c r="H42" i="5"/>
  <c r="H41" i="5"/>
  <c r="H40" i="5"/>
  <c r="H39" i="5"/>
  <c r="G115" i="5"/>
  <c r="R137" i="11" s="1"/>
  <c r="G113" i="5"/>
  <c r="R169" i="11" s="1"/>
  <c r="G110" i="5"/>
  <c r="R176" i="11" s="1"/>
  <c r="G105" i="5"/>
  <c r="R136" i="11" s="1"/>
  <c r="G104" i="5"/>
  <c r="G102" i="5"/>
  <c r="G99" i="5"/>
  <c r="G96" i="5"/>
  <c r="R147" i="11" s="1"/>
  <c r="G93" i="5"/>
  <c r="R155" i="11" s="1"/>
  <c r="G85" i="5"/>
  <c r="G73" i="5"/>
  <c r="G71" i="5"/>
  <c r="G68" i="5"/>
  <c r="G59" i="5"/>
  <c r="G58" i="5"/>
  <c r="G57" i="5"/>
  <c r="G55" i="5"/>
  <c r="G54" i="5"/>
  <c r="G53" i="5"/>
  <c r="G51" i="5"/>
  <c r="R157" i="11" s="1"/>
  <c r="G50" i="5"/>
  <c r="R130" i="11" s="1"/>
  <c r="G49" i="5"/>
  <c r="J49" i="5" s="1"/>
  <c r="G48" i="5"/>
  <c r="R133" i="11" s="1"/>
  <c r="G47" i="5"/>
  <c r="R128" i="11" s="1"/>
  <c r="G46" i="5"/>
  <c r="R127" i="11" s="1"/>
  <c r="G44" i="5"/>
  <c r="G38" i="5"/>
  <c r="R87" i="11" s="1"/>
  <c r="G37" i="5"/>
  <c r="R90" i="11" s="1"/>
  <c r="G35" i="5"/>
  <c r="R92" i="11" s="1"/>
  <c r="G34" i="5"/>
  <c r="R78" i="11" s="1"/>
  <c r="G13" i="5"/>
  <c r="G9" i="5"/>
  <c r="R18" i="11" s="1"/>
  <c r="C52" i="18"/>
  <c r="C53" i="18" s="1"/>
  <c r="G142" i="5" s="1"/>
  <c r="C10" i="18"/>
  <c r="C129" i="17"/>
  <c r="C128" i="17"/>
  <c r="C127" i="17"/>
  <c r="C126" i="17"/>
  <c r="C125" i="17"/>
  <c r="C124" i="17"/>
  <c r="C123" i="17"/>
  <c r="E123" i="17" s="1"/>
  <c r="C122" i="17"/>
  <c r="E122" i="17" s="1"/>
  <c r="C121" i="17"/>
  <c r="E121" i="17" s="1"/>
  <c r="C120" i="17"/>
  <c r="E120" i="17" s="1"/>
  <c r="C119" i="17"/>
  <c r="E119" i="17" s="1"/>
  <c r="C118" i="17"/>
  <c r="C117" i="17"/>
  <c r="C116" i="17"/>
  <c r="E116" i="17" s="1"/>
  <c r="C115" i="17"/>
  <c r="E115" i="17" s="1"/>
  <c r="C114" i="17"/>
  <c r="C113" i="17"/>
  <c r="C112" i="17"/>
  <c r="E112" i="17" s="1"/>
  <c r="C111" i="17"/>
  <c r="C110" i="17"/>
  <c r="C109" i="17"/>
  <c r="C108" i="17"/>
  <c r="C107" i="17"/>
  <c r="C106" i="17"/>
  <c r="C105" i="17"/>
  <c r="C104" i="17"/>
  <c r="E104" i="17" s="1"/>
  <c r="C103" i="17"/>
  <c r="C102" i="17"/>
  <c r="C101" i="17"/>
  <c r="C100" i="17"/>
  <c r="C99" i="17"/>
  <c r="C98" i="17"/>
  <c r="C97" i="17"/>
  <c r="E97" i="17" s="1"/>
  <c r="C96" i="17"/>
  <c r="E96" i="17" s="1"/>
  <c r="C95" i="17"/>
  <c r="E95" i="17" s="1"/>
  <c r="C94" i="17"/>
  <c r="C93" i="17"/>
  <c r="E93" i="17" s="1"/>
  <c r="C92" i="17"/>
  <c r="C91" i="17"/>
  <c r="C90" i="17"/>
  <c r="E90" i="17" s="1"/>
  <c r="C89" i="17"/>
  <c r="E89" i="17" s="1"/>
  <c r="C88" i="17"/>
  <c r="C87" i="17"/>
  <c r="E87" i="17" s="1"/>
  <c r="C86" i="17"/>
  <c r="C85" i="17"/>
  <c r="E85" i="17" s="1"/>
  <c r="C84" i="17"/>
  <c r="E84" i="17" s="1"/>
  <c r="C83" i="17"/>
  <c r="E83" i="17" s="1"/>
  <c r="C82" i="17"/>
  <c r="C81" i="17"/>
  <c r="C80" i="17"/>
  <c r="C79" i="17"/>
  <c r="C78" i="17"/>
  <c r="C77" i="17"/>
  <c r="E77" i="17" s="1"/>
  <c r="C76" i="17"/>
  <c r="E76" i="17" s="1"/>
  <c r="C75" i="17"/>
  <c r="E75" i="17" s="1"/>
  <c r="C74" i="17"/>
  <c r="E74" i="17" s="1"/>
  <c r="C73" i="17"/>
  <c r="E73" i="17" s="1"/>
  <c r="C72" i="17"/>
  <c r="C71" i="17"/>
  <c r="E71" i="17" s="1"/>
  <c r="C70" i="17"/>
  <c r="C69" i="17"/>
  <c r="C68" i="17"/>
  <c r="C67" i="17"/>
  <c r="C66" i="17"/>
  <c r="C65" i="17"/>
  <c r="E65" i="17" s="1"/>
  <c r="C64" i="17"/>
  <c r="C63" i="17"/>
  <c r="C62" i="17"/>
  <c r="C61" i="17"/>
  <c r="E61" i="17" s="1"/>
  <c r="C60" i="17"/>
  <c r="E60" i="17" s="1"/>
  <c r="C59" i="17"/>
  <c r="E59" i="17" s="1"/>
  <c r="C58" i="17"/>
  <c r="C57" i="17"/>
  <c r="C56" i="17"/>
  <c r="C55" i="17"/>
  <c r="C54" i="17"/>
  <c r="E54" i="17" s="1"/>
  <c r="C53" i="17"/>
  <c r="C52" i="17"/>
  <c r="C51" i="17"/>
  <c r="E51" i="17" s="1"/>
  <c r="C50" i="17"/>
  <c r="E50" i="17" s="1"/>
  <c r="C49" i="17"/>
  <c r="E49" i="17" s="1"/>
  <c r="C48" i="17"/>
  <c r="E48" i="17" s="1"/>
  <c r="C47" i="17"/>
  <c r="C46" i="17"/>
  <c r="E46" i="17" s="1"/>
  <c r="C45" i="17"/>
  <c r="C44" i="17"/>
  <c r="E44" i="17" s="1"/>
  <c r="C43" i="17"/>
  <c r="E43" i="17" s="1"/>
  <c r="C42" i="17"/>
  <c r="E42" i="17" s="1"/>
  <c r="C41" i="17"/>
  <c r="G56" i="3" s="1"/>
  <c r="G41" i="17" s="1"/>
  <c r="H41" i="17" s="1"/>
  <c r="C40" i="17"/>
  <c r="C39" i="17"/>
  <c r="E39" i="17" s="1"/>
  <c r="C38" i="17"/>
  <c r="E38" i="17" s="1"/>
  <c r="C37" i="17"/>
  <c r="E37" i="17" s="1"/>
  <c r="C36" i="17"/>
  <c r="E36" i="17" s="1"/>
  <c r="E35" i="17"/>
  <c r="C34" i="17"/>
  <c r="E34" i="17" s="1"/>
  <c r="C33" i="17"/>
  <c r="G65" i="3" s="1"/>
  <c r="G33" i="17" s="1"/>
  <c r="H33" i="17" s="1"/>
  <c r="C32" i="17"/>
  <c r="C31" i="17"/>
  <c r="C30" i="17"/>
  <c r="E30" i="17" s="1"/>
  <c r="C29" i="17"/>
  <c r="E29" i="17" s="1"/>
  <c r="C28" i="17"/>
  <c r="C27" i="17"/>
  <c r="C26" i="17"/>
  <c r="C25" i="17"/>
  <c r="E25" i="17" s="1"/>
  <c r="H50" i="3"/>
  <c r="G181" i="3"/>
  <c r="G16" i="17" s="1"/>
  <c r="H16" i="17" s="1"/>
  <c r="E28" i="17"/>
  <c r="E27" i="17"/>
  <c r="E26" i="17"/>
  <c r="C23" i="17"/>
  <c r="G184" i="3" s="1"/>
  <c r="G23" i="17" s="1"/>
  <c r="H23" i="17" s="1"/>
  <c r="C22" i="17"/>
  <c r="E22" i="17" s="1"/>
  <c r="C21" i="17"/>
  <c r="G182" i="3" s="1"/>
  <c r="C20" i="17"/>
  <c r="E20" i="17" s="1"/>
  <c r="C19" i="17"/>
  <c r="E19" i="17" s="1"/>
  <c r="C18" i="17"/>
  <c r="C17" i="17"/>
  <c r="E17" i="17" s="1"/>
  <c r="C16" i="17"/>
  <c r="C15" i="17"/>
  <c r="C14" i="17"/>
  <c r="C13" i="17"/>
  <c r="G13" i="3" s="1"/>
  <c r="G13" i="17" s="1"/>
  <c r="H13" i="17" s="1"/>
  <c r="C12" i="17"/>
  <c r="G14" i="3" s="1"/>
  <c r="G12" i="17" s="1"/>
  <c r="H12" i="17" s="1"/>
  <c r="C11" i="17"/>
  <c r="E11" i="17" s="1"/>
  <c r="E129" i="17"/>
  <c r="E128" i="17"/>
  <c r="E127" i="17"/>
  <c r="E126" i="17"/>
  <c r="E125" i="17"/>
  <c r="E108" i="17"/>
  <c r="E107" i="17"/>
  <c r="E106" i="17"/>
  <c r="E103" i="17"/>
  <c r="E86" i="17"/>
  <c r="E68" i="17"/>
  <c r="E67" i="17"/>
  <c r="E66" i="17"/>
  <c r="E56" i="17"/>
  <c r="E55" i="17"/>
  <c r="E53" i="17"/>
  <c r="E47" i="17"/>
  <c r="E32" i="17"/>
  <c r="E31" i="17"/>
  <c r="E18" i="17"/>
  <c r="E16" i="17"/>
  <c r="E15" i="17"/>
  <c r="E14" i="17"/>
  <c r="C10" i="17"/>
  <c r="G16" i="3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101" i="17"/>
  <c r="F100" i="17"/>
  <c r="F99" i="17"/>
  <c r="F98" i="17"/>
  <c r="F97" i="17"/>
  <c r="F96" i="17"/>
  <c r="F95" i="17"/>
  <c r="F94" i="17"/>
  <c r="F93" i="17"/>
  <c r="F92" i="17"/>
  <c r="F91" i="17"/>
  <c r="F90" i="17"/>
  <c r="F89" i="17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G30" i="17"/>
  <c r="F30" i="17"/>
  <c r="G29" i="17"/>
  <c r="F2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G28" i="17"/>
  <c r="F28" i="17"/>
  <c r="G27" i="17"/>
  <c r="F27" i="17"/>
  <c r="G26" i="17"/>
  <c r="F26" i="17"/>
  <c r="G25" i="17"/>
  <c r="F25" i="17"/>
  <c r="G24" i="17"/>
  <c r="F24" i="17"/>
  <c r="F23" i="17"/>
  <c r="G22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G67" i="3"/>
  <c r="G32" i="17" s="1"/>
  <c r="H32" i="17" s="1"/>
  <c r="G63" i="3"/>
  <c r="G31" i="17" s="1"/>
  <c r="H31" i="17" s="1"/>
  <c r="G58" i="3"/>
  <c r="G46" i="17" s="1"/>
  <c r="H46" i="17" s="1"/>
  <c r="G53" i="3"/>
  <c r="G37" i="17" s="1"/>
  <c r="H37" i="17" s="1"/>
  <c r="G40" i="3"/>
  <c r="G17" i="17" s="1"/>
  <c r="H17" i="17" s="1"/>
  <c r="G20" i="3"/>
  <c r="G66" i="17" s="1"/>
  <c r="H66" i="17" s="1"/>
  <c r="G17" i="3"/>
  <c r="G14" i="17" s="1"/>
  <c r="H14" i="17" s="1"/>
  <c r="G15" i="3"/>
  <c r="G11" i="17" s="1"/>
  <c r="H11" i="17" s="1"/>
  <c r="H200" i="3"/>
  <c r="G200" i="3"/>
  <c r="H151" i="5"/>
  <c r="G151" i="5"/>
  <c r="H139" i="5"/>
  <c r="G139" i="5"/>
  <c r="H19" i="5"/>
  <c r="G19" i="5"/>
  <c r="I180" i="11"/>
  <c r="F29" i="5"/>
  <c r="D29" i="5"/>
  <c r="C29" i="5"/>
  <c r="B29" i="5"/>
  <c r="E29" i="5"/>
  <c r="O91" i="11"/>
  <c r="J91" i="11"/>
  <c r="F91" i="11"/>
  <c r="K91" i="11" s="1"/>
  <c r="AP85" i="11" l="1"/>
  <c r="AS85" i="11" s="1"/>
  <c r="S84" i="3"/>
  <c r="R84" i="3"/>
  <c r="R176" i="3" s="1"/>
  <c r="R178" i="3" s="1"/>
  <c r="R190" i="3" s="1"/>
  <c r="Q176" i="3"/>
  <c r="AI85" i="11"/>
  <c r="AJ85" i="11" s="1"/>
  <c r="AF180" i="11"/>
  <c r="AF182" i="11" s="1"/>
  <c r="AF197" i="11" s="1"/>
  <c r="Q147" i="11"/>
  <c r="T147" i="11" s="1"/>
  <c r="Z147" i="11" s="1"/>
  <c r="J140" i="3"/>
  <c r="AD180" i="11"/>
  <c r="S199" i="11"/>
  <c r="S203" i="11"/>
  <c r="Y72" i="11"/>
  <c r="AE51" i="11"/>
  <c r="Y37" i="11"/>
  <c r="AE22" i="11"/>
  <c r="V38" i="11"/>
  <c r="V47" i="11" s="1"/>
  <c r="V73" i="11" s="1"/>
  <c r="V74" i="11" s="1"/>
  <c r="G82" i="17"/>
  <c r="H82" i="17" s="1"/>
  <c r="G45" i="17"/>
  <c r="H45" i="17" s="1"/>
  <c r="Y85" i="11"/>
  <c r="AE85" i="11" s="1"/>
  <c r="V180" i="11"/>
  <c r="V182" i="11" s="1"/>
  <c r="P91" i="11"/>
  <c r="W182" i="11"/>
  <c r="U85" i="11"/>
  <c r="R129" i="11"/>
  <c r="T129" i="11" s="1"/>
  <c r="Z129" i="11" s="1"/>
  <c r="T122" i="11"/>
  <c r="Z122" i="11" s="1"/>
  <c r="H53" i="5"/>
  <c r="J53" i="5"/>
  <c r="R144" i="11"/>
  <c r="J54" i="5"/>
  <c r="R142" i="11"/>
  <c r="J44" i="5"/>
  <c r="H49" i="5"/>
  <c r="R179" i="11"/>
  <c r="R22" i="11"/>
  <c r="J13" i="5"/>
  <c r="J15" i="5" s="1"/>
  <c r="H85" i="5"/>
  <c r="J85" i="5"/>
  <c r="R148" i="11"/>
  <c r="J102" i="5"/>
  <c r="R149" i="11"/>
  <c r="J104" i="5"/>
  <c r="H25" i="5"/>
  <c r="H29" i="5" s="1"/>
  <c r="J25" i="5"/>
  <c r="J29" i="5" s="1"/>
  <c r="R143" i="11"/>
  <c r="J55" i="5"/>
  <c r="Q187" i="11"/>
  <c r="T187" i="11" s="1"/>
  <c r="J182" i="3"/>
  <c r="T118" i="11"/>
  <c r="Z118" i="11" s="1"/>
  <c r="J172" i="3"/>
  <c r="H64" i="3"/>
  <c r="J64" i="3"/>
  <c r="H155" i="3"/>
  <c r="J155" i="3"/>
  <c r="Q138" i="11"/>
  <c r="T138" i="11" s="1"/>
  <c r="Z138" i="11" s="1"/>
  <c r="J141" i="3"/>
  <c r="J131" i="3"/>
  <c r="H160" i="3"/>
  <c r="J160" i="3"/>
  <c r="J127" i="3"/>
  <c r="Q179" i="11"/>
  <c r="J165" i="3"/>
  <c r="Q146" i="11"/>
  <c r="T146" i="11" s="1"/>
  <c r="Z146" i="11" s="1"/>
  <c r="J145" i="3"/>
  <c r="J122" i="3"/>
  <c r="G67" i="17"/>
  <c r="H67" i="17" s="1"/>
  <c r="J79" i="3"/>
  <c r="Q142" i="11"/>
  <c r="J93" i="3"/>
  <c r="Q134" i="11"/>
  <c r="T134" i="11" s="1"/>
  <c r="Z134" i="11" s="1"/>
  <c r="J92" i="3"/>
  <c r="G106" i="17"/>
  <c r="H106" i="17" s="1"/>
  <c r="H16" i="3"/>
  <c r="J16" i="3"/>
  <c r="Q159" i="11"/>
  <c r="T159" i="11" s="1"/>
  <c r="Z159" i="11" s="1"/>
  <c r="J157" i="3"/>
  <c r="G18" i="17"/>
  <c r="H18" i="17" s="1"/>
  <c r="J39" i="3"/>
  <c r="Q24" i="11"/>
  <c r="T24" i="11" s="1"/>
  <c r="Z24" i="11" s="1"/>
  <c r="J31" i="3"/>
  <c r="G56" i="17"/>
  <c r="H56" i="17" s="1"/>
  <c r="Q58" i="11"/>
  <c r="T58" i="11" s="1"/>
  <c r="G64" i="17"/>
  <c r="H64" i="17" s="1"/>
  <c r="G41" i="3"/>
  <c r="Q41" i="11" s="1"/>
  <c r="T41" i="11" s="1"/>
  <c r="Z41" i="11" s="1"/>
  <c r="U91" i="11"/>
  <c r="T90" i="11"/>
  <c r="Z90" i="11" s="1"/>
  <c r="T166" i="11"/>
  <c r="Z166" i="11" s="1"/>
  <c r="T171" i="11"/>
  <c r="Z171" i="11" s="1"/>
  <c r="T130" i="11"/>
  <c r="Z130" i="11" s="1"/>
  <c r="T177" i="11"/>
  <c r="Z177" i="11" s="1"/>
  <c r="T131" i="11"/>
  <c r="Z131" i="11" s="1"/>
  <c r="T92" i="11"/>
  <c r="Z92" i="11" s="1"/>
  <c r="T78" i="11"/>
  <c r="Z78" i="11" s="1"/>
  <c r="T81" i="11"/>
  <c r="Z81" i="11" s="1"/>
  <c r="T135" i="11"/>
  <c r="Z135" i="11" s="1"/>
  <c r="T82" i="11"/>
  <c r="Z82" i="11" s="1"/>
  <c r="T137" i="11"/>
  <c r="Z137" i="11" s="1"/>
  <c r="T189" i="11"/>
  <c r="T190" i="11"/>
  <c r="T93" i="11"/>
  <c r="Z93" i="11" s="1"/>
  <c r="T139" i="11"/>
  <c r="Z139" i="11" s="1"/>
  <c r="T140" i="11"/>
  <c r="Z140" i="11" s="1"/>
  <c r="T172" i="11"/>
  <c r="Z172" i="11" s="1"/>
  <c r="T87" i="11"/>
  <c r="Z87" i="11" s="1"/>
  <c r="T156" i="11"/>
  <c r="Z156" i="11" s="1"/>
  <c r="T120" i="11"/>
  <c r="Z120" i="11" s="1"/>
  <c r="T162" i="11"/>
  <c r="Z162" i="11" s="1"/>
  <c r="T176" i="11"/>
  <c r="Z176" i="11" s="1"/>
  <c r="T169" i="11"/>
  <c r="Z169" i="11" s="1"/>
  <c r="T83" i="11"/>
  <c r="Z83" i="11" s="1"/>
  <c r="T152" i="11"/>
  <c r="Z152" i="11" s="1"/>
  <c r="T121" i="11"/>
  <c r="Z121" i="11" s="1"/>
  <c r="T155" i="11"/>
  <c r="Z155" i="11" s="1"/>
  <c r="T117" i="11"/>
  <c r="Z117" i="11" s="1"/>
  <c r="T126" i="11"/>
  <c r="Z126" i="11" s="1"/>
  <c r="T84" i="11"/>
  <c r="Z84" i="11" s="1"/>
  <c r="T154" i="11"/>
  <c r="Z154" i="11" s="1"/>
  <c r="G108" i="17"/>
  <c r="H108" i="17" s="1"/>
  <c r="T128" i="11"/>
  <c r="Z128" i="11" s="1"/>
  <c r="H102" i="5"/>
  <c r="D53" i="18"/>
  <c r="G29" i="5"/>
  <c r="R151" i="11"/>
  <c r="H54" i="5"/>
  <c r="R54" i="11"/>
  <c r="R72" i="11" s="1"/>
  <c r="G129" i="17"/>
  <c r="H129" i="17" s="1"/>
  <c r="H164" i="3"/>
  <c r="Q161" i="11"/>
  <c r="T161" i="11" s="1"/>
  <c r="Z161" i="11" s="1"/>
  <c r="G122" i="17"/>
  <c r="H122" i="17" s="1"/>
  <c r="G123" i="17"/>
  <c r="H123" i="17" s="1"/>
  <c r="Q167" i="11"/>
  <c r="G107" i="17"/>
  <c r="H107" i="17" s="1"/>
  <c r="G125" i="17"/>
  <c r="H125" i="17" s="1"/>
  <c r="G128" i="17"/>
  <c r="H128" i="17" s="1"/>
  <c r="Q173" i="11"/>
  <c r="Q148" i="11"/>
  <c r="G57" i="17"/>
  <c r="H57" i="17" s="1"/>
  <c r="G117" i="17"/>
  <c r="H117" i="17" s="1"/>
  <c r="G73" i="17"/>
  <c r="H73" i="17" s="1"/>
  <c r="Q149" i="11"/>
  <c r="H148" i="3"/>
  <c r="G102" i="17"/>
  <c r="H102" i="17" s="1"/>
  <c r="Q164" i="11"/>
  <c r="G48" i="17"/>
  <c r="H48" i="17" s="1"/>
  <c r="G127" i="17"/>
  <c r="H127" i="17" s="1"/>
  <c r="Q178" i="11"/>
  <c r="T42" i="11"/>
  <c r="Z42" i="11" s="1"/>
  <c r="Q125" i="11"/>
  <c r="T125" i="11" s="1"/>
  <c r="Q150" i="11"/>
  <c r="T150" i="11" s="1"/>
  <c r="Z150" i="11" s="1"/>
  <c r="G95" i="17"/>
  <c r="H95" i="17" s="1"/>
  <c r="Q136" i="11"/>
  <c r="G72" i="17"/>
  <c r="H72" i="17" s="1"/>
  <c r="G92" i="17"/>
  <c r="H92" i="17" s="1"/>
  <c r="G69" i="17"/>
  <c r="H69" i="17" s="1"/>
  <c r="G113" i="17"/>
  <c r="H113" i="17" s="1"/>
  <c r="Q132" i="11"/>
  <c r="Q133" i="11"/>
  <c r="Q186" i="11"/>
  <c r="T186" i="11" s="1"/>
  <c r="Z186" i="11" s="1"/>
  <c r="G111" i="17"/>
  <c r="H111" i="17" s="1"/>
  <c r="G114" i="17"/>
  <c r="H114" i="17" s="1"/>
  <c r="G98" i="17"/>
  <c r="H98" i="17" s="1"/>
  <c r="G118" i="17"/>
  <c r="H118" i="17" s="1"/>
  <c r="G79" i="17"/>
  <c r="H79" i="17" s="1"/>
  <c r="G99" i="17"/>
  <c r="H99" i="17" s="1"/>
  <c r="G93" i="17"/>
  <c r="H93" i="17" s="1"/>
  <c r="G78" i="17"/>
  <c r="H78" i="17" s="1"/>
  <c r="Q127" i="11"/>
  <c r="T127" i="11" s="1"/>
  <c r="Z127" i="11" s="1"/>
  <c r="Q21" i="11"/>
  <c r="T21" i="11" s="1"/>
  <c r="Z21" i="11" s="1"/>
  <c r="Q144" i="11"/>
  <c r="Q124" i="11"/>
  <c r="T124" i="11" s="1"/>
  <c r="Z124" i="11" s="1"/>
  <c r="Q151" i="11"/>
  <c r="G58" i="17"/>
  <c r="H58" i="17" s="1"/>
  <c r="Q51" i="11"/>
  <c r="Q157" i="11"/>
  <c r="Q57" i="11"/>
  <c r="Q89" i="11"/>
  <c r="G101" i="17"/>
  <c r="H101" i="17" s="1"/>
  <c r="G53" i="17"/>
  <c r="H53" i="17" s="1"/>
  <c r="G94" i="17"/>
  <c r="H94" i="17" s="1"/>
  <c r="Q16" i="11"/>
  <c r="T16" i="11" s="1"/>
  <c r="G52" i="17"/>
  <c r="H52" i="17" s="1"/>
  <c r="G55" i="17"/>
  <c r="H55" i="17" s="1"/>
  <c r="Q17" i="11"/>
  <c r="Q143" i="11"/>
  <c r="G83" i="17"/>
  <c r="H83" i="17" s="1"/>
  <c r="G81" i="17"/>
  <c r="H81" i="17" s="1"/>
  <c r="G90" i="17"/>
  <c r="H90" i="17" s="1"/>
  <c r="Q88" i="11"/>
  <c r="T88" i="11" s="1"/>
  <c r="Z88" i="11" s="1"/>
  <c r="Q10" i="11"/>
  <c r="H29" i="17"/>
  <c r="Q65" i="11"/>
  <c r="Q54" i="11"/>
  <c r="Q55" i="11"/>
  <c r="Q33" i="11"/>
  <c r="T33" i="11" s="1"/>
  <c r="Z33" i="11" s="1"/>
  <c r="H30" i="17"/>
  <c r="Q59" i="11"/>
  <c r="Q62" i="11"/>
  <c r="Q191" i="11"/>
  <c r="T191" i="11" s="1"/>
  <c r="Q64" i="11"/>
  <c r="Q53" i="11"/>
  <c r="H182" i="3"/>
  <c r="Q66" i="11"/>
  <c r="Q40" i="11"/>
  <c r="T40" i="11" s="1"/>
  <c r="Z40" i="11" s="1"/>
  <c r="Q68" i="11"/>
  <c r="Q9" i="11"/>
  <c r="Q70" i="11"/>
  <c r="Q43" i="11"/>
  <c r="Q13" i="11"/>
  <c r="Q69" i="11"/>
  <c r="H132" i="3"/>
  <c r="G80" i="17"/>
  <c r="H80" i="17" s="1"/>
  <c r="G100" i="17"/>
  <c r="H100" i="17" s="1"/>
  <c r="H133" i="3"/>
  <c r="G103" i="17"/>
  <c r="H103" i="17" s="1"/>
  <c r="H158" i="3"/>
  <c r="G124" i="17"/>
  <c r="H124" i="17" s="1"/>
  <c r="G126" i="17"/>
  <c r="H126" i="17" s="1"/>
  <c r="G105" i="17"/>
  <c r="H105" i="17" s="1"/>
  <c r="H143" i="3"/>
  <c r="G129" i="5"/>
  <c r="C24" i="17"/>
  <c r="E114" i="17"/>
  <c r="E23" i="17"/>
  <c r="G51" i="17"/>
  <c r="H51" i="17" s="1"/>
  <c r="E91" i="17"/>
  <c r="G112" i="17"/>
  <c r="H112" i="17" s="1"/>
  <c r="G115" i="17"/>
  <c r="H115" i="17" s="1"/>
  <c r="E92" i="17"/>
  <c r="E33" i="17"/>
  <c r="E94" i="17"/>
  <c r="G68" i="3"/>
  <c r="E98" i="17"/>
  <c r="G71" i="17"/>
  <c r="H71" i="17" s="1"/>
  <c r="E72" i="17"/>
  <c r="E52" i="17"/>
  <c r="E21" i="17"/>
  <c r="E99" i="17"/>
  <c r="E111" i="17"/>
  <c r="E100" i="17"/>
  <c r="G54" i="17"/>
  <c r="H54" i="17" s="1"/>
  <c r="G43" i="3"/>
  <c r="E101" i="17"/>
  <c r="H22" i="17"/>
  <c r="G44" i="3"/>
  <c r="E102" i="17"/>
  <c r="E57" i="17"/>
  <c r="E80" i="17"/>
  <c r="E81" i="17"/>
  <c r="E62" i="17"/>
  <c r="E82" i="17"/>
  <c r="G84" i="17"/>
  <c r="H84" i="17" s="1"/>
  <c r="E10" i="17"/>
  <c r="E63" i="17"/>
  <c r="E109" i="17"/>
  <c r="G52" i="3"/>
  <c r="J52" i="3" s="1"/>
  <c r="E64" i="17"/>
  <c r="E110" i="17"/>
  <c r="G119" i="17"/>
  <c r="H119" i="17" s="1"/>
  <c r="E78" i="17"/>
  <c r="G77" i="17"/>
  <c r="H77" i="17" s="1"/>
  <c r="E12" i="17"/>
  <c r="E40" i="17"/>
  <c r="G44" i="17"/>
  <c r="H44" i="17" s="1"/>
  <c r="G104" i="17"/>
  <c r="H104" i="17" s="1"/>
  <c r="E13" i="17"/>
  <c r="E41" i="17"/>
  <c r="E58" i="17"/>
  <c r="G96" i="17"/>
  <c r="H96" i="17" s="1"/>
  <c r="G121" i="17"/>
  <c r="H121" i="17" s="1"/>
  <c r="H26" i="17"/>
  <c r="E45" i="17"/>
  <c r="E69" i="17"/>
  <c r="E117" i="17"/>
  <c r="E79" i="17"/>
  <c r="G43" i="17"/>
  <c r="H43" i="17" s="1"/>
  <c r="E70" i="17"/>
  <c r="G76" i="17"/>
  <c r="H76" i="17" s="1"/>
  <c r="H27" i="17"/>
  <c r="H25" i="17"/>
  <c r="G9" i="3"/>
  <c r="G97" i="17"/>
  <c r="H97" i="17" s="1"/>
  <c r="G116" i="17"/>
  <c r="H116" i="17" s="1"/>
  <c r="G120" i="17"/>
  <c r="H120" i="17" s="1"/>
  <c r="G61" i="3"/>
  <c r="H28" i="17"/>
  <c r="E124" i="17"/>
  <c r="E118" i="17"/>
  <c r="E113" i="17"/>
  <c r="E105" i="17"/>
  <c r="E88" i="17"/>
  <c r="G60" i="17"/>
  <c r="H60" i="17" s="1"/>
  <c r="G80" i="3"/>
  <c r="C130" i="17"/>
  <c r="E130" i="17" s="1"/>
  <c r="G62" i="17"/>
  <c r="H62" i="17" s="1"/>
  <c r="G40" i="17"/>
  <c r="H40" i="17" s="1"/>
  <c r="G63" i="17"/>
  <c r="H63" i="17" s="1"/>
  <c r="H24" i="17"/>
  <c r="G59" i="17"/>
  <c r="H59" i="17" s="1"/>
  <c r="G15" i="17"/>
  <c r="H15" i="17" s="1"/>
  <c r="G21" i="17"/>
  <c r="H21" i="17" s="1"/>
  <c r="G86" i="17"/>
  <c r="H86" i="17" s="1"/>
  <c r="G68" i="17"/>
  <c r="H68" i="17" s="1"/>
  <c r="G70" i="17"/>
  <c r="H70" i="17" s="1"/>
  <c r="G75" i="17"/>
  <c r="H75" i="17" s="1"/>
  <c r="G87" i="17"/>
  <c r="H87" i="17" s="1"/>
  <c r="G88" i="17"/>
  <c r="H88" i="17" s="1"/>
  <c r="G91" i="17"/>
  <c r="H91" i="17" s="1"/>
  <c r="G109" i="17"/>
  <c r="H109" i="17" s="1"/>
  <c r="G47" i="17"/>
  <c r="H47" i="17" s="1"/>
  <c r="G110" i="17"/>
  <c r="H110" i="17" s="1"/>
  <c r="G10" i="5"/>
  <c r="G15" i="5"/>
  <c r="E83" i="3"/>
  <c r="H83" i="3" s="1"/>
  <c r="C83" i="3"/>
  <c r="B83" i="3"/>
  <c r="E82" i="3"/>
  <c r="H82" i="3" s="1"/>
  <c r="C82" i="3"/>
  <c r="B82" i="3"/>
  <c r="T82" i="3" l="1"/>
  <c r="V82" i="3"/>
  <c r="T83" i="3"/>
  <c r="V83" i="3"/>
  <c r="T84" i="3"/>
  <c r="V84" i="3"/>
  <c r="AU85" i="11"/>
  <c r="AX85" i="11" s="1"/>
  <c r="AT85" i="11"/>
  <c r="Q178" i="3"/>
  <c r="R202" i="3"/>
  <c r="AK198" i="11"/>
  <c r="AA198" i="11"/>
  <c r="AA224" i="11"/>
  <c r="AI180" i="11"/>
  <c r="AI182" i="11" s="1"/>
  <c r="AO85" i="11"/>
  <c r="N82" i="3"/>
  <c r="P82" i="3"/>
  <c r="N83" i="3"/>
  <c r="P83" i="3"/>
  <c r="AF203" i="11"/>
  <c r="AF225" i="11"/>
  <c r="T143" i="11"/>
  <c r="Z143" i="11" s="1"/>
  <c r="Y180" i="11"/>
  <c r="Y182" i="11" s="1"/>
  <c r="Z85" i="11"/>
  <c r="J82" i="3"/>
  <c r="L82" i="3"/>
  <c r="J83" i="3"/>
  <c r="L83" i="3"/>
  <c r="T144" i="11"/>
  <c r="Z144" i="11" s="1"/>
  <c r="T142" i="11"/>
  <c r="Z142" i="11" s="1"/>
  <c r="U16" i="11"/>
  <c r="Z16" i="11"/>
  <c r="U187" i="11"/>
  <c r="Z187" i="11"/>
  <c r="U125" i="11"/>
  <c r="Z125" i="11"/>
  <c r="T179" i="11"/>
  <c r="Z179" i="11" s="1"/>
  <c r="U58" i="11"/>
  <c r="Z58" i="11"/>
  <c r="T148" i="11"/>
  <c r="Z148" i="11" s="1"/>
  <c r="G131" i="5"/>
  <c r="Q79" i="11"/>
  <c r="J80" i="3"/>
  <c r="T151" i="11"/>
  <c r="Z151" i="11" s="1"/>
  <c r="T164" i="11"/>
  <c r="Z164" i="11" s="1"/>
  <c r="T167" i="11"/>
  <c r="Z167" i="11" s="1"/>
  <c r="T178" i="11"/>
  <c r="Z178" i="11" s="1"/>
  <c r="T89" i="11"/>
  <c r="Z89" i="11" s="1"/>
  <c r="T119" i="11"/>
  <c r="Z119" i="11" s="1"/>
  <c r="T136" i="11"/>
  <c r="Z136" i="11" s="1"/>
  <c r="T157" i="11"/>
  <c r="Z157" i="11" s="1"/>
  <c r="T173" i="11"/>
  <c r="T149" i="11"/>
  <c r="Z149" i="11" s="1"/>
  <c r="T133" i="11"/>
  <c r="Z133" i="11" s="1"/>
  <c r="T132" i="11"/>
  <c r="Z132" i="11" s="1"/>
  <c r="G176" i="3"/>
  <c r="T55" i="11"/>
  <c r="Z55" i="11" s="1"/>
  <c r="T57" i="11"/>
  <c r="Z57" i="11" s="1"/>
  <c r="H80" i="3"/>
  <c r="G61" i="17"/>
  <c r="H61" i="17" s="1"/>
  <c r="Q192" i="11"/>
  <c r="T192" i="11" s="1"/>
  <c r="Z192" i="11" s="1"/>
  <c r="G85" i="17"/>
  <c r="H85" i="17" s="1"/>
  <c r="Q158" i="11"/>
  <c r="G65" i="17"/>
  <c r="H65" i="17" s="1"/>
  <c r="T22" i="11"/>
  <c r="Z22" i="11" s="1"/>
  <c r="G34" i="17"/>
  <c r="H34" i="17" s="1"/>
  <c r="Q61" i="11"/>
  <c r="G20" i="17"/>
  <c r="H20" i="17" s="1"/>
  <c r="Q44" i="11"/>
  <c r="G39" i="17"/>
  <c r="H39" i="17" s="1"/>
  <c r="Q52" i="11"/>
  <c r="G45" i="3"/>
  <c r="G50" i="17"/>
  <c r="H50" i="17" s="1"/>
  <c r="Q67" i="11"/>
  <c r="G19" i="17"/>
  <c r="H19" i="17" s="1"/>
  <c r="Q45" i="11"/>
  <c r="G10" i="17"/>
  <c r="H10" i="17" s="1"/>
  <c r="Q15" i="11"/>
  <c r="G42" i="17"/>
  <c r="H42" i="17" s="1"/>
  <c r="C132" i="17"/>
  <c r="G16" i="5"/>
  <c r="G20" i="5" s="1"/>
  <c r="D82" i="3"/>
  <c r="D83" i="3"/>
  <c r="F82" i="3"/>
  <c r="F83" i="3"/>
  <c r="E125" i="3"/>
  <c r="H125" i="3" s="1"/>
  <c r="E156" i="3"/>
  <c r="H156" i="3" s="1"/>
  <c r="E114" i="3"/>
  <c r="H114" i="3" s="1"/>
  <c r="E107" i="3"/>
  <c r="H107" i="3" s="1"/>
  <c r="E106" i="3"/>
  <c r="H106" i="3" s="1"/>
  <c r="E105" i="3"/>
  <c r="H105" i="3" s="1"/>
  <c r="E117" i="3"/>
  <c r="H117" i="3" s="1"/>
  <c r="T79" i="11" l="1"/>
  <c r="Q180" i="11"/>
  <c r="AY85" i="11"/>
  <c r="BD85" i="11"/>
  <c r="Q190" i="3"/>
  <c r="R206" i="3"/>
  <c r="R204" i="3"/>
  <c r="R208" i="3" s="1"/>
  <c r="T15" i="11"/>
  <c r="Z15" i="11" s="1"/>
  <c r="U173" i="11"/>
  <c r="Z173" i="11"/>
  <c r="U79" i="11"/>
  <c r="Z79" i="11"/>
  <c r="Q72" i="11"/>
  <c r="G191" i="3"/>
  <c r="C139" i="17"/>
  <c r="T158" i="11"/>
  <c r="Z158" i="11" s="1"/>
  <c r="Q46" i="11"/>
  <c r="H31" i="3"/>
  <c r="G30" i="5"/>
  <c r="G31" i="5" s="1"/>
  <c r="G141" i="5"/>
  <c r="E13" i="14"/>
  <c r="E12" i="14"/>
  <c r="E11" i="14"/>
  <c r="E10" i="14"/>
  <c r="E9" i="14"/>
  <c r="E8" i="14"/>
  <c r="E7" i="14"/>
  <c r="E6" i="14"/>
  <c r="E5" i="14"/>
  <c r="E4" i="14"/>
  <c r="E3" i="14"/>
  <c r="C9" i="28" l="1"/>
  <c r="AP198" i="11"/>
  <c r="Q202" i="3"/>
  <c r="Q192" i="3"/>
  <c r="H126" i="28"/>
  <c r="R198" i="11"/>
  <c r="G143" i="5"/>
  <c r="G153" i="5"/>
  <c r="E14" i="3"/>
  <c r="H14" i="3" s="1"/>
  <c r="E39" i="3"/>
  <c r="H39" i="3" s="1"/>
  <c r="E113" i="3"/>
  <c r="H113" i="3" s="1"/>
  <c r="E112" i="3"/>
  <c r="H112" i="3" s="1"/>
  <c r="H118" i="3"/>
  <c r="O32" i="11"/>
  <c r="U32" i="11" s="1"/>
  <c r="Q204" i="3" l="1"/>
  <c r="Q206" i="3"/>
  <c r="G160" i="5"/>
  <c r="G155" i="5"/>
  <c r="G161" i="5" s="1"/>
  <c r="G157" i="5"/>
  <c r="L24" i="11"/>
  <c r="E157" i="3"/>
  <c r="H157" i="3" s="1"/>
  <c r="N197" i="11"/>
  <c r="D185" i="3"/>
  <c r="D34" i="3"/>
  <c r="D32" i="3"/>
  <c r="D27" i="3"/>
  <c r="D26" i="3"/>
  <c r="D24" i="3"/>
  <c r="D23" i="3"/>
  <c r="C22" i="3"/>
  <c r="G32" i="11"/>
  <c r="T22" i="3" l="1"/>
  <c r="V22" i="3"/>
  <c r="Q208" i="3"/>
  <c r="N22" i="3"/>
  <c r="P22" i="3"/>
  <c r="N199" i="11"/>
  <c r="N203" i="11"/>
  <c r="J22" i="3"/>
  <c r="L22" i="3"/>
  <c r="C54" i="3"/>
  <c r="C53" i="3"/>
  <c r="C31" i="3"/>
  <c r="L153" i="11"/>
  <c r="O153" i="11" s="1"/>
  <c r="P153" i="11" s="1"/>
  <c r="O24" i="11"/>
  <c r="O193" i="11"/>
  <c r="U193" i="11" s="1"/>
  <c r="O188" i="11"/>
  <c r="U188" i="11" s="1"/>
  <c r="O170" i="11"/>
  <c r="O165" i="11"/>
  <c r="O141" i="11"/>
  <c r="O36" i="11"/>
  <c r="U36" i="11" s="1"/>
  <c r="O30" i="11"/>
  <c r="U30" i="11" s="1"/>
  <c r="O29" i="11"/>
  <c r="U29" i="11" s="1"/>
  <c r="M191" i="11"/>
  <c r="M190" i="11"/>
  <c r="L190" i="11"/>
  <c r="M189" i="11"/>
  <c r="L189" i="11"/>
  <c r="M186" i="11"/>
  <c r="M185" i="11"/>
  <c r="L185" i="11"/>
  <c r="M178" i="11"/>
  <c r="M177" i="11"/>
  <c r="L177" i="11"/>
  <c r="M172" i="11"/>
  <c r="M171" i="11"/>
  <c r="L171" i="11"/>
  <c r="M167" i="11"/>
  <c r="M166" i="11"/>
  <c r="L166" i="11"/>
  <c r="M164" i="11"/>
  <c r="L164" i="11"/>
  <c r="M162" i="11"/>
  <c r="M161" i="11"/>
  <c r="L161" i="11"/>
  <c r="M159" i="11"/>
  <c r="L159" i="11"/>
  <c r="M158" i="11"/>
  <c r="M156" i="11"/>
  <c r="M154" i="11"/>
  <c r="M152" i="11"/>
  <c r="L152" i="11"/>
  <c r="M151" i="11"/>
  <c r="M148" i="11"/>
  <c r="M144" i="11"/>
  <c r="M140" i="11"/>
  <c r="M139" i="11"/>
  <c r="M138" i="11"/>
  <c r="M135" i="11"/>
  <c r="L135" i="11"/>
  <c r="M134" i="11"/>
  <c r="M129" i="11"/>
  <c r="M126" i="11"/>
  <c r="M125" i="11"/>
  <c r="M124" i="11"/>
  <c r="M93" i="11"/>
  <c r="M76" i="11"/>
  <c r="M71" i="11"/>
  <c r="L71" i="11"/>
  <c r="L90" i="11"/>
  <c r="M89" i="11"/>
  <c r="M81" i="11"/>
  <c r="M51" i="11"/>
  <c r="M50" i="11"/>
  <c r="L50" i="11"/>
  <c r="M49" i="11"/>
  <c r="L49" i="11"/>
  <c r="M42" i="11"/>
  <c r="M46" i="11" s="1"/>
  <c r="L42" i="11"/>
  <c r="M39" i="11"/>
  <c r="L39" i="11"/>
  <c r="L35" i="11"/>
  <c r="O35" i="11" s="1"/>
  <c r="L28" i="11"/>
  <c r="O28" i="11" s="1"/>
  <c r="L27" i="11"/>
  <c r="O27" i="11" s="1"/>
  <c r="L25" i="11"/>
  <c r="O25" i="11" s="1"/>
  <c r="L23" i="11"/>
  <c r="O23" i="11" s="1"/>
  <c r="M20" i="11"/>
  <c r="L20" i="11"/>
  <c r="E150" i="3"/>
  <c r="H150" i="3" s="1"/>
  <c r="E93" i="3"/>
  <c r="H93" i="3" s="1"/>
  <c r="E104" i="3"/>
  <c r="H104" i="3" s="1"/>
  <c r="E131" i="3"/>
  <c r="H131" i="3" s="1"/>
  <c r="E140" i="3"/>
  <c r="H140" i="3" s="1"/>
  <c r="E141" i="3"/>
  <c r="H141" i="3" s="1"/>
  <c r="E135" i="3"/>
  <c r="H135" i="3" s="1"/>
  <c r="F12" i="14"/>
  <c r="E149" i="3" s="1"/>
  <c r="H149" i="3" s="1"/>
  <c r="F11" i="14"/>
  <c r="E168" i="3" s="1"/>
  <c r="H168" i="3" s="1"/>
  <c r="F10" i="14"/>
  <c r="E97" i="3" s="1"/>
  <c r="H97" i="3" s="1"/>
  <c r="F9" i="14"/>
  <c r="F13" i="14" s="1"/>
  <c r="F8" i="14"/>
  <c r="F7" i="14"/>
  <c r="F6" i="14"/>
  <c r="F5" i="14"/>
  <c r="F4" i="14"/>
  <c r="F3" i="14"/>
  <c r="E94" i="3"/>
  <c r="H94" i="3" s="1"/>
  <c r="L176" i="11"/>
  <c r="E147" i="3"/>
  <c r="H147" i="3" s="1"/>
  <c r="E51" i="3"/>
  <c r="H51" i="3" s="1"/>
  <c r="E69" i="3"/>
  <c r="E103" i="3"/>
  <c r="H103" i="3" s="1"/>
  <c r="E75" i="3"/>
  <c r="E129" i="3"/>
  <c r="H129" i="3" s="1"/>
  <c r="E130" i="3"/>
  <c r="H130" i="3" s="1"/>
  <c r="E99" i="3"/>
  <c r="H99" i="3" s="1"/>
  <c r="E22" i="3"/>
  <c r="E55" i="3"/>
  <c r="E54" i="3"/>
  <c r="E95" i="3"/>
  <c r="H95" i="3" s="1"/>
  <c r="E88" i="3"/>
  <c r="H88" i="3" s="1"/>
  <c r="E60" i="3"/>
  <c r="E58" i="3"/>
  <c r="T53" i="3" l="1"/>
  <c r="V53" i="3"/>
  <c r="T54" i="3"/>
  <c r="V54" i="3"/>
  <c r="N53" i="3"/>
  <c r="P53" i="3"/>
  <c r="N54" i="3"/>
  <c r="P54" i="3"/>
  <c r="D31" i="3"/>
  <c r="N31" i="3"/>
  <c r="J53" i="3"/>
  <c r="L53" i="3"/>
  <c r="J54" i="3"/>
  <c r="L54" i="3"/>
  <c r="M72" i="11"/>
  <c r="U141" i="11"/>
  <c r="U165" i="11"/>
  <c r="U170" i="11"/>
  <c r="L64" i="11"/>
  <c r="O64" i="11" s="1"/>
  <c r="H55" i="3"/>
  <c r="L66" i="11"/>
  <c r="O66" i="11" s="1"/>
  <c r="H58" i="3"/>
  <c r="L21" i="11"/>
  <c r="O21" i="11" s="1"/>
  <c r="H22" i="3"/>
  <c r="L70" i="11"/>
  <c r="O70" i="11" s="1"/>
  <c r="H69" i="3"/>
  <c r="L55" i="11"/>
  <c r="O55" i="11" s="1"/>
  <c r="H54" i="3"/>
  <c r="L59" i="11"/>
  <c r="O59" i="11" s="1"/>
  <c r="H60" i="3"/>
  <c r="L158" i="11"/>
  <c r="O158" i="11" s="1"/>
  <c r="H75" i="3"/>
  <c r="L87" i="11"/>
  <c r="L149" i="11"/>
  <c r="L130" i="11"/>
  <c r="L148" i="11"/>
  <c r="L156" i="11"/>
  <c r="L127" i="11"/>
  <c r="L147" i="11"/>
  <c r="L133" i="11"/>
  <c r="L167" i="11"/>
  <c r="L154" i="11"/>
  <c r="L144" i="11"/>
  <c r="O144" i="11" s="1"/>
  <c r="L142" i="11"/>
  <c r="L138" i="11"/>
  <c r="L143" i="11"/>
  <c r="O71" i="11"/>
  <c r="L62" i="11"/>
  <c r="O62" i="11" s="1"/>
  <c r="O150" i="11"/>
  <c r="P150" i="11" s="1"/>
  <c r="E145" i="3"/>
  <c r="H145" i="3" s="1"/>
  <c r="O177" i="11"/>
  <c r="O135" i="11"/>
  <c r="O159" i="11"/>
  <c r="U153" i="11"/>
  <c r="O166" i="11"/>
  <c r="O51" i="11"/>
  <c r="L136" i="11"/>
  <c r="O164" i="11"/>
  <c r="O171" i="11"/>
  <c r="O161" i="11"/>
  <c r="M195" i="11"/>
  <c r="O189" i="11"/>
  <c r="O190" i="11"/>
  <c r="O42" i="11"/>
  <c r="O152" i="11"/>
  <c r="E57" i="3"/>
  <c r="U166" i="11" l="1"/>
  <c r="U135" i="11"/>
  <c r="U177" i="11"/>
  <c r="U161" i="11"/>
  <c r="U171" i="11"/>
  <c r="U158" i="11"/>
  <c r="U164" i="11"/>
  <c r="U159" i="11"/>
  <c r="U152" i="11"/>
  <c r="U150" i="11"/>
  <c r="U55" i="11"/>
  <c r="U144" i="11"/>
  <c r="O154" i="11"/>
  <c r="U42" i="11"/>
  <c r="L65" i="11"/>
  <c r="O65" i="11" s="1"/>
  <c r="H57" i="3"/>
  <c r="O167" i="11"/>
  <c r="O148" i="11"/>
  <c r="O156" i="11"/>
  <c r="L146" i="11"/>
  <c r="O138" i="11"/>
  <c r="F87" i="15"/>
  <c r="G87" i="15" s="1"/>
  <c r="F34" i="15"/>
  <c r="G34" i="15" s="1"/>
  <c r="F75" i="15"/>
  <c r="G75" i="15" s="1"/>
  <c r="E78" i="3"/>
  <c r="H78" i="3" s="1"/>
  <c r="E128" i="3"/>
  <c r="H128" i="3" s="1"/>
  <c r="H127" i="3"/>
  <c r="E123" i="3"/>
  <c r="H123" i="3" s="1"/>
  <c r="E126" i="3"/>
  <c r="H126" i="3" s="1"/>
  <c r="E124" i="3"/>
  <c r="H124" i="3" s="1"/>
  <c r="L43" i="11"/>
  <c r="O43" i="11" s="1"/>
  <c r="E115" i="3"/>
  <c r="H115" i="3" s="1"/>
  <c r="E165" i="3"/>
  <c r="H165" i="3" s="1"/>
  <c r="E121" i="5"/>
  <c r="E78" i="5"/>
  <c r="E83" i="5"/>
  <c r="E81" i="5"/>
  <c r="E80" i="5"/>
  <c r="E79" i="5"/>
  <c r="E36" i="5"/>
  <c r="F127" i="5"/>
  <c r="F56" i="5"/>
  <c r="F54" i="5"/>
  <c r="F53" i="5"/>
  <c r="F52" i="5"/>
  <c r="F49" i="5"/>
  <c r="F45" i="5"/>
  <c r="C46" i="16"/>
  <c r="E55" i="5"/>
  <c r="E13" i="5"/>
  <c r="E104" i="5"/>
  <c r="E44" i="5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9" i="16"/>
  <c r="E115" i="5"/>
  <c r="E113" i="5"/>
  <c r="E110" i="5"/>
  <c r="E105" i="5"/>
  <c r="E99" i="5"/>
  <c r="E96" i="5"/>
  <c r="H96" i="5" s="1"/>
  <c r="E93" i="5"/>
  <c r="H93" i="5" s="1"/>
  <c r="E86" i="5"/>
  <c r="H86" i="5" s="1"/>
  <c r="E73" i="5"/>
  <c r="E71" i="5"/>
  <c r="E68" i="5"/>
  <c r="E59" i="5"/>
  <c r="H59" i="5" s="1"/>
  <c r="E58" i="5"/>
  <c r="E57" i="5"/>
  <c r="H57" i="5" s="1"/>
  <c r="E51" i="5"/>
  <c r="H51" i="5" s="1"/>
  <c r="E50" i="5"/>
  <c r="H50" i="5" s="1"/>
  <c r="E48" i="5"/>
  <c r="H48" i="5" s="1"/>
  <c r="E47" i="5"/>
  <c r="H47" i="5" s="1"/>
  <c r="E46" i="5"/>
  <c r="H46" i="5" s="1"/>
  <c r="E38" i="5"/>
  <c r="E37" i="5"/>
  <c r="E35" i="5"/>
  <c r="H35" i="5" s="1"/>
  <c r="E34" i="5"/>
  <c r="H34" i="5" s="1"/>
  <c r="E9" i="5"/>
  <c r="H9" i="5" s="1"/>
  <c r="H10" i="5" s="1"/>
  <c r="E45" i="16"/>
  <c r="C45" i="16"/>
  <c r="C10" i="16"/>
  <c r="F151" i="5"/>
  <c r="E151" i="5"/>
  <c r="F139" i="5"/>
  <c r="E139" i="5"/>
  <c r="F19" i="5"/>
  <c r="E19" i="5"/>
  <c r="F148" i="3"/>
  <c r="F27" i="3"/>
  <c r="F26" i="3"/>
  <c r="F24" i="3"/>
  <c r="F23" i="3"/>
  <c r="E175" i="3"/>
  <c r="H175" i="3" s="1"/>
  <c r="E173" i="3"/>
  <c r="H173" i="3" s="1"/>
  <c r="E172" i="3"/>
  <c r="H172" i="3" s="1"/>
  <c r="F77" i="15"/>
  <c r="G77" i="15" s="1"/>
  <c r="F167" i="3"/>
  <c r="F166" i="3"/>
  <c r="E161" i="3"/>
  <c r="H161" i="3" s="1"/>
  <c r="F160" i="3"/>
  <c r="E159" i="3"/>
  <c r="H159" i="3" s="1"/>
  <c r="F158" i="3"/>
  <c r="F72" i="15"/>
  <c r="G72" i="15" s="1"/>
  <c r="E154" i="3"/>
  <c r="H154" i="3" s="1"/>
  <c r="E153" i="3"/>
  <c r="H153" i="3" s="1"/>
  <c r="E151" i="3"/>
  <c r="H151" i="3" s="1"/>
  <c r="F90" i="15"/>
  <c r="G90" i="15" s="1"/>
  <c r="F69" i="15"/>
  <c r="G69" i="15" s="1"/>
  <c r="E146" i="3"/>
  <c r="H146" i="3" s="1"/>
  <c r="F120" i="15"/>
  <c r="G120" i="15" s="1"/>
  <c r="F143" i="3"/>
  <c r="E142" i="3"/>
  <c r="H142" i="3" s="1"/>
  <c r="E139" i="3"/>
  <c r="H139" i="3" s="1"/>
  <c r="F138" i="3"/>
  <c r="E137" i="3"/>
  <c r="H137" i="3" s="1"/>
  <c r="E136" i="3"/>
  <c r="H136" i="3" s="1"/>
  <c r="F131" i="3"/>
  <c r="F110" i="15"/>
  <c r="G110" i="15" s="1"/>
  <c r="E122" i="3"/>
  <c r="H122" i="3" s="1"/>
  <c r="E121" i="3"/>
  <c r="H121" i="3" s="1"/>
  <c r="E120" i="3"/>
  <c r="H120" i="3" s="1"/>
  <c r="E119" i="3"/>
  <c r="H119" i="3" s="1"/>
  <c r="E116" i="3"/>
  <c r="H116" i="3" s="1"/>
  <c r="F93" i="15"/>
  <c r="G93" i="15" s="1"/>
  <c r="E111" i="3"/>
  <c r="H111" i="3" s="1"/>
  <c r="E110" i="3"/>
  <c r="H110" i="3" s="1"/>
  <c r="E109" i="3"/>
  <c r="H109" i="3" s="1"/>
  <c r="E108" i="3"/>
  <c r="H108" i="3" s="1"/>
  <c r="F104" i="3"/>
  <c r="E102" i="3"/>
  <c r="H102" i="3" s="1"/>
  <c r="E100" i="3"/>
  <c r="H100" i="3" s="1"/>
  <c r="F82" i="15"/>
  <c r="G82" i="15" s="1"/>
  <c r="E98" i="3"/>
  <c r="H98" i="3" s="1"/>
  <c r="F78" i="15"/>
  <c r="G78" i="15" s="1"/>
  <c r="E96" i="3"/>
  <c r="H96" i="3" s="1"/>
  <c r="F74" i="15"/>
  <c r="G74" i="15" s="1"/>
  <c r="F73" i="15"/>
  <c r="G73" i="15" s="1"/>
  <c r="E92" i="3"/>
  <c r="H92" i="3" s="1"/>
  <c r="E76" i="3"/>
  <c r="H76" i="3" s="1"/>
  <c r="E90" i="3"/>
  <c r="H90" i="3" s="1"/>
  <c r="E89" i="3"/>
  <c r="H89" i="3" s="1"/>
  <c r="F39" i="15"/>
  <c r="G39" i="15" s="1"/>
  <c r="E87" i="3"/>
  <c r="H87" i="3" s="1"/>
  <c r="F52" i="15"/>
  <c r="G52" i="15" s="1"/>
  <c r="L82" i="11"/>
  <c r="E68" i="3"/>
  <c r="H68" i="3" s="1"/>
  <c r="E67" i="3"/>
  <c r="H67" i="3" s="1"/>
  <c r="E65" i="3"/>
  <c r="H65" i="3" s="1"/>
  <c r="E79" i="3"/>
  <c r="H79" i="3" s="1"/>
  <c r="E63" i="3"/>
  <c r="F62" i="3"/>
  <c r="F80" i="3"/>
  <c r="E77" i="3"/>
  <c r="H77" i="3" s="1"/>
  <c r="E61" i="3"/>
  <c r="H61" i="3" s="1"/>
  <c r="F45" i="15"/>
  <c r="G45" i="15" s="1"/>
  <c r="F42" i="15"/>
  <c r="G42" i="15" s="1"/>
  <c r="F41" i="15"/>
  <c r="G41" i="15" s="1"/>
  <c r="E56" i="3"/>
  <c r="H56" i="3" s="1"/>
  <c r="F33" i="15"/>
  <c r="G33" i="15" s="1"/>
  <c r="E53" i="3"/>
  <c r="H53" i="3" s="1"/>
  <c r="E52" i="3"/>
  <c r="H52" i="3" s="1"/>
  <c r="F36" i="15"/>
  <c r="G36" i="15" s="1"/>
  <c r="E44" i="3"/>
  <c r="H44" i="3" s="1"/>
  <c r="E43" i="3"/>
  <c r="H43" i="3" s="1"/>
  <c r="E40" i="3"/>
  <c r="H40" i="3" s="1"/>
  <c r="F17" i="15"/>
  <c r="G17" i="15" s="1"/>
  <c r="F60" i="15"/>
  <c r="G60" i="15" s="1"/>
  <c r="E21" i="3"/>
  <c r="H21" i="3" s="1"/>
  <c r="E20" i="3"/>
  <c r="H20" i="3" s="1"/>
  <c r="E17" i="3"/>
  <c r="H17" i="3" s="1"/>
  <c r="E15" i="3"/>
  <c r="H15" i="3" s="1"/>
  <c r="L10" i="11"/>
  <c r="O10" i="11" s="1"/>
  <c r="E13" i="3"/>
  <c r="E122" i="15"/>
  <c r="E121" i="15"/>
  <c r="E120" i="15"/>
  <c r="E119" i="15"/>
  <c r="E118" i="15"/>
  <c r="E117" i="15"/>
  <c r="F116" i="15"/>
  <c r="G116" i="15" s="1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F81" i="15"/>
  <c r="G81" i="15" s="1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F59" i="15"/>
  <c r="G59" i="15" s="1"/>
  <c r="E59" i="15"/>
  <c r="F58" i="15"/>
  <c r="G58" i="15" s="1"/>
  <c r="E58" i="15"/>
  <c r="E57" i="15"/>
  <c r="F56" i="15"/>
  <c r="G56" i="15" s="1"/>
  <c r="E56" i="15"/>
  <c r="F55" i="15"/>
  <c r="G55" i="15" s="1"/>
  <c r="E55" i="15"/>
  <c r="E54" i="15"/>
  <c r="F53" i="15"/>
  <c r="G53" i="15" s="1"/>
  <c r="E53" i="15"/>
  <c r="E52" i="15"/>
  <c r="E51" i="15"/>
  <c r="E50" i="15"/>
  <c r="E49" i="15"/>
  <c r="E48" i="15"/>
  <c r="E47" i="15"/>
  <c r="E46" i="15"/>
  <c r="E45" i="15"/>
  <c r="F28" i="15"/>
  <c r="G28" i="15" s="1"/>
  <c r="E28" i="15"/>
  <c r="F27" i="15"/>
  <c r="G27" i="15" s="1"/>
  <c r="E27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F26" i="15"/>
  <c r="G26" i="15" s="1"/>
  <c r="E26" i="15"/>
  <c r="F25" i="15"/>
  <c r="G25" i="15" s="1"/>
  <c r="E25" i="15"/>
  <c r="F24" i="15"/>
  <c r="G24" i="15" s="1"/>
  <c r="E24" i="15"/>
  <c r="F23" i="15"/>
  <c r="G23" i="15" s="1"/>
  <c r="E23" i="15"/>
  <c r="F22" i="15"/>
  <c r="E22" i="15"/>
  <c r="E21" i="15"/>
  <c r="F20" i="15"/>
  <c r="G20" i="15" s="1"/>
  <c r="E20" i="15"/>
  <c r="E19" i="15"/>
  <c r="E18" i="15"/>
  <c r="E17" i="15"/>
  <c r="E16" i="15"/>
  <c r="E15" i="15"/>
  <c r="E14" i="15"/>
  <c r="E13" i="15"/>
  <c r="E12" i="15"/>
  <c r="E11" i="15"/>
  <c r="E10" i="15"/>
  <c r="F70" i="3"/>
  <c r="F86" i="3"/>
  <c r="F66" i="3"/>
  <c r="F50" i="3"/>
  <c r="F34" i="3"/>
  <c r="F32" i="3"/>
  <c r="F174" i="3"/>
  <c r="F155" i="3"/>
  <c r="F141" i="3"/>
  <c r="F134" i="3"/>
  <c r="F133" i="3"/>
  <c r="F132" i="3"/>
  <c r="F101" i="3"/>
  <c r="F183" i="3"/>
  <c r="F182" i="3"/>
  <c r="E185" i="3"/>
  <c r="H185" i="3" s="1"/>
  <c r="E184" i="3"/>
  <c r="H184" i="3" s="1"/>
  <c r="E181" i="3"/>
  <c r="F42" i="3"/>
  <c r="E9" i="3"/>
  <c r="C123" i="15"/>
  <c r="C22" i="15"/>
  <c r="C124" i="15" s="1"/>
  <c r="F200" i="3"/>
  <c r="E200" i="3"/>
  <c r="K32" i="11"/>
  <c r="J32" i="11"/>
  <c r="P32" i="11" s="1"/>
  <c r="K192" i="11"/>
  <c r="J193" i="11"/>
  <c r="P193" i="11" s="1"/>
  <c r="J188" i="11"/>
  <c r="P188" i="11" s="1"/>
  <c r="J170" i="11"/>
  <c r="P170" i="11" s="1"/>
  <c r="J165" i="11"/>
  <c r="P165" i="11" s="1"/>
  <c r="J141" i="11"/>
  <c r="P141" i="11" s="1"/>
  <c r="J36" i="11"/>
  <c r="P36" i="11" s="1"/>
  <c r="J30" i="11"/>
  <c r="P30" i="11" s="1"/>
  <c r="J29" i="11"/>
  <c r="P29" i="11" s="1"/>
  <c r="J28" i="11"/>
  <c r="P28" i="11" s="1"/>
  <c r="J27" i="11"/>
  <c r="P27" i="11" s="1"/>
  <c r="J25" i="11"/>
  <c r="P25" i="11" s="1"/>
  <c r="J24" i="11"/>
  <c r="P24" i="11" s="1"/>
  <c r="J23" i="11"/>
  <c r="P23" i="11" s="1"/>
  <c r="B156" i="3"/>
  <c r="C156" i="3"/>
  <c r="F31" i="3"/>
  <c r="H178" i="11"/>
  <c r="H177" i="11"/>
  <c r="H172" i="11"/>
  <c r="H171" i="11"/>
  <c r="H167" i="11"/>
  <c r="H166" i="11"/>
  <c r="H164" i="11"/>
  <c r="H162" i="11"/>
  <c r="H161" i="11"/>
  <c r="H156" i="11"/>
  <c r="H121" i="11"/>
  <c r="H154" i="11"/>
  <c r="H152" i="11"/>
  <c r="H120" i="11"/>
  <c r="H151" i="11"/>
  <c r="H149" i="11"/>
  <c r="H148" i="11"/>
  <c r="H144" i="11"/>
  <c r="H143" i="11"/>
  <c r="H142" i="11"/>
  <c r="H140" i="11"/>
  <c r="H139" i="11"/>
  <c r="H138" i="11"/>
  <c r="H135" i="11"/>
  <c r="H134" i="11"/>
  <c r="H129" i="11"/>
  <c r="H124" i="11"/>
  <c r="H93" i="11"/>
  <c r="H89" i="11"/>
  <c r="H81" i="11"/>
  <c r="G190" i="11"/>
  <c r="G189" i="11"/>
  <c r="J189" i="11" s="1"/>
  <c r="P189" i="11" s="1"/>
  <c r="G177" i="11"/>
  <c r="G171" i="11"/>
  <c r="G166" i="11"/>
  <c r="G164" i="11"/>
  <c r="G161" i="11"/>
  <c r="G152" i="11"/>
  <c r="G143" i="11"/>
  <c r="G142" i="11"/>
  <c r="G138" i="11"/>
  <c r="G135" i="11"/>
  <c r="G134" i="11"/>
  <c r="G90" i="11"/>
  <c r="G42" i="11"/>
  <c r="K42" i="11" s="1"/>
  <c r="G43" i="11"/>
  <c r="J43" i="11" s="1"/>
  <c r="G35" i="11"/>
  <c r="J35" i="11" s="1"/>
  <c r="P35" i="11" s="1"/>
  <c r="G71" i="11"/>
  <c r="J71" i="11" s="1"/>
  <c r="P71" i="11" s="1"/>
  <c r="G52" i="11"/>
  <c r="J51" i="11"/>
  <c r="H221" i="11"/>
  <c r="G221" i="11"/>
  <c r="H195" i="11"/>
  <c r="H46" i="11"/>
  <c r="H37" i="11"/>
  <c r="T156" i="3" l="1"/>
  <c r="V156" i="3"/>
  <c r="N156" i="3"/>
  <c r="P156" i="3"/>
  <c r="J156" i="3"/>
  <c r="L156" i="3"/>
  <c r="U154" i="11"/>
  <c r="U156" i="11"/>
  <c r="U148" i="11"/>
  <c r="P51" i="11"/>
  <c r="U167" i="11"/>
  <c r="U138" i="11"/>
  <c r="L53" i="11"/>
  <c r="N53" i="11" s="1"/>
  <c r="N72" i="11" s="1"/>
  <c r="H63" i="3"/>
  <c r="L9" i="11"/>
  <c r="O9" i="11" s="1"/>
  <c r="H13" i="3"/>
  <c r="O146" i="11"/>
  <c r="P146" i="11" s="1"/>
  <c r="L15" i="11"/>
  <c r="O15" i="11" s="1"/>
  <c r="U15" i="11" s="1"/>
  <c r="H9" i="3"/>
  <c r="O117" i="11"/>
  <c r="H99" i="5"/>
  <c r="F44" i="5"/>
  <c r="H44" i="5"/>
  <c r="M136" i="11"/>
  <c r="O136" i="11" s="1"/>
  <c r="H105" i="5"/>
  <c r="M149" i="11"/>
  <c r="O149" i="11" s="1"/>
  <c r="H104" i="5"/>
  <c r="M179" i="11"/>
  <c r="H121" i="5"/>
  <c r="M176" i="11"/>
  <c r="O176" i="11" s="1"/>
  <c r="H110" i="5"/>
  <c r="F13" i="5"/>
  <c r="F15" i="5" s="1"/>
  <c r="H13" i="5"/>
  <c r="H15" i="5" s="1"/>
  <c r="H16" i="5" s="1"/>
  <c r="H20" i="5" s="1"/>
  <c r="M169" i="11"/>
  <c r="H113" i="5"/>
  <c r="M143" i="11"/>
  <c r="O143" i="11" s="1"/>
  <c r="H55" i="5"/>
  <c r="M90" i="11"/>
  <c r="O90" i="11" s="1"/>
  <c r="H37" i="5"/>
  <c r="M137" i="11"/>
  <c r="H115" i="5"/>
  <c r="M87" i="11"/>
  <c r="O87" i="11" s="1"/>
  <c r="H38" i="5"/>
  <c r="M131" i="11"/>
  <c r="H81" i="5"/>
  <c r="H82" i="5"/>
  <c r="H58" i="5"/>
  <c r="F82" i="5"/>
  <c r="H68" i="5"/>
  <c r="M82" i="11"/>
  <c r="O82" i="11" s="1"/>
  <c r="H36" i="5"/>
  <c r="H83" i="5"/>
  <c r="G40" i="16"/>
  <c r="H40" i="16" s="1"/>
  <c r="H78" i="5"/>
  <c r="H71" i="5"/>
  <c r="H79" i="5"/>
  <c r="H73" i="5"/>
  <c r="H80" i="5"/>
  <c r="L81" i="11"/>
  <c r="O81" i="11" s="1"/>
  <c r="L132" i="11"/>
  <c r="L131" i="11"/>
  <c r="F115" i="15"/>
  <c r="G115" i="15" s="1"/>
  <c r="F114" i="15"/>
  <c r="G114" i="15" s="1"/>
  <c r="F97" i="15"/>
  <c r="G97" i="15" s="1"/>
  <c r="F172" i="3"/>
  <c r="O122" i="11"/>
  <c r="G16" i="16"/>
  <c r="H16" i="16" s="1"/>
  <c r="F104" i="5"/>
  <c r="E71" i="3"/>
  <c r="G37" i="16"/>
  <c r="H37" i="16" s="1"/>
  <c r="G38" i="16"/>
  <c r="H38" i="16" s="1"/>
  <c r="G39" i="16"/>
  <c r="H39" i="16" s="1"/>
  <c r="G18" i="16"/>
  <c r="H18" i="16" s="1"/>
  <c r="G36" i="16"/>
  <c r="H36" i="16" s="1"/>
  <c r="E10" i="5"/>
  <c r="M18" i="11"/>
  <c r="G42" i="16"/>
  <c r="H42" i="16" s="1"/>
  <c r="G31" i="16"/>
  <c r="H31" i="16" s="1"/>
  <c r="G33" i="16"/>
  <c r="H33" i="16" s="1"/>
  <c r="G43" i="16"/>
  <c r="H43" i="16" s="1"/>
  <c r="M132" i="11"/>
  <c r="G22" i="16"/>
  <c r="H22" i="16" s="1"/>
  <c r="M127" i="11"/>
  <c r="O127" i="11" s="1"/>
  <c r="G24" i="16"/>
  <c r="H24" i="16" s="1"/>
  <c r="M128" i="11"/>
  <c r="G17" i="16"/>
  <c r="H17" i="16" s="1"/>
  <c r="M22" i="11"/>
  <c r="M37" i="11" s="1"/>
  <c r="G19" i="16"/>
  <c r="H19" i="16" s="1"/>
  <c r="G25" i="16"/>
  <c r="H25" i="16" s="1"/>
  <c r="M133" i="11"/>
  <c r="O133" i="11" s="1"/>
  <c r="E15" i="5"/>
  <c r="G12" i="16"/>
  <c r="H12" i="16" s="1"/>
  <c r="M78" i="11"/>
  <c r="G13" i="16"/>
  <c r="H13" i="16" s="1"/>
  <c r="M92" i="11"/>
  <c r="G29" i="16"/>
  <c r="H29" i="16" s="1"/>
  <c r="M147" i="11"/>
  <c r="O147" i="11" s="1"/>
  <c r="G26" i="16"/>
  <c r="H26" i="16" s="1"/>
  <c r="M130" i="11"/>
  <c r="O130" i="11" s="1"/>
  <c r="G41" i="16"/>
  <c r="H41" i="16" s="1"/>
  <c r="F55" i="5"/>
  <c r="G28" i="16"/>
  <c r="H28" i="16" s="1"/>
  <c r="M155" i="11"/>
  <c r="G27" i="16"/>
  <c r="H27" i="16" s="1"/>
  <c r="M157" i="11"/>
  <c r="G21" i="16"/>
  <c r="H21" i="16" s="1"/>
  <c r="M142" i="11"/>
  <c r="O142" i="11" s="1"/>
  <c r="F109" i="15"/>
  <c r="G109" i="15" s="1"/>
  <c r="F112" i="15"/>
  <c r="G112" i="15" s="1"/>
  <c r="F113" i="15"/>
  <c r="G113" i="15" s="1"/>
  <c r="P43" i="11"/>
  <c r="F21" i="15"/>
  <c r="G21" i="15" s="1"/>
  <c r="L191" i="11"/>
  <c r="O191" i="11" s="1"/>
  <c r="F61" i="15"/>
  <c r="G61" i="15" s="1"/>
  <c r="L22" i="11"/>
  <c r="F95" i="15"/>
  <c r="G95" i="15" s="1"/>
  <c r="F19" i="15"/>
  <c r="G19" i="15" s="1"/>
  <c r="L44" i="11"/>
  <c r="O44" i="11" s="1"/>
  <c r="F106" i="15"/>
  <c r="G106" i="15" s="1"/>
  <c r="F40" i="15"/>
  <c r="G40" i="15" s="1"/>
  <c r="L83" i="11"/>
  <c r="O83" i="11" s="1"/>
  <c r="F37" i="15"/>
  <c r="G37" i="15" s="1"/>
  <c r="L52" i="11"/>
  <c r="F108" i="15"/>
  <c r="G108" i="15" s="1"/>
  <c r="F101" i="15"/>
  <c r="G101" i="15" s="1"/>
  <c r="F91" i="15"/>
  <c r="G91" i="15" s="1"/>
  <c r="L126" i="11"/>
  <c r="F44" i="15"/>
  <c r="G44" i="15" s="1"/>
  <c r="L92" i="11"/>
  <c r="F38" i="15"/>
  <c r="G38" i="15" s="1"/>
  <c r="L57" i="11"/>
  <c r="O57" i="11" s="1"/>
  <c r="F99" i="15"/>
  <c r="G99" i="15" s="1"/>
  <c r="L162" i="11"/>
  <c r="F64" i="15"/>
  <c r="G64" i="15" s="1"/>
  <c r="F63" i="15"/>
  <c r="G63" i="15" s="1"/>
  <c r="L88" i="11"/>
  <c r="O88" i="11" s="1"/>
  <c r="F84" i="15"/>
  <c r="G84" i="15" s="1"/>
  <c r="L151" i="11"/>
  <c r="E41" i="3"/>
  <c r="L40" i="11"/>
  <c r="L125" i="11"/>
  <c r="F86" i="15"/>
  <c r="G86" i="15" s="1"/>
  <c r="L155" i="11"/>
  <c r="F121" i="15"/>
  <c r="G121" i="15" s="1"/>
  <c r="L172" i="11"/>
  <c r="F122" i="15"/>
  <c r="G122" i="15" s="1"/>
  <c r="L178" i="11"/>
  <c r="F35" i="15"/>
  <c r="G35" i="15" s="1"/>
  <c r="L54" i="11"/>
  <c r="O54" i="11" s="1"/>
  <c r="F98" i="15"/>
  <c r="G98" i="15" s="1"/>
  <c r="F49" i="15"/>
  <c r="G49" i="15" s="1"/>
  <c r="L89" i="11"/>
  <c r="O89" i="11" s="1"/>
  <c r="F50" i="15"/>
  <c r="G50" i="15" s="1"/>
  <c r="L124" i="11"/>
  <c r="F92" i="3"/>
  <c r="L134" i="11"/>
  <c r="F103" i="15"/>
  <c r="G103" i="15" s="1"/>
  <c r="F83" i="15"/>
  <c r="G83" i="15" s="1"/>
  <c r="L157" i="11"/>
  <c r="F94" i="15"/>
  <c r="G94" i="15" s="1"/>
  <c r="F104" i="15"/>
  <c r="G104" i="15" s="1"/>
  <c r="F14" i="15"/>
  <c r="G14" i="15" s="1"/>
  <c r="L17" i="11"/>
  <c r="O17" i="11" s="1"/>
  <c r="F31" i="15"/>
  <c r="G31" i="15" s="1"/>
  <c r="L68" i="11"/>
  <c r="O68" i="11" s="1"/>
  <c r="F32" i="15"/>
  <c r="G32" i="15" s="1"/>
  <c r="L61" i="11"/>
  <c r="O61" i="11" s="1"/>
  <c r="F51" i="15"/>
  <c r="G51" i="15" s="1"/>
  <c r="L84" i="11"/>
  <c r="O84" i="11" s="1"/>
  <c r="F18" i="15"/>
  <c r="G18" i="15" s="1"/>
  <c r="L45" i="11"/>
  <c r="O45" i="11" s="1"/>
  <c r="F105" i="15"/>
  <c r="G105" i="15" s="1"/>
  <c r="F46" i="15"/>
  <c r="G46" i="15" s="1"/>
  <c r="L67" i="11"/>
  <c r="O67" i="11" s="1"/>
  <c r="F15" i="15"/>
  <c r="G15" i="15" s="1"/>
  <c r="L186" i="11"/>
  <c r="F57" i="15"/>
  <c r="G57" i="15" s="1"/>
  <c r="L192" i="11"/>
  <c r="F30" i="15"/>
  <c r="G30" i="15" s="1"/>
  <c r="L69" i="11"/>
  <c r="O69" i="11" s="1"/>
  <c r="O118" i="11"/>
  <c r="P118" i="11" s="1"/>
  <c r="F43" i="15"/>
  <c r="G43" i="15" s="1"/>
  <c r="L78" i="11"/>
  <c r="F76" i="15"/>
  <c r="G76" i="15" s="1"/>
  <c r="L128" i="11"/>
  <c r="F92" i="15"/>
  <c r="G92" i="15" s="1"/>
  <c r="F62" i="15"/>
  <c r="G62" i="15" s="1"/>
  <c r="L33" i="11"/>
  <c r="O33" i="11" s="1"/>
  <c r="F102" i="15"/>
  <c r="G102" i="15" s="1"/>
  <c r="F107" i="15"/>
  <c r="G107" i="15" s="1"/>
  <c r="F11" i="15"/>
  <c r="G11" i="15" s="1"/>
  <c r="L13" i="11"/>
  <c r="O13" i="11" s="1"/>
  <c r="F70" i="15"/>
  <c r="G70" i="15" s="1"/>
  <c r="L129" i="11"/>
  <c r="F100" i="15"/>
  <c r="G100" i="15" s="1"/>
  <c r="F66" i="15"/>
  <c r="G66" i="15" s="1"/>
  <c r="L139" i="11"/>
  <c r="L179" i="11"/>
  <c r="L93" i="11"/>
  <c r="F71" i="15"/>
  <c r="G71" i="15" s="1"/>
  <c r="L140" i="11"/>
  <c r="F119" i="15"/>
  <c r="G119" i="15" s="1"/>
  <c r="L169" i="11"/>
  <c r="F47" i="15"/>
  <c r="G47" i="15" s="1"/>
  <c r="L137" i="11"/>
  <c r="F175" i="3"/>
  <c r="G9" i="16"/>
  <c r="H9" i="16" s="1"/>
  <c r="G32" i="16"/>
  <c r="H32" i="16" s="1"/>
  <c r="G14" i="16"/>
  <c r="H14" i="16" s="1"/>
  <c r="G20" i="16"/>
  <c r="H20" i="16" s="1"/>
  <c r="G23" i="16"/>
  <c r="H23" i="16" s="1"/>
  <c r="G44" i="16"/>
  <c r="H44" i="16" s="1"/>
  <c r="G30" i="16"/>
  <c r="H30" i="16" s="1"/>
  <c r="G11" i="16"/>
  <c r="H11" i="16" s="1"/>
  <c r="G34" i="16"/>
  <c r="H34" i="16" s="1"/>
  <c r="G35" i="16"/>
  <c r="H35" i="16" s="1"/>
  <c r="G15" i="16"/>
  <c r="H15" i="16" s="1"/>
  <c r="E129" i="5"/>
  <c r="F185" i="3"/>
  <c r="F79" i="3"/>
  <c r="F16" i="15"/>
  <c r="G16" i="15" s="1"/>
  <c r="F88" i="15"/>
  <c r="G88" i="15" s="1"/>
  <c r="F89" i="15"/>
  <c r="G89" i="15" s="1"/>
  <c r="F117" i="15"/>
  <c r="G117" i="15" s="1"/>
  <c r="F10" i="15"/>
  <c r="G10" i="15" s="1"/>
  <c r="F54" i="15"/>
  <c r="G54" i="15" s="1"/>
  <c r="F52" i="3"/>
  <c r="F93" i="3"/>
  <c r="F12" i="15"/>
  <c r="G12" i="15" s="1"/>
  <c r="F65" i="15"/>
  <c r="G65" i="15" s="1"/>
  <c r="F156" i="3"/>
  <c r="F67" i="15"/>
  <c r="G67" i="15" s="1"/>
  <c r="E176" i="3"/>
  <c r="F122" i="3"/>
  <c r="G22" i="15"/>
  <c r="F48" i="15"/>
  <c r="G48" i="15" s="1"/>
  <c r="F111" i="15"/>
  <c r="G111" i="15" s="1"/>
  <c r="F13" i="15"/>
  <c r="G13" i="15" s="1"/>
  <c r="F85" i="15"/>
  <c r="G85" i="15" s="1"/>
  <c r="F96" i="15"/>
  <c r="G96" i="15" s="1"/>
  <c r="F145" i="3"/>
  <c r="F127" i="3"/>
  <c r="F68" i="15"/>
  <c r="G68" i="15" s="1"/>
  <c r="F118" i="15"/>
  <c r="G118" i="15" s="1"/>
  <c r="F79" i="15"/>
  <c r="G79" i="15" s="1"/>
  <c r="F80" i="15"/>
  <c r="G80" i="15" s="1"/>
  <c r="F29" i="15"/>
  <c r="G29" i="15" s="1"/>
  <c r="E188" i="3"/>
  <c r="E18" i="3"/>
  <c r="E36" i="3"/>
  <c r="J142" i="11"/>
  <c r="J42" i="11"/>
  <c r="P42" i="11" s="1"/>
  <c r="J52" i="11"/>
  <c r="J171" i="11"/>
  <c r="P171" i="11" s="1"/>
  <c r="J177" i="11"/>
  <c r="P177" i="11" s="1"/>
  <c r="J190" i="11"/>
  <c r="P190" i="11" s="1"/>
  <c r="J178" i="11"/>
  <c r="J134" i="11"/>
  <c r="J135" i="11"/>
  <c r="P135" i="11" s="1"/>
  <c r="J138" i="11"/>
  <c r="P138" i="11" s="1"/>
  <c r="J143" i="11"/>
  <c r="J161" i="11"/>
  <c r="P161" i="11" s="1"/>
  <c r="J152" i="11"/>
  <c r="P152" i="11" s="1"/>
  <c r="J164" i="11"/>
  <c r="P164" i="11" s="1"/>
  <c r="J166" i="11"/>
  <c r="P166" i="11" s="1"/>
  <c r="C135" i="3"/>
  <c r="C140" i="3"/>
  <c r="D12" i="14"/>
  <c r="D11" i="14"/>
  <c r="D10" i="14"/>
  <c r="D9" i="14"/>
  <c r="D8" i="14"/>
  <c r="D7" i="14"/>
  <c r="D6" i="14"/>
  <c r="D5" i="14"/>
  <c r="D4" i="14"/>
  <c r="D3" i="14"/>
  <c r="T135" i="3" l="1"/>
  <c r="V135" i="3"/>
  <c r="T140" i="3"/>
  <c r="V140" i="3"/>
  <c r="N140" i="3"/>
  <c r="P140" i="3"/>
  <c r="N135" i="3"/>
  <c r="P135" i="3"/>
  <c r="L140" i="3"/>
  <c r="J135" i="3"/>
  <c r="L135" i="3"/>
  <c r="U81" i="11"/>
  <c r="U87" i="11"/>
  <c r="U84" i="11"/>
  <c r="U89" i="11"/>
  <c r="U90" i="11"/>
  <c r="U83" i="11"/>
  <c r="P143" i="11"/>
  <c r="P142" i="11"/>
  <c r="U88" i="11"/>
  <c r="P88" i="11"/>
  <c r="U82" i="11"/>
  <c r="M180" i="11"/>
  <c r="L72" i="11"/>
  <c r="U149" i="11"/>
  <c r="U147" i="11"/>
  <c r="U117" i="11"/>
  <c r="U122" i="11"/>
  <c r="U143" i="11"/>
  <c r="U146" i="11"/>
  <c r="U142" i="11"/>
  <c r="U136" i="11"/>
  <c r="U127" i="11"/>
  <c r="U130" i="11"/>
  <c r="U57" i="11"/>
  <c r="U176" i="11"/>
  <c r="U118" i="11"/>
  <c r="U133" i="11"/>
  <c r="O131" i="11"/>
  <c r="L41" i="11"/>
  <c r="O41" i="11" s="1"/>
  <c r="U41" i="11" s="1"/>
  <c r="H41" i="3"/>
  <c r="O132" i="11"/>
  <c r="O119" i="11"/>
  <c r="H30" i="5"/>
  <c r="H31" i="5" s="1"/>
  <c r="G154" i="11"/>
  <c r="O52" i="11"/>
  <c r="O53" i="11"/>
  <c r="L180" i="11"/>
  <c r="O78" i="11"/>
  <c r="U78" i="11" s="1"/>
  <c r="O92" i="11"/>
  <c r="E16" i="5"/>
  <c r="E20" i="5" s="1"/>
  <c r="M19" i="11"/>
  <c r="M38" i="11" s="1"/>
  <c r="M47" i="11" s="1"/>
  <c r="N18" i="11"/>
  <c r="N19" i="11" s="1"/>
  <c r="N38" i="11" s="1"/>
  <c r="O192" i="11"/>
  <c r="O126" i="11"/>
  <c r="O124" i="11"/>
  <c r="O151" i="11"/>
  <c r="O157" i="11"/>
  <c r="O186" i="11"/>
  <c r="L195" i="11"/>
  <c r="O121" i="11"/>
  <c r="O128" i="11"/>
  <c r="O172" i="11"/>
  <c r="O162" i="11"/>
  <c r="O120" i="11"/>
  <c r="O178" i="11"/>
  <c r="P178" i="11" s="1"/>
  <c r="L37" i="11"/>
  <c r="O22" i="11"/>
  <c r="E45" i="3"/>
  <c r="O134" i="11"/>
  <c r="P134" i="11" s="1"/>
  <c r="O155" i="11"/>
  <c r="O40" i="11"/>
  <c r="U40" i="11" s="1"/>
  <c r="O129" i="11"/>
  <c r="L19" i="11"/>
  <c r="O169" i="11"/>
  <c r="O140" i="11"/>
  <c r="O139" i="11"/>
  <c r="O137" i="11"/>
  <c r="O93" i="11"/>
  <c r="O179" i="11"/>
  <c r="E37" i="3"/>
  <c r="F135" i="3"/>
  <c r="G147" i="11"/>
  <c r="F140" i="3"/>
  <c r="C13" i="14"/>
  <c r="D13" i="14" s="1"/>
  <c r="D52" i="3"/>
  <c r="C51" i="3"/>
  <c r="C69" i="3"/>
  <c r="C95" i="3"/>
  <c r="C60" i="3"/>
  <c r="C57" i="3"/>
  <c r="C78" i="3"/>
  <c r="C157" i="3"/>
  <c r="C128" i="3"/>
  <c r="C123" i="3"/>
  <c r="C126" i="3"/>
  <c r="C125" i="3"/>
  <c r="C124" i="3"/>
  <c r="C21" i="3"/>
  <c r="C113" i="3"/>
  <c r="C112" i="3"/>
  <c r="C165" i="3"/>
  <c r="G179" i="11" s="1"/>
  <c r="C115" i="3"/>
  <c r="C14" i="3"/>
  <c r="V14" i="3" s="1"/>
  <c r="D39" i="3"/>
  <c r="F39" i="3" s="1"/>
  <c r="D42" i="3"/>
  <c r="T21" i="3" l="1"/>
  <c r="V21" i="3"/>
  <c r="T126" i="3"/>
  <c r="V126" i="3"/>
  <c r="T123" i="3"/>
  <c r="V123" i="3"/>
  <c r="T69" i="3"/>
  <c r="V69" i="3"/>
  <c r="T124" i="3"/>
  <c r="V124" i="3"/>
  <c r="V51" i="3"/>
  <c r="U71" i="3"/>
  <c r="T78" i="3"/>
  <c r="V78" i="3"/>
  <c r="T113" i="3"/>
  <c r="V113" i="3"/>
  <c r="T128" i="3"/>
  <c r="V128" i="3"/>
  <c r="T57" i="3"/>
  <c r="V57" i="3"/>
  <c r="T60" i="3"/>
  <c r="V60" i="3"/>
  <c r="T125" i="3"/>
  <c r="V125" i="3"/>
  <c r="T95" i="3"/>
  <c r="V95" i="3"/>
  <c r="T112" i="3"/>
  <c r="V112" i="3"/>
  <c r="P14" i="3"/>
  <c r="T14" i="3"/>
  <c r="T51" i="3"/>
  <c r="S71" i="3"/>
  <c r="N113" i="3"/>
  <c r="P113" i="3"/>
  <c r="N95" i="3"/>
  <c r="P95" i="3"/>
  <c r="N21" i="3"/>
  <c r="P21" i="3"/>
  <c r="N128" i="3"/>
  <c r="P128" i="3"/>
  <c r="N78" i="3"/>
  <c r="P78" i="3"/>
  <c r="N126" i="3"/>
  <c r="P126" i="3"/>
  <c r="N57" i="3"/>
  <c r="P57" i="3"/>
  <c r="N112" i="3"/>
  <c r="P112" i="3"/>
  <c r="N125" i="3"/>
  <c r="P125" i="3"/>
  <c r="N60" i="3"/>
  <c r="P60" i="3"/>
  <c r="N124" i="3"/>
  <c r="P124" i="3"/>
  <c r="N123" i="3"/>
  <c r="P123" i="3"/>
  <c r="N69" i="3"/>
  <c r="P69" i="3"/>
  <c r="P51" i="3"/>
  <c r="O71" i="3"/>
  <c r="N51" i="3"/>
  <c r="M71" i="3"/>
  <c r="J113" i="3"/>
  <c r="L113" i="3"/>
  <c r="J14" i="3"/>
  <c r="L14" i="3"/>
  <c r="J128" i="3"/>
  <c r="L128" i="3"/>
  <c r="J112" i="3"/>
  <c r="L112" i="3"/>
  <c r="J124" i="3"/>
  <c r="L124" i="3"/>
  <c r="J126" i="3"/>
  <c r="L126" i="3"/>
  <c r="J21" i="3"/>
  <c r="L21" i="3"/>
  <c r="J123" i="3"/>
  <c r="L123" i="3"/>
  <c r="J78" i="3"/>
  <c r="L78" i="3"/>
  <c r="J95" i="3"/>
  <c r="L95" i="3"/>
  <c r="J125" i="3"/>
  <c r="L125" i="3"/>
  <c r="J57" i="3"/>
  <c r="L57" i="3"/>
  <c r="J69" i="3"/>
  <c r="L69" i="3"/>
  <c r="J60" i="3"/>
  <c r="L60" i="3"/>
  <c r="L51" i="3"/>
  <c r="K71" i="3"/>
  <c r="U92" i="11"/>
  <c r="J154" i="11"/>
  <c r="P154" i="11" s="1"/>
  <c r="I71" i="3"/>
  <c r="J51" i="3"/>
  <c r="L46" i="11"/>
  <c r="P52" i="11"/>
  <c r="O72" i="11"/>
  <c r="U121" i="11"/>
  <c r="U137" i="11"/>
  <c r="U157" i="11"/>
  <c r="U93" i="11"/>
  <c r="U139" i="11"/>
  <c r="U140" i="11"/>
  <c r="U162" i="11"/>
  <c r="U151" i="11"/>
  <c r="U119" i="11"/>
  <c r="U169" i="11"/>
  <c r="U178" i="11"/>
  <c r="U132" i="11"/>
  <c r="U155" i="11"/>
  <c r="U134" i="11"/>
  <c r="U172" i="11"/>
  <c r="U179" i="11"/>
  <c r="U120" i="11"/>
  <c r="U129" i="11"/>
  <c r="U124" i="11"/>
  <c r="U128" i="11"/>
  <c r="U131" i="11"/>
  <c r="U126" i="11"/>
  <c r="P192" i="11"/>
  <c r="U192" i="11"/>
  <c r="G71" i="3"/>
  <c r="F51" i="3"/>
  <c r="O180" i="11"/>
  <c r="O18" i="11"/>
  <c r="L38" i="11"/>
  <c r="E46" i="3"/>
  <c r="F113" i="3"/>
  <c r="G70" i="11"/>
  <c r="J70" i="11" s="1"/>
  <c r="F69" i="3"/>
  <c r="F115" i="3"/>
  <c r="F165" i="3"/>
  <c r="F124" i="3"/>
  <c r="G10" i="11"/>
  <c r="J10" i="11" s="1"/>
  <c r="P10" i="11" s="1"/>
  <c r="F14" i="3"/>
  <c r="F112" i="3"/>
  <c r="G22" i="11"/>
  <c r="J22" i="11" s="1"/>
  <c r="P22" i="11" s="1"/>
  <c r="F21" i="3"/>
  <c r="F125" i="3"/>
  <c r="G131" i="11"/>
  <c r="F126" i="3"/>
  <c r="G132" i="11"/>
  <c r="F123" i="3"/>
  <c r="F128" i="3"/>
  <c r="G159" i="11"/>
  <c r="F157" i="3"/>
  <c r="G92" i="11"/>
  <c r="F78" i="3"/>
  <c r="G65" i="11"/>
  <c r="J65" i="11" s="1"/>
  <c r="F57" i="3"/>
  <c r="G59" i="11"/>
  <c r="J59" i="11" s="1"/>
  <c r="F60" i="3"/>
  <c r="G127" i="11"/>
  <c r="F95" i="3"/>
  <c r="G54" i="11"/>
  <c r="J54" i="11" s="1"/>
  <c r="F53" i="3"/>
  <c r="G62" i="11"/>
  <c r="J62" i="11" s="1"/>
  <c r="L47" i="11" l="1"/>
  <c r="P70" i="11"/>
  <c r="P62" i="11"/>
  <c r="P54" i="11"/>
  <c r="P65" i="11"/>
  <c r="P59" i="11"/>
  <c r="J122" i="11"/>
  <c r="P122" i="11" s="1"/>
  <c r="J159" i="11"/>
  <c r="P159" i="11" s="1"/>
  <c r="C121" i="5" l="1"/>
  <c r="H179" i="11" l="1"/>
  <c r="J179" i="11" s="1"/>
  <c r="P179" i="11" s="1"/>
  <c r="F121" i="5"/>
  <c r="C83" i="5"/>
  <c r="N83" i="5" s="1"/>
  <c r="C79" i="5"/>
  <c r="N79" i="5" s="1"/>
  <c r="C81" i="5"/>
  <c r="N81" i="5" s="1"/>
  <c r="C80" i="5"/>
  <c r="N80" i="5" s="1"/>
  <c r="C78" i="5"/>
  <c r="N78" i="5" s="1"/>
  <c r="C36" i="5"/>
  <c r="N36" i="5" s="1"/>
  <c r="D126" i="5"/>
  <c r="F126" i="5" s="1"/>
  <c r="D125" i="5"/>
  <c r="F125" i="5" s="1"/>
  <c r="D124" i="5"/>
  <c r="F124" i="5" s="1"/>
  <c r="D123" i="5"/>
  <c r="F123" i="5" s="1"/>
  <c r="D122" i="5"/>
  <c r="F122" i="5" s="1"/>
  <c r="D121" i="5"/>
  <c r="D120" i="5"/>
  <c r="F120" i="5" s="1"/>
  <c r="D119" i="5"/>
  <c r="F119" i="5" s="1"/>
  <c r="D117" i="5"/>
  <c r="F117" i="5" s="1"/>
  <c r="D116" i="5"/>
  <c r="F116" i="5" s="1"/>
  <c r="D114" i="5"/>
  <c r="F114" i="5" s="1"/>
  <c r="D112" i="5"/>
  <c r="F112" i="5" s="1"/>
  <c r="D111" i="5"/>
  <c r="F111" i="5" s="1"/>
  <c r="D109" i="5"/>
  <c r="F109" i="5" s="1"/>
  <c r="D108" i="5"/>
  <c r="F108" i="5" s="1"/>
  <c r="D107" i="5"/>
  <c r="F107" i="5" s="1"/>
  <c r="D106" i="5"/>
  <c r="F106" i="5" s="1"/>
  <c r="D104" i="5"/>
  <c r="D103" i="5"/>
  <c r="F103" i="5" s="1"/>
  <c r="D102" i="5"/>
  <c r="F102" i="5" s="1"/>
  <c r="D101" i="5"/>
  <c r="F101" i="5" s="1"/>
  <c r="D100" i="5"/>
  <c r="F100" i="5" s="1"/>
  <c r="D98" i="5"/>
  <c r="F98" i="5" s="1"/>
  <c r="D97" i="5"/>
  <c r="F97" i="5" s="1"/>
  <c r="D95" i="5"/>
  <c r="F95" i="5" s="1"/>
  <c r="D94" i="5"/>
  <c r="F94" i="5" s="1"/>
  <c r="D92" i="5"/>
  <c r="F92" i="5" s="1"/>
  <c r="D91" i="5"/>
  <c r="F91" i="5" s="1"/>
  <c r="D90" i="5"/>
  <c r="F90" i="5" s="1"/>
  <c r="D89" i="5"/>
  <c r="F89" i="5" s="1"/>
  <c r="D88" i="5"/>
  <c r="F88" i="5" s="1"/>
  <c r="D87" i="5"/>
  <c r="F87" i="5" s="1"/>
  <c r="D85" i="5"/>
  <c r="F85" i="5" s="1"/>
  <c r="D84" i="5"/>
  <c r="F84" i="5" s="1"/>
  <c r="D82" i="5"/>
  <c r="D76" i="5"/>
  <c r="F76" i="5" s="1"/>
  <c r="D75" i="5"/>
  <c r="F75" i="5" s="1"/>
  <c r="D74" i="5"/>
  <c r="F74" i="5" s="1"/>
  <c r="D72" i="5"/>
  <c r="F72" i="5" s="1"/>
  <c r="D70" i="5"/>
  <c r="F70" i="5" s="1"/>
  <c r="D69" i="5"/>
  <c r="F69" i="5" s="1"/>
  <c r="D67" i="5"/>
  <c r="F67" i="5" s="1"/>
  <c r="D66" i="5"/>
  <c r="F66" i="5" s="1"/>
  <c r="D65" i="5"/>
  <c r="F65" i="5" s="1"/>
  <c r="D64" i="5"/>
  <c r="F64" i="5" s="1"/>
  <c r="D63" i="5"/>
  <c r="F63" i="5" s="1"/>
  <c r="D62" i="5"/>
  <c r="F62" i="5" s="1"/>
  <c r="D61" i="5"/>
  <c r="F61" i="5" s="1"/>
  <c r="D60" i="5"/>
  <c r="F60" i="5" s="1"/>
  <c r="D56" i="5"/>
  <c r="D55" i="5"/>
  <c r="D54" i="5"/>
  <c r="D53" i="5"/>
  <c r="D52" i="5"/>
  <c r="D49" i="5"/>
  <c r="D45" i="5"/>
  <c r="D44" i="5"/>
  <c r="D43" i="5"/>
  <c r="F43" i="5" s="1"/>
  <c r="D42" i="5"/>
  <c r="F42" i="5" s="1"/>
  <c r="D41" i="5"/>
  <c r="F41" i="5" s="1"/>
  <c r="D40" i="5"/>
  <c r="F40" i="5" s="1"/>
  <c r="D33" i="5"/>
  <c r="F33" i="5" s="1"/>
  <c r="H33" i="5" s="1"/>
  <c r="D127" i="5"/>
  <c r="C93" i="5"/>
  <c r="N93" i="5" s="1"/>
  <c r="C99" i="5"/>
  <c r="N99" i="5" s="1"/>
  <c r="C37" i="5"/>
  <c r="N37" i="5" s="1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F10" i="13"/>
  <c r="G10" i="13" s="1"/>
  <c r="E10" i="13"/>
  <c r="E9" i="13"/>
  <c r="C115" i="5"/>
  <c r="N115" i="5" s="1"/>
  <c r="C113" i="5"/>
  <c r="N113" i="5" s="1"/>
  <c r="C110" i="5"/>
  <c r="N110" i="5" s="1"/>
  <c r="C105" i="5"/>
  <c r="N105" i="5" s="1"/>
  <c r="C96" i="5"/>
  <c r="N96" i="5" s="1"/>
  <c r="C86" i="5"/>
  <c r="N86" i="5" s="1"/>
  <c r="C73" i="5"/>
  <c r="N73" i="5" s="1"/>
  <c r="C71" i="5"/>
  <c r="N71" i="5" s="1"/>
  <c r="C68" i="5"/>
  <c r="N68" i="5" s="1"/>
  <c r="C59" i="5"/>
  <c r="N59" i="5" s="1"/>
  <c r="C58" i="5"/>
  <c r="N58" i="5" s="1"/>
  <c r="C57" i="5"/>
  <c r="N57" i="5" s="1"/>
  <c r="C51" i="5"/>
  <c r="N51" i="5" s="1"/>
  <c r="C50" i="5"/>
  <c r="N50" i="5" s="1"/>
  <c r="C48" i="5"/>
  <c r="N48" i="5" s="1"/>
  <c r="C47" i="5"/>
  <c r="N47" i="5" s="1"/>
  <c r="C46" i="5"/>
  <c r="N46" i="5" s="1"/>
  <c r="C38" i="5"/>
  <c r="N38" i="5" s="1"/>
  <c r="C35" i="5"/>
  <c r="N35" i="5" s="1"/>
  <c r="C34" i="5"/>
  <c r="N34" i="5" s="1"/>
  <c r="C9" i="5"/>
  <c r="D151" i="5"/>
  <c r="D139" i="5"/>
  <c r="D19" i="5"/>
  <c r="D15" i="5"/>
  <c r="C151" i="5"/>
  <c r="C139" i="5"/>
  <c r="C19" i="5"/>
  <c r="C15" i="5"/>
  <c r="C41" i="13"/>
  <c r="C40" i="13"/>
  <c r="C56" i="3"/>
  <c r="C184" i="3"/>
  <c r="C181" i="3"/>
  <c r="C40" i="3"/>
  <c r="G104" i="12"/>
  <c r="H104" i="12" s="1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G50" i="12"/>
  <c r="H50" i="12" s="1"/>
  <c r="F50" i="12"/>
  <c r="G49" i="12"/>
  <c r="H49" i="12" s="1"/>
  <c r="F49" i="12"/>
  <c r="G48" i="12"/>
  <c r="H48" i="12" s="1"/>
  <c r="F48" i="12"/>
  <c r="G47" i="12"/>
  <c r="H47" i="12" s="1"/>
  <c r="F47" i="12"/>
  <c r="G46" i="12"/>
  <c r="H46" i="12" s="1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G21" i="12"/>
  <c r="H21" i="12" s="1"/>
  <c r="F21" i="12"/>
  <c r="F20" i="12"/>
  <c r="G19" i="12"/>
  <c r="H19" i="12" s="1"/>
  <c r="F19" i="12"/>
  <c r="F18" i="12"/>
  <c r="F17" i="12"/>
  <c r="F16" i="12"/>
  <c r="F15" i="12"/>
  <c r="F14" i="12"/>
  <c r="F13" i="12"/>
  <c r="F12" i="12"/>
  <c r="F11" i="12"/>
  <c r="F10" i="12"/>
  <c r="C9" i="3"/>
  <c r="D175" i="3"/>
  <c r="D174" i="3"/>
  <c r="C173" i="3"/>
  <c r="D172" i="3"/>
  <c r="C168" i="3"/>
  <c r="D167" i="3"/>
  <c r="D166" i="3"/>
  <c r="D165" i="3"/>
  <c r="C161" i="3"/>
  <c r="D160" i="3"/>
  <c r="C159" i="3"/>
  <c r="D158" i="3"/>
  <c r="D157" i="3"/>
  <c r="D155" i="3"/>
  <c r="C154" i="3"/>
  <c r="C153" i="3"/>
  <c r="C151" i="3"/>
  <c r="C150" i="3"/>
  <c r="C149" i="3"/>
  <c r="C147" i="3"/>
  <c r="C146" i="3"/>
  <c r="D145" i="3"/>
  <c r="D143" i="3"/>
  <c r="C142" i="3"/>
  <c r="D141" i="3"/>
  <c r="C139" i="3"/>
  <c r="D138" i="3"/>
  <c r="C137" i="3"/>
  <c r="C136" i="3"/>
  <c r="G63" i="12"/>
  <c r="H63" i="12" s="1"/>
  <c r="D134" i="3"/>
  <c r="D133" i="3"/>
  <c r="D132" i="3"/>
  <c r="D131" i="3"/>
  <c r="C130" i="3"/>
  <c r="C129" i="3"/>
  <c r="D128" i="3"/>
  <c r="D127" i="3"/>
  <c r="G96" i="12"/>
  <c r="H96" i="12" s="1"/>
  <c r="D125" i="3"/>
  <c r="D124" i="3"/>
  <c r="G97" i="12"/>
  <c r="H97" i="12" s="1"/>
  <c r="D122" i="3"/>
  <c r="C121" i="3"/>
  <c r="C120" i="3"/>
  <c r="C119" i="3"/>
  <c r="C118" i="3"/>
  <c r="C117" i="3"/>
  <c r="C116" i="3"/>
  <c r="C114" i="3"/>
  <c r="G80" i="12"/>
  <c r="H80" i="12" s="1"/>
  <c r="C111" i="3"/>
  <c r="C110" i="3"/>
  <c r="C109" i="3"/>
  <c r="C108" i="3"/>
  <c r="C107" i="3"/>
  <c r="C106" i="3"/>
  <c r="C105" i="3"/>
  <c r="D104" i="3"/>
  <c r="C103" i="3"/>
  <c r="C102" i="3"/>
  <c r="D101" i="3"/>
  <c r="C100" i="3"/>
  <c r="C99" i="3"/>
  <c r="C98" i="3"/>
  <c r="C97" i="3"/>
  <c r="C96" i="3"/>
  <c r="G62" i="12"/>
  <c r="H62" i="12" s="1"/>
  <c r="C94" i="3"/>
  <c r="D93" i="3"/>
  <c r="D92" i="3"/>
  <c r="C76" i="3"/>
  <c r="C75" i="3"/>
  <c r="D70" i="3"/>
  <c r="C90" i="3"/>
  <c r="C89" i="3"/>
  <c r="C88" i="3"/>
  <c r="C87" i="3"/>
  <c r="C68" i="3"/>
  <c r="C67" i="3"/>
  <c r="D86" i="3"/>
  <c r="D66" i="3"/>
  <c r="C65" i="3"/>
  <c r="D79" i="3"/>
  <c r="C63" i="3"/>
  <c r="D62" i="3"/>
  <c r="D80" i="3"/>
  <c r="G36" i="12"/>
  <c r="H36" i="12" s="1"/>
  <c r="C77" i="3"/>
  <c r="C61" i="3"/>
  <c r="G37" i="12"/>
  <c r="H37" i="12" s="1"/>
  <c r="C58" i="3"/>
  <c r="G33" i="12"/>
  <c r="H33" i="12" s="1"/>
  <c r="C55" i="3"/>
  <c r="G28" i="12"/>
  <c r="H28" i="12" s="1"/>
  <c r="G29" i="12"/>
  <c r="H29" i="12" s="1"/>
  <c r="D50" i="3"/>
  <c r="C44" i="3"/>
  <c r="C43" i="3"/>
  <c r="F22" i="3"/>
  <c r="G52" i="12"/>
  <c r="H52" i="12" s="1"/>
  <c r="C20" i="3"/>
  <c r="C17" i="3"/>
  <c r="V17" i="3" s="1"/>
  <c r="C15" i="3"/>
  <c r="V15" i="3" s="1"/>
  <c r="G12" i="12"/>
  <c r="H12" i="12" s="1"/>
  <c r="C13" i="3"/>
  <c r="V13" i="3" s="1"/>
  <c r="D200" i="3"/>
  <c r="C200" i="3"/>
  <c r="C105" i="12"/>
  <c r="E104" i="12"/>
  <c r="C104" i="12"/>
  <c r="E21" i="12"/>
  <c r="C21" i="12"/>
  <c r="F53" i="11"/>
  <c r="AW53" i="11" s="1"/>
  <c r="AW72" i="11" s="1"/>
  <c r="AW182" i="11" s="1"/>
  <c r="B146" i="3"/>
  <c r="D179" i="11"/>
  <c r="F179" i="11" s="1"/>
  <c r="C159" i="11"/>
  <c r="F159" i="11" s="1"/>
  <c r="F77" i="11"/>
  <c r="K77" i="11" s="1"/>
  <c r="F165" i="11"/>
  <c r="K165" i="11" s="1"/>
  <c r="F193" i="11"/>
  <c r="K193" i="11" s="1"/>
  <c r="F35" i="11"/>
  <c r="AX35" i="11" s="1"/>
  <c r="BD35" i="11" s="1"/>
  <c r="F141" i="11"/>
  <c r="K141" i="11" s="1"/>
  <c r="F170" i="11"/>
  <c r="K170" i="11" s="1"/>
  <c r="F188" i="11"/>
  <c r="K188" i="11" s="1"/>
  <c r="F189" i="11"/>
  <c r="F190" i="11"/>
  <c r="C158" i="11"/>
  <c r="F158" i="11" s="1"/>
  <c r="D177" i="11"/>
  <c r="C177" i="11"/>
  <c r="F51" i="11"/>
  <c r="B105" i="5"/>
  <c r="D136" i="11" s="1"/>
  <c r="B86" i="5"/>
  <c r="B35" i="5"/>
  <c r="D92" i="11" s="1"/>
  <c r="B78" i="5"/>
  <c r="B81" i="5"/>
  <c r="D131" i="11" s="1"/>
  <c r="B115" i="3"/>
  <c r="F122" i="11" s="1"/>
  <c r="B112" i="3"/>
  <c r="B113" i="3" s="1"/>
  <c r="B51" i="3"/>
  <c r="B69" i="3"/>
  <c r="B99" i="3"/>
  <c r="C130" i="11" s="1"/>
  <c r="B95" i="3"/>
  <c r="B140" i="3"/>
  <c r="B61" i="3"/>
  <c r="B60" i="3"/>
  <c r="B57" i="3"/>
  <c r="B78" i="3"/>
  <c r="B126" i="3"/>
  <c r="B123" i="3"/>
  <c r="D178" i="11"/>
  <c r="D172" i="11"/>
  <c r="D171" i="11"/>
  <c r="D167" i="11"/>
  <c r="D166" i="11"/>
  <c r="D164" i="11"/>
  <c r="D162" i="11"/>
  <c r="D161" i="11"/>
  <c r="D156" i="11"/>
  <c r="D121" i="11"/>
  <c r="D155" i="11"/>
  <c r="D154" i="11"/>
  <c r="D152" i="11"/>
  <c r="D120" i="11"/>
  <c r="D151" i="11"/>
  <c r="D149" i="11"/>
  <c r="D148" i="11"/>
  <c r="D144" i="11"/>
  <c r="D143" i="11"/>
  <c r="D142" i="11"/>
  <c r="D140" i="11"/>
  <c r="D139" i="11"/>
  <c r="D138" i="11"/>
  <c r="D135" i="11"/>
  <c r="D134" i="11"/>
  <c r="D129" i="11"/>
  <c r="D124" i="11"/>
  <c r="D93" i="11"/>
  <c r="D90" i="11"/>
  <c r="D89" i="11"/>
  <c r="D82" i="11"/>
  <c r="D81" i="11"/>
  <c r="F43" i="11"/>
  <c r="AX43" i="11" s="1"/>
  <c r="BD43" i="11" s="1"/>
  <c r="B9" i="5"/>
  <c r="D18" i="11" s="1"/>
  <c r="F18" i="11" s="1"/>
  <c r="C178" i="11"/>
  <c r="C171" i="11"/>
  <c r="C166" i="11"/>
  <c r="C164" i="11"/>
  <c r="C162" i="11"/>
  <c r="C161" i="11"/>
  <c r="C152" i="11"/>
  <c r="C149" i="11"/>
  <c r="C144" i="11"/>
  <c r="C143" i="11"/>
  <c r="C142" i="11"/>
  <c r="C140" i="11"/>
  <c r="C138" i="11"/>
  <c r="C135" i="11"/>
  <c r="C134" i="11"/>
  <c r="BA19" i="11" l="1"/>
  <c r="BA38" i="11" s="1"/>
  <c r="BA47" i="11" s="1"/>
  <c r="BB18" i="11"/>
  <c r="BB19" i="11" s="1"/>
  <c r="BB38" i="11" s="1"/>
  <c r="BB47" i="11" s="1"/>
  <c r="BB197" i="11" s="1"/>
  <c r="T130" i="3"/>
  <c r="V130" i="3"/>
  <c r="V181" i="3"/>
  <c r="U188" i="3"/>
  <c r="V75" i="3"/>
  <c r="U176" i="3"/>
  <c r="U178" i="3" s="1"/>
  <c r="T110" i="3"/>
  <c r="V110" i="3"/>
  <c r="T56" i="3"/>
  <c r="V56" i="3"/>
  <c r="T58" i="3"/>
  <c r="V58" i="3"/>
  <c r="T76" i="3"/>
  <c r="V76" i="3"/>
  <c r="T111" i="3"/>
  <c r="V111" i="3"/>
  <c r="T159" i="3"/>
  <c r="V159" i="3"/>
  <c r="T61" i="3"/>
  <c r="V61" i="3"/>
  <c r="T114" i="3"/>
  <c r="V114" i="3"/>
  <c r="T184" i="3"/>
  <c r="V184" i="3"/>
  <c r="T161" i="3"/>
  <c r="V161" i="3"/>
  <c r="T117" i="3"/>
  <c r="V117" i="3"/>
  <c r="T99" i="3"/>
  <c r="V99" i="3"/>
  <c r="T65" i="3"/>
  <c r="V65" i="3"/>
  <c r="T100" i="3"/>
  <c r="V100" i="3"/>
  <c r="T173" i="3"/>
  <c r="V173" i="3"/>
  <c r="T55" i="3"/>
  <c r="T71" i="3" s="1"/>
  <c r="V55" i="3"/>
  <c r="T136" i="3"/>
  <c r="V136" i="3"/>
  <c r="T98" i="3"/>
  <c r="V98" i="3"/>
  <c r="U36" i="3"/>
  <c r="V20" i="3"/>
  <c r="V36" i="3" s="1"/>
  <c r="T102" i="3"/>
  <c r="V102" i="3"/>
  <c r="T146" i="3"/>
  <c r="V146" i="3"/>
  <c r="T154" i="3"/>
  <c r="V154" i="3"/>
  <c r="T116" i="3"/>
  <c r="V116" i="3"/>
  <c r="T96" i="3"/>
  <c r="V96" i="3"/>
  <c r="T97" i="3"/>
  <c r="V97" i="3"/>
  <c r="T168" i="3"/>
  <c r="V168" i="3"/>
  <c r="T142" i="3"/>
  <c r="V142" i="3"/>
  <c r="T147" i="3"/>
  <c r="V147" i="3"/>
  <c r="T43" i="3"/>
  <c r="V43" i="3"/>
  <c r="T149" i="3"/>
  <c r="V149" i="3"/>
  <c r="T44" i="3"/>
  <c r="V44" i="3"/>
  <c r="T105" i="3"/>
  <c r="V105" i="3"/>
  <c r="T90" i="3"/>
  <c r="V90" i="3"/>
  <c r="T94" i="3"/>
  <c r="V94" i="3"/>
  <c r="T118" i="3"/>
  <c r="V118" i="3"/>
  <c r="T119" i="3"/>
  <c r="V119" i="3"/>
  <c r="T120" i="3"/>
  <c r="V120" i="3"/>
  <c r="T67" i="3"/>
  <c r="V67" i="3"/>
  <c r="T68" i="3"/>
  <c r="V68" i="3"/>
  <c r="T150" i="3"/>
  <c r="V150" i="3"/>
  <c r="T88" i="3"/>
  <c r="V88" i="3"/>
  <c r="T106" i="3"/>
  <c r="V106" i="3"/>
  <c r="T151" i="3"/>
  <c r="V151" i="3"/>
  <c r="T108" i="3"/>
  <c r="V108" i="3"/>
  <c r="T109" i="3"/>
  <c r="V109" i="3"/>
  <c r="T77" i="3"/>
  <c r="V77" i="3"/>
  <c r="T137" i="3"/>
  <c r="V137" i="3"/>
  <c r="T139" i="3"/>
  <c r="V139" i="3"/>
  <c r="T63" i="3"/>
  <c r="V63" i="3"/>
  <c r="T121" i="3"/>
  <c r="V121" i="3"/>
  <c r="T103" i="3"/>
  <c r="V103" i="3"/>
  <c r="V9" i="3"/>
  <c r="V18" i="3" s="1"/>
  <c r="U18" i="3"/>
  <c r="T87" i="3"/>
  <c r="V87" i="3"/>
  <c r="T89" i="3"/>
  <c r="V89" i="3"/>
  <c r="T107" i="3"/>
  <c r="V107" i="3"/>
  <c r="T129" i="3"/>
  <c r="V129" i="3"/>
  <c r="T153" i="3"/>
  <c r="V153" i="3"/>
  <c r="V41" i="3"/>
  <c r="V40" i="3"/>
  <c r="T181" i="3"/>
  <c r="T188" i="3" s="1"/>
  <c r="S188" i="3"/>
  <c r="S176" i="3"/>
  <c r="S178" i="3" s="1"/>
  <c r="T75" i="3"/>
  <c r="P15" i="3"/>
  <c r="T15" i="3"/>
  <c r="P17" i="3"/>
  <c r="T17" i="3"/>
  <c r="T20" i="3"/>
  <c r="T36" i="3" s="1"/>
  <c r="S36" i="3"/>
  <c r="P13" i="3"/>
  <c r="T13" i="3"/>
  <c r="S18" i="3"/>
  <c r="T9" i="3"/>
  <c r="T40" i="3"/>
  <c r="T41" i="3"/>
  <c r="AW18" i="11"/>
  <c r="AW19" i="11" s="1"/>
  <c r="AW38" i="11" s="1"/>
  <c r="AW47" i="11" s="1"/>
  <c r="AW197" i="11" s="1"/>
  <c r="AV19" i="11"/>
  <c r="AX179" i="11"/>
  <c r="BD179" i="11" s="1"/>
  <c r="AQ19" i="11"/>
  <c r="AR18" i="11"/>
  <c r="AR19" i="11" s="1"/>
  <c r="AR38" i="11" s="1"/>
  <c r="AR47" i="11" s="1"/>
  <c r="AN35" i="11"/>
  <c r="AO35" i="11" s="1"/>
  <c r="AS35" i="11"/>
  <c r="AY35" i="11" s="1"/>
  <c r="AM53" i="11"/>
  <c r="AM72" i="11" s="1"/>
  <c r="AM182" i="11" s="1"/>
  <c r="AR53" i="11"/>
  <c r="AR72" i="11" s="1"/>
  <c r="AR182" i="11" s="1"/>
  <c r="AN43" i="11"/>
  <c r="AO43" i="11" s="1"/>
  <c r="AS43" i="11"/>
  <c r="AY43" i="11" s="1"/>
  <c r="AN51" i="11"/>
  <c r="AO51" i="11" s="1"/>
  <c r="AM18" i="11"/>
  <c r="AM19" i="11" s="1"/>
  <c r="AM38" i="11" s="1"/>
  <c r="AM47" i="11" s="1"/>
  <c r="AL19" i="11"/>
  <c r="AN158" i="11"/>
  <c r="AO158" i="11" s="1"/>
  <c r="AN190" i="11"/>
  <c r="AO190" i="11" s="1"/>
  <c r="AN159" i="11"/>
  <c r="AO159" i="11" s="1"/>
  <c r="N116" i="3"/>
  <c r="P116" i="3"/>
  <c r="N117" i="3"/>
  <c r="P117" i="3"/>
  <c r="N137" i="3"/>
  <c r="P137" i="3"/>
  <c r="N77" i="3"/>
  <c r="P77" i="3"/>
  <c r="N161" i="3"/>
  <c r="P161" i="3"/>
  <c r="N118" i="3"/>
  <c r="P118" i="3"/>
  <c r="N139" i="3"/>
  <c r="P139" i="3"/>
  <c r="N99" i="3"/>
  <c r="P99" i="3"/>
  <c r="N121" i="3"/>
  <c r="P121" i="3"/>
  <c r="N142" i="3"/>
  <c r="P142" i="3"/>
  <c r="N173" i="3"/>
  <c r="P173" i="3"/>
  <c r="N67" i="3"/>
  <c r="P67" i="3"/>
  <c r="N103" i="3"/>
  <c r="P103" i="3"/>
  <c r="N147" i="3"/>
  <c r="P147" i="3"/>
  <c r="O18" i="3"/>
  <c r="P9" i="3"/>
  <c r="N61" i="3"/>
  <c r="P61" i="3"/>
  <c r="N96" i="3"/>
  <c r="P96" i="3"/>
  <c r="N63" i="3"/>
  <c r="P63" i="3"/>
  <c r="N65" i="3"/>
  <c r="P65" i="3"/>
  <c r="N88" i="3"/>
  <c r="P88" i="3"/>
  <c r="N89" i="3"/>
  <c r="P89" i="3"/>
  <c r="N153" i="3"/>
  <c r="P153" i="3"/>
  <c r="P41" i="3"/>
  <c r="P40" i="3"/>
  <c r="N119" i="3"/>
  <c r="P119" i="3"/>
  <c r="N100" i="3"/>
  <c r="P100" i="3"/>
  <c r="N102" i="3"/>
  <c r="P102" i="3"/>
  <c r="N43" i="3"/>
  <c r="P43" i="3"/>
  <c r="N105" i="3"/>
  <c r="P105" i="3"/>
  <c r="N151" i="3"/>
  <c r="P151" i="3"/>
  <c r="N90" i="3"/>
  <c r="P90" i="3"/>
  <c r="N154" i="3"/>
  <c r="P154" i="3"/>
  <c r="O188" i="3"/>
  <c r="P181" i="3"/>
  <c r="N136" i="3"/>
  <c r="P136" i="3"/>
  <c r="N120" i="3"/>
  <c r="P120" i="3"/>
  <c r="P20" i="3"/>
  <c r="P36" i="3" s="1"/>
  <c r="N149" i="3"/>
  <c r="P149" i="3"/>
  <c r="N44" i="3"/>
  <c r="P44" i="3"/>
  <c r="N106" i="3"/>
  <c r="P106" i="3"/>
  <c r="N108" i="3"/>
  <c r="P108" i="3"/>
  <c r="N55" i="3"/>
  <c r="P55" i="3"/>
  <c r="N109" i="3"/>
  <c r="P109" i="3"/>
  <c r="N184" i="3"/>
  <c r="P184" i="3"/>
  <c r="N94" i="3"/>
  <c r="P94" i="3"/>
  <c r="N97" i="3"/>
  <c r="P97" i="3"/>
  <c r="N68" i="3"/>
  <c r="P68" i="3"/>
  <c r="N150" i="3"/>
  <c r="P150" i="3"/>
  <c r="N129" i="3"/>
  <c r="P129" i="3"/>
  <c r="N130" i="3"/>
  <c r="P130" i="3"/>
  <c r="P75" i="3"/>
  <c r="O176" i="3"/>
  <c r="N110" i="3"/>
  <c r="P110" i="3"/>
  <c r="N56" i="3"/>
  <c r="P56" i="3"/>
  <c r="N159" i="3"/>
  <c r="P159" i="3"/>
  <c r="N114" i="3"/>
  <c r="P114" i="3"/>
  <c r="N98" i="3"/>
  <c r="P98" i="3"/>
  <c r="N168" i="3"/>
  <c r="P168" i="3"/>
  <c r="N146" i="3"/>
  <c r="P146" i="3"/>
  <c r="N87" i="3"/>
  <c r="P87" i="3"/>
  <c r="N107" i="3"/>
  <c r="P107" i="3"/>
  <c r="N58" i="3"/>
  <c r="P58" i="3"/>
  <c r="N76" i="3"/>
  <c r="P76" i="3"/>
  <c r="N111" i="3"/>
  <c r="P111" i="3"/>
  <c r="AG19" i="11"/>
  <c r="AG38" i="11" s="1"/>
  <c r="AG47" i="11" s="1"/>
  <c r="AH19" i="11"/>
  <c r="N129" i="5"/>
  <c r="N9" i="5"/>
  <c r="N10" i="5" s="1"/>
  <c r="N16" i="5" s="1"/>
  <c r="N20" i="5" s="1"/>
  <c r="M10" i="5"/>
  <c r="M16" i="5" s="1"/>
  <c r="M20" i="5" s="1"/>
  <c r="N20" i="3"/>
  <c r="N36" i="3" s="1"/>
  <c r="M36" i="3"/>
  <c r="M18" i="3"/>
  <c r="N18" i="3"/>
  <c r="N41" i="3"/>
  <c r="N40" i="3"/>
  <c r="M188" i="3"/>
  <c r="N181" i="3"/>
  <c r="N75" i="3"/>
  <c r="M176" i="3"/>
  <c r="M178" i="3" s="1"/>
  <c r="K159" i="11"/>
  <c r="K122" i="11"/>
  <c r="AC18" i="11"/>
  <c r="AB19" i="11"/>
  <c r="J86" i="5"/>
  <c r="J93" i="5"/>
  <c r="J78" i="5"/>
  <c r="J80" i="5"/>
  <c r="J81" i="5"/>
  <c r="J46" i="5"/>
  <c r="J105" i="5"/>
  <c r="J113" i="5"/>
  <c r="J57" i="5"/>
  <c r="J59" i="5"/>
  <c r="L9" i="5"/>
  <c r="L10" i="5" s="1"/>
  <c r="L16" i="5" s="1"/>
  <c r="L20" i="5" s="1"/>
  <c r="K10" i="5"/>
  <c r="J47" i="5"/>
  <c r="J58" i="5"/>
  <c r="J114" i="3"/>
  <c r="L114" i="3"/>
  <c r="J117" i="3"/>
  <c r="L117" i="3"/>
  <c r="J137" i="3"/>
  <c r="L137" i="3"/>
  <c r="J161" i="3"/>
  <c r="L161" i="3"/>
  <c r="J96" i="3"/>
  <c r="L96" i="3"/>
  <c r="J121" i="3"/>
  <c r="L121" i="3"/>
  <c r="J173" i="3"/>
  <c r="L173" i="3"/>
  <c r="L20" i="3"/>
  <c r="L36" i="3" s="1"/>
  <c r="K36" i="3"/>
  <c r="J67" i="3"/>
  <c r="L67" i="3"/>
  <c r="J103" i="3"/>
  <c r="L103" i="3"/>
  <c r="J147" i="3"/>
  <c r="L147" i="3"/>
  <c r="L9" i="3"/>
  <c r="K18" i="3"/>
  <c r="J43" i="3"/>
  <c r="L43" i="3"/>
  <c r="J68" i="3"/>
  <c r="L68" i="3"/>
  <c r="J149" i="3"/>
  <c r="L149" i="3"/>
  <c r="J116" i="3"/>
  <c r="L116" i="3"/>
  <c r="J13" i="3"/>
  <c r="L13" i="3"/>
  <c r="J168" i="3"/>
  <c r="L168" i="3"/>
  <c r="J99" i="3"/>
  <c r="L99" i="3"/>
  <c r="J102" i="3"/>
  <c r="L102" i="3"/>
  <c r="J151" i="3"/>
  <c r="L151" i="3"/>
  <c r="J107" i="3"/>
  <c r="L107" i="3"/>
  <c r="J153" i="3"/>
  <c r="L153" i="3"/>
  <c r="L40" i="3"/>
  <c r="L41" i="3"/>
  <c r="J159" i="3"/>
  <c r="L159" i="3"/>
  <c r="J94" i="3"/>
  <c r="L94" i="3"/>
  <c r="J119" i="3"/>
  <c r="L119" i="3"/>
  <c r="J17" i="3"/>
  <c r="L17" i="3"/>
  <c r="J44" i="3"/>
  <c r="L44" i="3"/>
  <c r="J89" i="3"/>
  <c r="L89" i="3"/>
  <c r="J90" i="3"/>
  <c r="L90" i="3"/>
  <c r="J154" i="3"/>
  <c r="L154" i="3"/>
  <c r="L181" i="3"/>
  <c r="K188" i="3"/>
  <c r="J77" i="3"/>
  <c r="L77" i="3"/>
  <c r="J118" i="3"/>
  <c r="L118" i="3"/>
  <c r="J120" i="3"/>
  <c r="L120" i="3"/>
  <c r="J65" i="3"/>
  <c r="L65" i="3"/>
  <c r="J146" i="3"/>
  <c r="L146" i="3"/>
  <c r="J105" i="3"/>
  <c r="L105" i="3"/>
  <c r="J88" i="3"/>
  <c r="L88" i="3"/>
  <c r="J55" i="3"/>
  <c r="L55" i="3"/>
  <c r="J109" i="3"/>
  <c r="L109" i="3"/>
  <c r="J184" i="3"/>
  <c r="L184" i="3"/>
  <c r="J97" i="3"/>
  <c r="L97" i="3"/>
  <c r="J63" i="3"/>
  <c r="L63" i="3"/>
  <c r="J15" i="3"/>
  <c r="L15" i="3"/>
  <c r="J142" i="3"/>
  <c r="L142" i="3"/>
  <c r="J87" i="3"/>
  <c r="L87" i="3"/>
  <c r="J106" i="3"/>
  <c r="L106" i="3"/>
  <c r="J129" i="3"/>
  <c r="L129" i="3"/>
  <c r="J108" i="3"/>
  <c r="L108" i="3"/>
  <c r="K176" i="3"/>
  <c r="L75" i="3"/>
  <c r="J110" i="3"/>
  <c r="L110" i="3"/>
  <c r="J56" i="3"/>
  <c r="L56" i="3"/>
  <c r="J61" i="3"/>
  <c r="L61" i="3"/>
  <c r="J136" i="3"/>
  <c r="L136" i="3"/>
  <c r="J139" i="3"/>
  <c r="L139" i="3"/>
  <c r="J98" i="3"/>
  <c r="L98" i="3"/>
  <c r="J100" i="3"/>
  <c r="L100" i="3"/>
  <c r="J150" i="3"/>
  <c r="L150" i="3"/>
  <c r="J130" i="3"/>
  <c r="L130" i="3"/>
  <c r="J58" i="3"/>
  <c r="L58" i="3"/>
  <c r="J76" i="3"/>
  <c r="L76" i="3"/>
  <c r="J111" i="3"/>
  <c r="L111" i="3"/>
  <c r="Y190" i="11"/>
  <c r="AE190" i="11" s="1"/>
  <c r="W195" i="11"/>
  <c r="W19" i="11"/>
  <c r="W38" i="11" s="1"/>
  <c r="W47" i="11" s="1"/>
  <c r="X18" i="11"/>
  <c r="X19" i="11" s="1"/>
  <c r="X38" i="11" s="1"/>
  <c r="F73" i="5"/>
  <c r="J73" i="5"/>
  <c r="F37" i="5"/>
  <c r="J37" i="5"/>
  <c r="F110" i="5"/>
  <c r="J110" i="5"/>
  <c r="H129" i="5"/>
  <c r="H131" i="5" s="1"/>
  <c r="H141" i="5" s="1"/>
  <c r="H153" i="5" s="1"/>
  <c r="H157" i="5" s="1"/>
  <c r="J33" i="5"/>
  <c r="L129" i="5" s="1"/>
  <c r="J99" i="5"/>
  <c r="F79" i="5"/>
  <c r="J79" i="5"/>
  <c r="D83" i="5"/>
  <c r="J83" i="5"/>
  <c r="F48" i="5"/>
  <c r="J48" i="5"/>
  <c r="F71" i="5"/>
  <c r="J71" i="5"/>
  <c r="F68" i="5"/>
  <c r="J68" i="5"/>
  <c r="F96" i="5"/>
  <c r="J96" i="5"/>
  <c r="F38" i="5"/>
  <c r="J38" i="5"/>
  <c r="F51" i="5"/>
  <c r="J51" i="5"/>
  <c r="F115" i="5"/>
  <c r="J115" i="5"/>
  <c r="F36" i="5"/>
  <c r="J36" i="5"/>
  <c r="F9" i="5"/>
  <c r="F34" i="5"/>
  <c r="J34" i="5"/>
  <c r="F35" i="5"/>
  <c r="J35" i="5"/>
  <c r="F50" i="5"/>
  <c r="J50" i="5"/>
  <c r="I18" i="3"/>
  <c r="J9" i="3"/>
  <c r="J40" i="3"/>
  <c r="J41" i="3"/>
  <c r="I188" i="3"/>
  <c r="J181" i="3"/>
  <c r="J20" i="3"/>
  <c r="J36" i="3" s="1"/>
  <c r="I36" i="3"/>
  <c r="I176" i="3"/>
  <c r="J75" i="3"/>
  <c r="K51" i="11"/>
  <c r="T51" i="11"/>
  <c r="Z51" i="11" s="1"/>
  <c r="K190" i="11"/>
  <c r="U190" i="11"/>
  <c r="R19" i="11"/>
  <c r="S18" i="11"/>
  <c r="S19" i="11" s="1"/>
  <c r="S38" i="11" s="1"/>
  <c r="K35" i="11"/>
  <c r="U35" i="11"/>
  <c r="S53" i="11"/>
  <c r="S72" i="11" s="1"/>
  <c r="K43" i="11"/>
  <c r="T43" i="11"/>
  <c r="Z43" i="11" s="1"/>
  <c r="K189" i="11"/>
  <c r="U189" i="11"/>
  <c r="F65" i="3"/>
  <c r="F139" i="3"/>
  <c r="F103" i="3"/>
  <c r="F146" i="3"/>
  <c r="F173" i="3"/>
  <c r="F58" i="3"/>
  <c r="F129" i="3"/>
  <c r="F61" i="3"/>
  <c r="F154" i="3"/>
  <c r="F118" i="3"/>
  <c r="F102" i="3"/>
  <c r="F142" i="3"/>
  <c r="F44" i="3"/>
  <c r="F88" i="3"/>
  <c r="F106" i="3"/>
  <c r="F149" i="3"/>
  <c r="F109" i="3"/>
  <c r="F9" i="3"/>
  <c r="F110" i="3"/>
  <c r="F153" i="3"/>
  <c r="F130" i="3"/>
  <c r="F77" i="3"/>
  <c r="F119" i="3"/>
  <c r="F120" i="3"/>
  <c r="F67" i="3"/>
  <c r="F168" i="3"/>
  <c r="F105" i="3"/>
  <c r="F90" i="3"/>
  <c r="F76" i="3"/>
  <c r="F94" i="3"/>
  <c r="F96" i="3"/>
  <c r="F184" i="3"/>
  <c r="H36" i="3"/>
  <c r="G36" i="3"/>
  <c r="F121" i="3"/>
  <c r="F68" i="3"/>
  <c r="F87" i="3"/>
  <c r="F108" i="3"/>
  <c r="F151" i="3"/>
  <c r="F97" i="3"/>
  <c r="F116" i="3"/>
  <c r="F56" i="3"/>
  <c r="F17" i="3"/>
  <c r="F137" i="3"/>
  <c r="F100" i="3"/>
  <c r="F89" i="3"/>
  <c r="F147" i="3"/>
  <c r="F107" i="3"/>
  <c r="F75" i="3"/>
  <c r="F150" i="3"/>
  <c r="F111" i="3"/>
  <c r="F181" i="3"/>
  <c r="F13" i="3"/>
  <c r="F114" i="3"/>
  <c r="F159" i="3"/>
  <c r="F15" i="3"/>
  <c r="F98" i="3"/>
  <c r="F117" i="3"/>
  <c r="F136" i="3"/>
  <c r="F161" i="3"/>
  <c r="K179" i="11"/>
  <c r="G27" i="12"/>
  <c r="H27" i="12" s="1"/>
  <c r="C71" i="3"/>
  <c r="P77" i="11"/>
  <c r="U77" i="11" s="1"/>
  <c r="Z77" i="11" s="1"/>
  <c r="F86" i="5"/>
  <c r="H155" i="11"/>
  <c r="F93" i="5"/>
  <c r="H136" i="11"/>
  <c r="F105" i="5"/>
  <c r="H169" i="11"/>
  <c r="F113" i="5"/>
  <c r="F58" i="5"/>
  <c r="F59" i="5"/>
  <c r="F80" i="5"/>
  <c r="H131" i="11"/>
  <c r="F81" i="5"/>
  <c r="H128" i="11"/>
  <c r="F47" i="5"/>
  <c r="F83" i="5"/>
  <c r="F57" i="5"/>
  <c r="H132" i="11"/>
  <c r="F78" i="5"/>
  <c r="H127" i="11"/>
  <c r="F46" i="5"/>
  <c r="F20" i="3"/>
  <c r="F36" i="3" s="1"/>
  <c r="F142" i="11"/>
  <c r="D78" i="5"/>
  <c r="F36" i="13"/>
  <c r="G36" i="13" s="1"/>
  <c r="D81" i="5"/>
  <c r="D80" i="5"/>
  <c r="D99" i="5"/>
  <c r="F99" i="5" s="1"/>
  <c r="F17" i="13"/>
  <c r="G17" i="13" s="1"/>
  <c r="H176" i="11"/>
  <c r="F15" i="13"/>
  <c r="G15" i="13" s="1"/>
  <c r="H137" i="11"/>
  <c r="D86" i="5"/>
  <c r="F25" i="13"/>
  <c r="G25" i="13" s="1"/>
  <c r="H147" i="11"/>
  <c r="F24" i="13"/>
  <c r="G24" i="13" s="1"/>
  <c r="F13" i="13"/>
  <c r="G13" i="13" s="1"/>
  <c r="H92" i="11"/>
  <c r="F11" i="13"/>
  <c r="G11" i="13" s="1"/>
  <c r="H87" i="11"/>
  <c r="D105" i="5"/>
  <c r="F21" i="13"/>
  <c r="G21" i="13" s="1"/>
  <c r="H133" i="11"/>
  <c r="F22" i="13"/>
  <c r="G22" i="13" s="1"/>
  <c r="H130" i="11"/>
  <c r="D37" i="5"/>
  <c r="H90" i="11"/>
  <c r="F12" i="13"/>
  <c r="G12" i="13" s="1"/>
  <c r="H78" i="11"/>
  <c r="F23" i="13"/>
  <c r="G23" i="13" s="1"/>
  <c r="H157" i="11"/>
  <c r="D36" i="5"/>
  <c r="H82" i="11"/>
  <c r="F9" i="13"/>
  <c r="G9" i="13" s="1"/>
  <c r="H18" i="11"/>
  <c r="F30" i="13"/>
  <c r="G30" i="13" s="1"/>
  <c r="D93" i="5"/>
  <c r="F31" i="13"/>
  <c r="G31" i="13" s="1"/>
  <c r="D79" i="5"/>
  <c r="F32" i="13"/>
  <c r="G32" i="13" s="1"/>
  <c r="G53" i="11"/>
  <c r="F63" i="3"/>
  <c r="G40" i="11"/>
  <c r="J40" i="11" s="1"/>
  <c r="P40" i="11" s="1"/>
  <c r="F40" i="3"/>
  <c r="G44" i="11"/>
  <c r="J44" i="11" s="1"/>
  <c r="P44" i="11" s="1"/>
  <c r="F43" i="3"/>
  <c r="G55" i="11"/>
  <c r="J55" i="11" s="1"/>
  <c r="F54" i="3"/>
  <c r="G130" i="11"/>
  <c r="F99" i="3"/>
  <c r="G64" i="11"/>
  <c r="J64" i="11" s="1"/>
  <c r="F55" i="3"/>
  <c r="G84" i="11"/>
  <c r="G69" i="12"/>
  <c r="H69" i="12" s="1"/>
  <c r="G16" i="12"/>
  <c r="H16" i="12" s="1"/>
  <c r="G90" i="12"/>
  <c r="H90" i="12" s="1"/>
  <c r="G77" i="12"/>
  <c r="H77" i="12" s="1"/>
  <c r="G136" i="11"/>
  <c r="G101" i="12"/>
  <c r="H101" i="12" s="1"/>
  <c r="G76" i="12"/>
  <c r="H76" i="12" s="1"/>
  <c r="G156" i="11"/>
  <c r="G64" i="12"/>
  <c r="H64" i="12" s="1"/>
  <c r="G128" i="11"/>
  <c r="D116" i="3"/>
  <c r="G162" i="11"/>
  <c r="G59" i="12"/>
  <c r="H59" i="12" s="1"/>
  <c r="G129" i="11"/>
  <c r="G88" i="12"/>
  <c r="H88" i="12" s="1"/>
  <c r="D136" i="3"/>
  <c r="G125" i="11"/>
  <c r="G102" i="12"/>
  <c r="H102" i="12" s="1"/>
  <c r="G169" i="11"/>
  <c r="G89" i="12"/>
  <c r="H89" i="12" s="1"/>
  <c r="G74" i="12"/>
  <c r="H74" i="12" s="1"/>
  <c r="G155" i="11"/>
  <c r="G71" i="12"/>
  <c r="H71" i="12" s="1"/>
  <c r="G157" i="11"/>
  <c r="G92" i="12"/>
  <c r="H92" i="12" s="1"/>
  <c r="G39" i="12"/>
  <c r="H39" i="12" s="1"/>
  <c r="G137" i="11"/>
  <c r="G93" i="12"/>
  <c r="H93" i="12" s="1"/>
  <c r="G84" i="12"/>
  <c r="H84" i="12" s="1"/>
  <c r="G86" i="12"/>
  <c r="H86" i="12" s="1"/>
  <c r="G20" i="12"/>
  <c r="H20" i="12" s="1"/>
  <c r="G191" i="11"/>
  <c r="J191" i="11" s="1"/>
  <c r="P191" i="11" s="1"/>
  <c r="G56" i="12"/>
  <c r="H56" i="12" s="1"/>
  <c r="G139" i="11"/>
  <c r="G57" i="12"/>
  <c r="H57" i="12" s="1"/>
  <c r="G93" i="11"/>
  <c r="G61" i="12"/>
  <c r="H61" i="12" s="1"/>
  <c r="G176" i="11"/>
  <c r="G85" i="12"/>
  <c r="H85" i="12" s="1"/>
  <c r="G72" i="12"/>
  <c r="H72" i="12" s="1"/>
  <c r="G151" i="11"/>
  <c r="D103" i="3"/>
  <c r="G144" i="11"/>
  <c r="G54" i="12"/>
  <c r="H54" i="12" s="1"/>
  <c r="G82" i="12"/>
  <c r="H82" i="12" s="1"/>
  <c r="G55" i="12"/>
  <c r="H55" i="12" s="1"/>
  <c r="G148" i="11"/>
  <c r="G65" i="12"/>
  <c r="H65" i="12" s="1"/>
  <c r="G167" i="11"/>
  <c r="D154" i="3"/>
  <c r="G140" i="11"/>
  <c r="G15" i="12"/>
  <c r="H15" i="12" s="1"/>
  <c r="G186" i="11"/>
  <c r="J186" i="11" s="1"/>
  <c r="P186" i="11" s="1"/>
  <c r="G100" i="12"/>
  <c r="H100" i="12" s="1"/>
  <c r="G66" i="12"/>
  <c r="H66" i="12" s="1"/>
  <c r="G133" i="11"/>
  <c r="G79" i="12"/>
  <c r="H79" i="12" s="1"/>
  <c r="G87" i="12"/>
  <c r="H87" i="12" s="1"/>
  <c r="D142" i="3"/>
  <c r="G126" i="11"/>
  <c r="G81" i="12"/>
  <c r="H81" i="12" s="1"/>
  <c r="D75" i="3"/>
  <c r="G158" i="11"/>
  <c r="K158" i="11" s="1"/>
  <c r="G83" i="12"/>
  <c r="H83" i="12" s="1"/>
  <c r="G42" i="12"/>
  <c r="H42" i="12" s="1"/>
  <c r="G124" i="11"/>
  <c r="G91" i="12"/>
  <c r="H91" i="12" s="1"/>
  <c r="D149" i="3"/>
  <c r="G149" i="11"/>
  <c r="G103" i="12"/>
  <c r="H103" i="12" s="1"/>
  <c r="G172" i="11"/>
  <c r="G13" i="12"/>
  <c r="H13" i="12" s="1"/>
  <c r="G9" i="11"/>
  <c r="J9" i="11" s="1"/>
  <c r="P9" i="11" s="1"/>
  <c r="G53" i="12"/>
  <c r="H53" i="12" s="1"/>
  <c r="G33" i="11"/>
  <c r="J33" i="11" s="1"/>
  <c r="P33" i="11" s="1"/>
  <c r="C36" i="3"/>
  <c r="G23" i="12"/>
  <c r="H23" i="12" s="1"/>
  <c r="G69" i="11"/>
  <c r="J69" i="11" s="1"/>
  <c r="D99" i="3"/>
  <c r="G17" i="12"/>
  <c r="H17" i="12" s="1"/>
  <c r="G45" i="11"/>
  <c r="J45" i="11" s="1"/>
  <c r="P45" i="11" s="1"/>
  <c r="G25" i="12"/>
  <c r="H25" i="12" s="1"/>
  <c r="G61" i="11"/>
  <c r="J61" i="11" s="1"/>
  <c r="G10" i="12"/>
  <c r="H10" i="12" s="1"/>
  <c r="G15" i="11"/>
  <c r="G11" i="12"/>
  <c r="H11" i="12" s="1"/>
  <c r="G13" i="11"/>
  <c r="J13" i="11" s="1"/>
  <c r="P13" i="11" s="1"/>
  <c r="G51" i="12"/>
  <c r="H51" i="12" s="1"/>
  <c r="G21" i="11"/>
  <c r="J21" i="11" s="1"/>
  <c r="P21" i="11" s="1"/>
  <c r="G45" i="12"/>
  <c r="H45" i="12" s="1"/>
  <c r="G81" i="11"/>
  <c r="G41" i="12"/>
  <c r="H41" i="12" s="1"/>
  <c r="G89" i="11"/>
  <c r="G22" i="12"/>
  <c r="H22" i="12" s="1"/>
  <c r="G14" i="12"/>
  <c r="H14" i="12" s="1"/>
  <c r="G17" i="11"/>
  <c r="J17" i="11" s="1"/>
  <c r="P17" i="11" s="1"/>
  <c r="G32" i="12"/>
  <c r="H32" i="12" s="1"/>
  <c r="G83" i="11"/>
  <c r="G31" i="12"/>
  <c r="H31" i="12" s="1"/>
  <c r="G87" i="11"/>
  <c r="G34" i="12"/>
  <c r="H34" i="12" s="1"/>
  <c r="G66" i="11"/>
  <c r="J66" i="11" s="1"/>
  <c r="D77" i="3"/>
  <c r="G78" i="11"/>
  <c r="G24" i="12"/>
  <c r="H24" i="12" s="1"/>
  <c r="G68" i="11"/>
  <c r="J68" i="11" s="1"/>
  <c r="G40" i="12"/>
  <c r="H40" i="12" s="1"/>
  <c r="G82" i="11"/>
  <c r="D56" i="3"/>
  <c r="G57" i="11"/>
  <c r="D54" i="3"/>
  <c r="G38" i="12"/>
  <c r="H38" i="12" s="1"/>
  <c r="G67" i="11"/>
  <c r="J67" i="11" s="1"/>
  <c r="G30" i="12"/>
  <c r="H30" i="12" s="1"/>
  <c r="D140" i="3"/>
  <c r="D40" i="3"/>
  <c r="C41" i="3"/>
  <c r="F33" i="13"/>
  <c r="G33" i="13" s="1"/>
  <c r="F34" i="13"/>
  <c r="G34" i="13" s="1"/>
  <c r="D9" i="5"/>
  <c r="F19" i="13"/>
  <c r="G19" i="13" s="1"/>
  <c r="D35" i="5"/>
  <c r="F16" i="13"/>
  <c r="G16" i="13" s="1"/>
  <c r="F35" i="13"/>
  <c r="G35" i="13" s="1"/>
  <c r="F26" i="13"/>
  <c r="G26" i="13" s="1"/>
  <c r="F14" i="13"/>
  <c r="G14" i="13" s="1"/>
  <c r="F27" i="13"/>
  <c r="G27" i="13" s="1"/>
  <c r="F18" i="13"/>
  <c r="G18" i="13" s="1"/>
  <c r="F37" i="13"/>
  <c r="G37" i="13" s="1"/>
  <c r="F28" i="13"/>
  <c r="G28" i="13" s="1"/>
  <c r="F38" i="13"/>
  <c r="G38" i="13" s="1"/>
  <c r="F29" i="13"/>
  <c r="G29" i="13" s="1"/>
  <c r="F20" i="13"/>
  <c r="G20" i="13" s="1"/>
  <c r="F39" i="13"/>
  <c r="G39" i="13" s="1"/>
  <c r="C10" i="5"/>
  <c r="D132" i="11"/>
  <c r="D69" i="3"/>
  <c r="D51" i="3"/>
  <c r="G68" i="12"/>
  <c r="H68" i="12" s="1"/>
  <c r="G67" i="12"/>
  <c r="H67" i="12" s="1"/>
  <c r="G98" i="12"/>
  <c r="H98" i="12" s="1"/>
  <c r="G18" i="12"/>
  <c r="H18" i="12" s="1"/>
  <c r="G58" i="12"/>
  <c r="H58" i="12" s="1"/>
  <c r="G78" i="12"/>
  <c r="H78" i="12" s="1"/>
  <c r="C18" i="3"/>
  <c r="D126" i="3"/>
  <c r="D9" i="3"/>
  <c r="G43" i="12"/>
  <c r="H43" i="12" s="1"/>
  <c r="G73" i="12"/>
  <c r="H73" i="12" s="1"/>
  <c r="G44" i="12"/>
  <c r="H44" i="12" s="1"/>
  <c r="G94" i="12"/>
  <c r="H94" i="12" s="1"/>
  <c r="D78" i="3"/>
  <c r="G99" i="12"/>
  <c r="H99" i="12" s="1"/>
  <c r="G60" i="12"/>
  <c r="H60" i="12" s="1"/>
  <c r="G35" i="12"/>
  <c r="H35" i="12" s="1"/>
  <c r="G75" i="12"/>
  <c r="H75" i="12" s="1"/>
  <c r="G95" i="12"/>
  <c r="H95" i="12" s="1"/>
  <c r="G70" i="12"/>
  <c r="H70" i="12" s="1"/>
  <c r="D123" i="3"/>
  <c r="G26" i="12"/>
  <c r="H26" i="12" s="1"/>
  <c r="D60" i="3"/>
  <c r="D61" i="3"/>
  <c r="D146" i="3"/>
  <c r="D57" i="3"/>
  <c r="D95" i="3"/>
  <c r="D112" i="3"/>
  <c r="D113" i="3"/>
  <c r="D115" i="3"/>
  <c r="C127" i="11"/>
  <c r="C131" i="11"/>
  <c r="F131" i="11" s="1"/>
  <c r="C132" i="11"/>
  <c r="C147" i="11"/>
  <c r="F161" i="11"/>
  <c r="F143" i="11"/>
  <c r="F152" i="11"/>
  <c r="F140" i="11"/>
  <c r="F144" i="11"/>
  <c r="F171" i="11"/>
  <c r="F138" i="11"/>
  <c r="F149" i="11"/>
  <c r="F134" i="11"/>
  <c r="F178" i="11"/>
  <c r="F177" i="11"/>
  <c r="F166" i="11"/>
  <c r="F135" i="11"/>
  <c r="F164" i="11"/>
  <c r="F162" i="11"/>
  <c r="C70" i="11"/>
  <c r="F70" i="11" s="1"/>
  <c r="AX70" i="11" s="1"/>
  <c r="BD70" i="11" s="1"/>
  <c r="C84" i="11"/>
  <c r="F84" i="11" s="1"/>
  <c r="AX84" i="11" s="1"/>
  <c r="BD84" i="11" s="1"/>
  <c r="C92" i="11"/>
  <c r="F92" i="11" s="1"/>
  <c r="C67" i="11"/>
  <c r="F67" i="11" s="1"/>
  <c r="C65" i="11"/>
  <c r="F65" i="11" s="1"/>
  <c r="AX65" i="11" s="1"/>
  <c r="BD65" i="11" s="1"/>
  <c r="C62" i="11"/>
  <c r="F62" i="11" s="1"/>
  <c r="AX62" i="11" s="1"/>
  <c r="BD62" i="11" s="1"/>
  <c r="D46" i="11"/>
  <c r="F71" i="11"/>
  <c r="C90" i="11"/>
  <c r="F90" i="11" s="1"/>
  <c r="C78" i="11"/>
  <c r="C52" i="11"/>
  <c r="F36" i="11"/>
  <c r="AX36" i="11" s="1"/>
  <c r="BD36" i="11" s="1"/>
  <c r="F30" i="11"/>
  <c r="K30" i="11" s="1"/>
  <c r="F29" i="11"/>
  <c r="K29" i="11" s="1"/>
  <c r="F28" i="11"/>
  <c r="F27" i="11"/>
  <c r="F25" i="11"/>
  <c r="F24" i="11"/>
  <c r="AX32" i="11" s="1"/>
  <c r="BD32" i="11" s="1"/>
  <c r="F23" i="11"/>
  <c r="AX23" i="11" s="1"/>
  <c r="BD23" i="11" s="1"/>
  <c r="D221" i="11"/>
  <c r="C221" i="11"/>
  <c r="B34" i="5"/>
  <c r="D34" i="5" s="1"/>
  <c r="C34" i="6"/>
  <c r="C33" i="6"/>
  <c r="B151" i="5"/>
  <c r="B139" i="5"/>
  <c r="B115" i="5"/>
  <c r="D115" i="5" s="1"/>
  <c r="B113" i="5"/>
  <c r="D113" i="5" s="1"/>
  <c r="B110" i="5"/>
  <c r="D110" i="5" s="1"/>
  <c r="B96" i="5"/>
  <c r="D96" i="5" s="1"/>
  <c r="B73" i="5"/>
  <c r="D73" i="5" s="1"/>
  <c r="B71" i="5"/>
  <c r="D71" i="5" s="1"/>
  <c r="B68" i="5"/>
  <c r="D68" i="5" s="1"/>
  <c r="B59" i="5"/>
  <c r="D59" i="5" s="1"/>
  <c r="B58" i="5"/>
  <c r="D58" i="5" s="1"/>
  <c r="B57" i="5"/>
  <c r="D57" i="5" s="1"/>
  <c r="B51" i="5"/>
  <c r="D51" i="5" s="1"/>
  <c r="B50" i="5"/>
  <c r="D50" i="5" s="1"/>
  <c r="B48" i="5"/>
  <c r="D48" i="5" s="1"/>
  <c r="B47" i="5"/>
  <c r="D47" i="5" s="1"/>
  <c r="B46" i="5"/>
  <c r="D46" i="5" s="1"/>
  <c r="B38" i="5"/>
  <c r="D38" i="5" s="1"/>
  <c r="D118" i="3"/>
  <c r="B100" i="3"/>
  <c r="D100" i="3" s="1"/>
  <c r="G54" i="4"/>
  <c r="H54" i="4" s="1"/>
  <c r="B98" i="3"/>
  <c r="D98" i="3" s="1"/>
  <c r="B97" i="3"/>
  <c r="D97" i="3" s="1"/>
  <c r="B96" i="3"/>
  <c r="D96" i="3" s="1"/>
  <c r="G48" i="4"/>
  <c r="H48" i="4" s="1"/>
  <c r="B94" i="3"/>
  <c r="D94" i="3" s="1"/>
  <c r="B76" i="3"/>
  <c r="D76" i="3" s="1"/>
  <c r="B90" i="3"/>
  <c r="C89" i="11" s="1"/>
  <c r="F89" i="11" s="1"/>
  <c r="B88" i="3"/>
  <c r="D88" i="3" s="1"/>
  <c r="B87" i="3"/>
  <c r="D87" i="3" s="1"/>
  <c r="G37" i="4"/>
  <c r="H37" i="4" s="1"/>
  <c r="G36" i="4"/>
  <c r="H36" i="4" s="1"/>
  <c r="B68" i="3"/>
  <c r="C61" i="11" s="1"/>
  <c r="F61" i="11" s="1"/>
  <c r="B67" i="3"/>
  <c r="C69" i="11" s="1"/>
  <c r="F69" i="11" s="1"/>
  <c r="B65" i="3"/>
  <c r="C68" i="11" s="1"/>
  <c r="F68" i="11" s="1"/>
  <c r="B20" i="3"/>
  <c r="D20" i="3" s="1"/>
  <c r="B63" i="3"/>
  <c r="D63" i="3" s="1"/>
  <c r="G29" i="4"/>
  <c r="H29" i="4" s="1"/>
  <c r="G31" i="4"/>
  <c r="H31" i="4" s="1"/>
  <c r="C59" i="11"/>
  <c r="F59" i="11" s="1"/>
  <c r="AX59" i="11" s="1"/>
  <c r="BD59" i="11" s="1"/>
  <c r="B58" i="3"/>
  <c r="D58" i="3" s="1"/>
  <c r="G27" i="4"/>
  <c r="H27" i="4" s="1"/>
  <c r="B55" i="3"/>
  <c r="C64" i="11" s="1"/>
  <c r="F64" i="11" s="1"/>
  <c r="B53" i="3"/>
  <c r="D53" i="3" s="1"/>
  <c r="G24" i="4"/>
  <c r="H24" i="4" s="1"/>
  <c r="B44" i="3"/>
  <c r="G14" i="4" s="1"/>
  <c r="H14" i="4" s="1"/>
  <c r="B43" i="3"/>
  <c r="C44" i="11" s="1"/>
  <c r="F44" i="11" s="1"/>
  <c r="B22" i="3"/>
  <c r="B21" i="3"/>
  <c r="G40" i="4" s="1"/>
  <c r="H40" i="4" s="1"/>
  <c r="B17" i="3"/>
  <c r="G12" i="4" s="1"/>
  <c r="H12" i="4" s="1"/>
  <c r="B15" i="3"/>
  <c r="C13" i="11" s="1"/>
  <c r="F13" i="11" s="1"/>
  <c r="B13" i="3"/>
  <c r="D13" i="3" s="1"/>
  <c r="G81" i="4"/>
  <c r="H81" i="4" s="1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G17" i="4"/>
  <c r="H17" i="4" s="1"/>
  <c r="F17" i="4"/>
  <c r="F16" i="4"/>
  <c r="F15" i="4"/>
  <c r="F14" i="4"/>
  <c r="F13" i="4"/>
  <c r="F12" i="4"/>
  <c r="F11" i="4"/>
  <c r="F10" i="4"/>
  <c r="F9" i="4"/>
  <c r="C82" i="4"/>
  <c r="E81" i="4"/>
  <c r="C81" i="4"/>
  <c r="E17" i="4"/>
  <c r="C17" i="4"/>
  <c r="B184" i="3"/>
  <c r="D184" i="3" s="1"/>
  <c r="B181" i="3"/>
  <c r="D181" i="3" s="1"/>
  <c r="B173" i="3"/>
  <c r="D173" i="3" s="1"/>
  <c r="B168" i="3"/>
  <c r="D168" i="3" s="1"/>
  <c r="B89" i="3"/>
  <c r="D89" i="3" s="1"/>
  <c r="B161" i="3"/>
  <c r="D161" i="3" s="1"/>
  <c r="B159" i="3"/>
  <c r="D159" i="3" s="1"/>
  <c r="D156" i="3"/>
  <c r="B153" i="3"/>
  <c r="D153" i="3" s="1"/>
  <c r="B151" i="3"/>
  <c r="D151" i="3" s="1"/>
  <c r="B150" i="3"/>
  <c r="D150" i="3" s="1"/>
  <c r="B147" i="3"/>
  <c r="D147" i="3" s="1"/>
  <c r="G42" i="4"/>
  <c r="H42" i="4" s="1"/>
  <c r="G58" i="4"/>
  <c r="H58" i="4" s="1"/>
  <c r="B139" i="3"/>
  <c r="D139" i="3" s="1"/>
  <c r="B137" i="3"/>
  <c r="D137" i="3" s="1"/>
  <c r="B135" i="3"/>
  <c r="D135" i="3" s="1"/>
  <c r="B130" i="3"/>
  <c r="D130" i="3" s="1"/>
  <c r="B129" i="3"/>
  <c r="D129" i="3" s="1"/>
  <c r="G76" i="4"/>
  <c r="H76" i="4" s="1"/>
  <c r="B121" i="3"/>
  <c r="D121" i="3" s="1"/>
  <c r="B120" i="3"/>
  <c r="D120" i="3" s="1"/>
  <c r="B119" i="3"/>
  <c r="D119" i="3" s="1"/>
  <c r="B117" i="3"/>
  <c r="D117" i="3" s="1"/>
  <c r="B114" i="3"/>
  <c r="D114" i="3" s="1"/>
  <c r="B111" i="3"/>
  <c r="D111" i="3" s="1"/>
  <c r="B110" i="3"/>
  <c r="D110" i="3" s="1"/>
  <c r="B109" i="3"/>
  <c r="D109" i="3" s="1"/>
  <c r="B108" i="3"/>
  <c r="D108" i="3" s="1"/>
  <c r="B107" i="3"/>
  <c r="D107" i="3" s="1"/>
  <c r="B106" i="3"/>
  <c r="D106" i="3" s="1"/>
  <c r="B105" i="3"/>
  <c r="D105" i="3" s="1"/>
  <c r="B102" i="3"/>
  <c r="D102" i="3" s="1"/>
  <c r="B14" i="3"/>
  <c r="G10" i="4" s="1"/>
  <c r="H10" i="4" s="1"/>
  <c r="BC18" i="11" l="1"/>
  <c r="BC19" i="11"/>
  <c r="BB225" i="11"/>
  <c r="BA73" i="11"/>
  <c r="BA74" i="11" s="1"/>
  <c r="BA197" i="11"/>
  <c r="BA224" i="11" s="1"/>
  <c r="U37" i="3"/>
  <c r="U46" i="3" s="1"/>
  <c r="U72" i="3" s="1"/>
  <c r="U73" i="3" s="1"/>
  <c r="V188" i="3"/>
  <c r="V176" i="3"/>
  <c r="V71" i="3"/>
  <c r="V45" i="3"/>
  <c r="V37" i="3"/>
  <c r="P18" i="3"/>
  <c r="T176" i="3"/>
  <c r="T178" i="3" s="1"/>
  <c r="BD190" i="11"/>
  <c r="AX189" i="11"/>
  <c r="BD189" i="11" s="1"/>
  <c r="T45" i="3"/>
  <c r="T18" i="3"/>
  <c r="T37" i="3" s="1"/>
  <c r="S37" i="3"/>
  <c r="S46" i="3" s="1"/>
  <c r="S72" i="3" s="1"/>
  <c r="S73" i="3" s="1"/>
  <c r="AX159" i="11"/>
  <c r="BD159" i="11" s="1"/>
  <c r="AS69" i="11"/>
  <c r="AX69" i="11"/>
  <c r="BD69" i="11" s="1"/>
  <c r="AS61" i="11"/>
  <c r="AX61" i="11"/>
  <c r="BD61" i="11" s="1"/>
  <c r="AS44" i="11"/>
  <c r="AX44" i="11"/>
  <c r="BD44" i="11" s="1"/>
  <c r="AX140" i="11"/>
  <c r="BD140" i="11" s="1"/>
  <c r="AX158" i="11"/>
  <c r="BD158" i="11" s="1"/>
  <c r="AS68" i="11"/>
  <c r="AX68" i="11"/>
  <c r="BD68" i="11" s="1"/>
  <c r="AV72" i="11"/>
  <c r="AS64" i="11"/>
  <c r="AX64" i="11"/>
  <c r="BD64" i="11" s="1"/>
  <c r="AS67" i="11"/>
  <c r="AX67" i="11"/>
  <c r="BD67" i="11" s="1"/>
  <c r="AX18" i="11"/>
  <c r="BD18" i="11" s="1"/>
  <c r="AW199" i="11"/>
  <c r="AW225" i="11"/>
  <c r="AS13" i="11"/>
  <c r="AX13" i="11"/>
  <c r="BD13" i="11" s="1"/>
  <c r="AX51" i="11"/>
  <c r="BD51" i="11" s="1"/>
  <c r="AT35" i="11"/>
  <c r="N188" i="3"/>
  <c r="AS189" i="11"/>
  <c r="AS190" i="11"/>
  <c r="AT190" i="11" s="1"/>
  <c r="AS51" i="11"/>
  <c r="AT51" i="11" s="1"/>
  <c r="AS179" i="11"/>
  <c r="AY179" i="11" s="1"/>
  <c r="K36" i="11"/>
  <c r="AS36" i="11"/>
  <c r="AT36" i="11" s="1"/>
  <c r="AM197" i="11"/>
  <c r="AM203" i="11" s="1"/>
  <c r="AN70" i="11"/>
  <c r="AO70" i="11" s="1"/>
  <c r="AS70" i="11"/>
  <c r="AY70" i="11" s="1"/>
  <c r="AN27" i="11"/>
  <c r="AO27" i="11" s="1"/>
  <c r="AS27" i="11"/>
  <c r="AY27" i="11" s="1"/>
  <c r="AN62" i="11"/>
  <c r="AO62" i="11" s="1"/>
  <c r="AS62" i="11"/>
  <c r="AY62" i="11" s="1"/>
  <c r="AN23" i="11"/>
  <c r="AO23" i="11" s="1"/>
  <c r="AS23" i="11"/>
  <c r="AY23" i="11" s="1"/>
  <c r="AN28" i="11"/>
  <c r="AO28" i="11" s="1"/>
  <c r="AS28" i="11"/>
  <c r="AY28" i="11" s="1"/>
  <c r="AQ72" i="11"/>
  <c r="AN65" i="11"/>
  <c r="AO65" i="11" s="1"/>
  <c r="AS65" i="11"/>
  <c r="AY65" i="11" s="1"/>
  <c r="AN32" i="11"/>
  <c r="AO32" i="11" s="1"/>
  <c r="AS32" i="11"/>
  <c r="AY32" i="11" s="1"/>
  <c r="AR197" i="11"/>
  <c r="AN25" i="11"/>
  <c r="AO25" i="11" s="1"/>
  <c r="AS25" i="11"/>
  <c r="AY25" i="11" s="1"/>
  <c r="AS158" i="11"/>
  <c r="AT158" i="11" s="1"/>
  <c r="AN59" i="11"/>
  <c r="AO59" i="11" s="1"/>
  <c r="AS59" i="11"/>
  <c r="AY59" i="11" s="1"/>
  <c r="AS159" i="11"/>
  <c r="AT159" i="11" s="1"/>
  <c r="AS18" i="11"/>
  <c r="AS135" i="11"/>
  <c r="AN84" i="11"/>
  <c r="AO84" i="11" s="1"/>
  <c r="AS84" i="11"/>
  <c r="AY84" i="11" s="1"/>
  <c r="AT43" i="11"/>
  <c r="K16" i="5"/>
  <c r="O178" i="3"/>
  <c r="AN179" i="11"/>
  <c r="AO179" i="11" s="1"/>
  <c r="AN140" i="11"/>
  <c r="AO140" i="11" s="1"/>
  <c r="AL72" i="11"/>
  <c r="AN149" i="11"/>
  <c r="AO149" i="11" s="1"/>
  <c r="AN134" i="11"/>
  <c r="AO134" i="11" s="1"/>
  <c r="AN89" i="11"/>
  <c r="AO89" i="11" s="1"/>
  <c r="AN138" i="11"/>
  <c r="AO138" i="11" s="1"/>
  <c r="T67" i="11"/>
  <c r="U67" i="11" s="1"/>
  <c r="AN67" i="11"/>
  <c r="AO67" i="11" s="1"/>
  <c r="AN142" i="11"/>
  <c r="AO142" i="11" s="1"/>
  <c r="AN143" i="11"/>
  <c r="AO143" i="11" s="1"/>
  <c r="AN92" i="11"/>
  <c r="AO92" i="11" s="1"/>
  <c r="AN162" i="11"/>
  <c r="AO162" i="11" s="1"/>
  <c r="T68" i="11"/>
  <c r="Z68" i="11" s="1"/>
  <c r="AN68" i="11"/>
  <c r="AO68" i="11" s="1"/>
  <c r="AN18" i="11"/>
  <c r="AO18" i="11" s="1"/>
  <c r="AN90" i="11"/>
  <c r="AO90" i="11" s="1"/>
  <c r="T69" i="11"/>
  <c r="U69" i="11" s="1"/>
  <c r="AN69" i="11"/>
  <c r="AO69" i="11" s="1"/>
  <c r="AN135" i="11"/>
  <c r="AO135" i="11" s="1"/>
  <c r="AN189" i="11"/>
  <c r="AO189" i="11" s="1"/>
  <c r="T44" i="11"/>
  <c r="U44" i="11" s="1"/>
  <c r="AN44" i="11"/>
  <c r="T64" i="11"/>
  <c r="Z64" i="11" s="1"/>
  <c r="AN64" i="11"/>
  <c r="AO64" i="11" s="1"/>
  <c r="T61" i="11"/>
  <c r="Z61" i="11" s="1"/>
  <c r="AN61" i="11"/>
  <c r="AO61" i="11" s="1"/>
  <c r="AN166" i="11"/>
  <c r="AO166" i="11" s="1"/>
  <c r="T13" i="11"/>
  <c r="U13" i="11" s="1"/>
  <c r="AN13" i="11"/>
  <c r="AO13" i="11" s="1"/>
  <c r="AN178" i="11"/>
  <c r="AO178" i="11" s="1"/>
  <c r="L131" i="5"/>
  <c r="P71" i="3"/>
  <c r="P188" i="3"/>
  <c r="P176" i="3"/>
  <c r="P45" i="3"/>
  <c r="N71" i="3"/>
  <c r="N176" i="3"/>
  <c r="N45" i="3"/>
  <c r="P37" i="3"/>
  <c r="O37" i="3"/>
  <c r="N131" i="5"/>
  <c r="N141" i="5" s="1"/>
  <c r="AH38" i="11"/>
  <c r="AG73" i="11"/>
  <c r="AG197" i="11"/>
  <c r="N37" i="3"/>
  <c r="M37" i="3"/>
  <c r="M46" i="3" s="1"/>
  <c r="M72" i="3" s="1"/>
  <c r="M73" i="3" s="1"/>
  <c r="M30" i="5"/>
  <c r="M31" i="5" s="1"/>
  <c r="M141" i="5"/>
  <c r="N30" i="5"/>
  <c r="N31" i="5" s="1"/>
  <c r="J188" i="3"/>
  <c r="I53" i="11"/>
  <c r="I72" i="11" s="1"/>
  <c r="G72" i="11"/>
  <c r="AC19" i="11"/>
  <c r="AC38" i="11" s="1"/>
  <c r="AD18" i="11"/>
  <c r="AD19" i="11" s="1"/>
  <c r="K178" i="3"/>
  <c r="AB72" i="11"/>
  <c r="Z180" i="11"/>
  <c r="AE77" i="11"/>
  <c r="AJ77" i="11" s="1"/>
  <c r="K152" i="11"/>
  <c r="K138" i="11"/>
  <c r="K171" i="11"/>
  <c r="K164" i="11"/>
  <c r="K135" i="11"/>
  <c r="K166" i="11"/>
  <c r="K142" i="11"/>
  <c r="K177" i="11"/>
  <c r="K143" i="11"/>
  <c r="K161" i="11"/>
  <c r="K134" i="11"/>
  <c r="Z190" i="11"/>
  <c r="K178" i="11"/>
  <c r="L30" i="5"/>
  <c r="L31" i="5" s="1"/>
  <c r="J71" i="3"/>
  <c r="L188" i="3"/>
  <c r="L176" i="3"/>
  <c r="K149" i="11"/>
  <c r="J176" i="3"/>
  <c r="L71" i="3"/>
  <c r="L45" i="3"/>
  <c r="L18" i="3"/>
  <c r="L37" i="3" s="1"/>
  <c r="K37" i="3"/>
  <c r="K46" i="3" s="1"/>
  <c r="J18" i="3"/>
  <c r="J37" i="3" s="1"/>
  <c r="K140" i="11"/>
  <c r="K92" i="11"/>
  <c r="J127" i="11"/>
  <c r="P127" i="11" s="1"/>
  <c r="J117" i="11"/>
  <c r="P117" i="11" s="1"/>
  <c r="K117" i="11"/>
  <c r="J126" i="11"/>
  <c r="P126" i="11" s="1"/>
  <c r="K126" i="11"/>
  <c r="K162" i="11"/>
  <c r="J131" i="11"/>
  <c r="P131" i="11" s="1"/>
  <c r="K131" i="11"/>
  <c r="J81" i="11"/>
  <c r="P81" i="11" s="1"/>
  <c r="J125" i="11"/>
  <c r="K125" i="11"/>
  <c r="J83" i="11"/>
  <c r="P83" i="11" s="1"/>
  <c r="J93" i="11"/>
  <c r="P93" i="11" s="1"/>
  <c r="J84" i="11"/>
  <c r="P84" i="11" s="1"/>
  <c r="K84" i="11"/>
  <c r="K144" i="11"/>
  <c r="J89" i="11"/>
  <c r="P89" i="11" s="1"/>
  <c r="K89" i="11"/>
  <c r="J90" i="11"/>
  <c r="P90" i="11" s="1"/>
  <c r="K90" i="11"/>
  <c r="J132" i="11"/>
  <c r="P132" i="11" s="1"/>
  <c r="J147" i="11"/>
  <c r="P147" i="11" s="1"/>
  <c r="I178" i="3"/>
  <c r="Y18" i="11"/>
  <c r="Y19" i="11" s="1"/>
  <c r="Y189" i="11"/>
  <c r="AE189" i="11" s="1"/>
  <c r="V195" i="11"/>
  <c r="W73" i="11"/>
  <c r="W74" i="11" s="1"/>
  <c r="W197" i="11"/>
  <c r="W203" i="11" s="1"/>
  <c r="H160" i="5"/>
  <c r="J129" i="5"/>
  <c r="J45" i="3"/>
  <c r="H155" i="5"/>
  <c r="H161" i="5" s="1"/>
  <c r="I10" i="5"/>
  <c r="J9" i="5"/>
  <c r="J10" i="5" s="1"/>
  <c r="J16" i="5" s="1"/>
  <c r="J20" i="5" s="1"/>
  <c r="I37" i="3"/>
  <c r="I46" i="3" s="1"/>
  <c r="F52" i="11"/>
  <c r="P67" i="11"/>
  <c r="P68" i="11"/>
  <c r="P61" i="11"/>
  <c r="P66" i="11"/>
  <c r="P69" i="11"/>
  <c r="P64" i="11"/>
  <c r="P55" i="11"/>
  <c r="U51" i="11"/>
  <c r="T18" i="11"/>
  <c r="U18" i="11" s="1"/>
  <c r="U43" i="11"/>
  <c r="F188" i="3"/>
  <c r="T53" i="11"/>
  <c r="K70" i="11"/>
  <c r="T70" i="11"/>
  <c r="K25" i="11"/>
  <c r="T25" i="11"/>
  <c r="K27" i="11"/>
  <c r="T27" i="11"/>
  <c r="K71" i="11"/>
  <c r="K23" i="11"/>
  <c r="T23" i="11"/>
  <c r="K28" i="11"/>
  <c r="T28" i="11"/>
  <c r="K62" i="11"/>
  <c r="T62" i="11"/>
  <c r="K24" i="11"/>
  <c r="U24" i="11"/>
  <c r="T52" i="11"/>
  <c r="K59" i="11"/>
  <c r="T59" i="11"/>
  <c r="K65" i="11"/>
  <c r="T65" i="11"/>
  <c r="F18" i="3"/>
  <c r="F37" i="3" s="1"/>
  <c r="H71" i="3"/>
  <c r="H45" i="3"/>
  <c r="H18" i="3"/>
  <c r="H37" i="3" s="1"/>
  <c r="G18" i="3"/>
  <c r="H181" i="3"/>
  <c r="H188" i="3" s="1"/>
  <c r="G188" i="3"/>
  <c r="G178" i="3"/>
  <c r="H176" i="3"/>
  <c r="F71" i="3"/>
  <c r="B71" i="3"/>
  <c r="J92" i="11"/>
  <c r="P92" i="11" s="1"/>
  <c r="H180" i="11"/>
  <c r="C21" i="11"/>
  <c r="F21" i="11" s="1"/>
  <c r="D22" i="3"/>
  <c r="F176" i="3"/>
  <c r="F129" i="5"/>
  <c r="D10" i="5"/>
  <c r="D16" i="5" s="1"/>
  <c r="D20" i="5" s="1"/>
  <c r="F10" i="5"/>
  <c r="F16" i="5" s="1"/>
  <c r="F20" i="5" s="1"/>
  <c r="J82" i="11"/>
  <c r="P82" i="11" s="1"/>
  <c r="J78" i="11"/>
  <c r="H19" i="11"/>
  <c r="H38" i="11" s="1"/>
  <c r="H47" i="11" s="1"/>
  <c r="I18" i="11"/>
  <c r="I19" i="11" s="1"/>
  <c r="I38" i="11" s="1"/>
  <c r="I47" i="11" s="1"/>
  <c r="J87" i="11"/>
  <c r="P87" i="11" s="1"/>
  <c r="C16" i="5"/>
  <c r="K40" i="11"/>
  <c r="K64" i="11"/>
  <c r="J37" i="11"/>
  <c r="K44" i="11"/>
  <c r="J130" i="11"/>
  <c r="P130" i="11" s="1"/>
  <c r="C45" i="3"/>
  <c r="F41" i="3"/>
  <c r="F45" i="3" s="1"/>
  <c r="K55" i="11"/>
  <c r="K57" i="11"/>
  <c r="J57" i="11"/>
  <c r="J176" i="11"/>
  <c r="P176" i="11" s="1"/>
  <c r="J137" i="11"/>
  <c r="P137" i="11" s="1"/>
  <c r="J120" i="11"/>
  <c r="P120" i="11" s="1"/>
  <c r="J148" i="11"/>
  <c r="P148" i="11" s="1"/>
  <c r="J169" i="11"/>
  <c r="P169" i="11" s="1"/>
  <c r="J129" i="11"/>
  <c r="P129" i="11" s="1"/>
  <c r="J140" i="11"/>
  <c r="P140" i="11" s="1"/>
  <c r="J136" i="11"/>
  <c r="P136" i="11" s="1"/>
  <c r="J167" i="11"/>
  <c r="P167" i="11" s="1"/>
  <c r="J119" i="11"/>
  <c r="P119" i="11" s="1"/>
  <c r="J124" i="11"/>
  <c r="P124" i="11" s="1"/>
  <c r="J139" i="11"/>
  <c r="P139" i="11" s="1"/>
  <c r="J128" i="11"/>
  <c r="P128" i="11" s="1"/>
  <c r="J158" i="11"/>
  <c r="P158" i="11" s="1"/>
  <c r="J151" i="11"/>
  <c r="P151" i="11" s="1"/>
  <c r="J149" i="11"/>
  <c r="P149" i="11" s="1"/>
  <c r="J157" i="11"/>
  <c r="P157" i="11" s="1"/>
  <c r="J155" i="11"/>
  <c r="P155" i="11" s="1"/>
  <c r="J144" i="11"/>
  <c r="P144" i="11" s="1"/>
  <c r="J121" i="11"/>
  <c r="P121" i="11" s="1"/>
  <c r="J156" i="11"/>
  <c r="P156" i="11" s="1"/>
  <c r="J172" i="11"/>
  <c r="P172" i="11" s="1"/>
  <c r="J162" i="11"/>
  <c r="P162" i="11" s="1"/>
  <c r="J133" i="11"/>
  <c r="P133" i="11" s="1"/>
  <c r="K15" i="11"/>
  <c r="J15" i="11"/>
  <c r="P15" i="11" s="1"/>
  <c r="J195" i="11"/>
  <c r="G180" i="11"/>
  <c r="G195" i="11"/>
  <c r="K61" i="11"/>
  <c r="K69" i="11"/>
  <c r="G37" i="11"/>
  <c r="K68" i="11"/>
  <c r="K13" i="11"/>
  <c r="D41" i="3"/>
  <c r="G41" i="11"/>
  <c r="G41" i="4"/>
  <c r="H41" i="4" s="1"/>
  <c r="B36" i="3"/>
  <c r="G19" i="11"/>
  <c r="F132" i="11"/>
  <c r="D133" i="11"/>
  <c r="D87" i="11"/>
  <c r="D78" i="11"/>
  <c r="D127" i="11"/>
  <c r="F127" i="11" s="1"/>
  <c r="D128" i="11"/>
  <c r="D130" i="11"/>
  <c r="F130" i="11" s="1"/>
  <c r="D157" i="11"/>
  <c r="D147" i="11"/>
  <c r="F147" i="11" s="1"/>
  <c r="D176" i="11"/>
  <c r="D169" i="11"/>
  <c r="D137" i="11"/>
  <c r="D67" i="3"/>
  <c r="D17" i="3"/>
  <c r="D15" i="3"/>
  <c r="C9" i="11"/>
  <c r="F9" i="11" s="1"/>
  <c r="B18" i="3"/>
  <c r="D68" i="3"/>
  <c r="D90" i="3"/>
  <c r="D55" i="3"/>
  <c r="D43" i="3"/>
  <c r="D65" i="3"/>
  <c r="D14" i="3"/>
  <c r="D21" i="3"/>
  <c r="D44" i="3"/>
  <c r="C37" i="3"/>
  <c r="G66" i="4"/>
  <c r="H66" i="4" s="1"/>
  <c r="C81" i="11"/>
  <c r="F81" i="11" s="1"/>
  <c r="G61" i="4"/>
  <c r="H61" i="4" s="1"/>
  <c r="G13" i="4"/>
  <c r="H13" i="4" s="1"/>
  <c r="G19" i="4"/>
  <c r="H19" i="4" s="1"/>
  <c r="G50" i="4"/>
  <c r="H50" i="4" s="1"/>
  <c r="C128" i="11"/>
  <c r="G44" i="4"/>
  <c r="H44" i="4" s="1"/>
  <c r="C139" i="11"/>
  <c r="F139" i="11" s="1"/>
  <c r="G28" i="4"/>
  <c r="H28" i="4" s="1"/>
  <c r="G47" i="4"/>
  <c r="H47" i="4" s="1"/>
  <c r="C176" i="11"/>
  <c r="G69" i="4"/>
  <c r="H69" i="4" s="1"/>
  <c r="C167" i="11"/>
  <c r="F167" i="11" s="1"/>
  <c r="G33" i="4"/>
  <c r="H33" i="4" s="1"/>
  <c r="G78" i="4"/>
  <c r="H78" i="4" s="1"/>
  <c r="G57" i="4"/>
  <c r="H57" i="4" s="1"/>
  <c r="C155" i="11"/>
  <c r="F155" i="11" s="1"/>
  <c r="G25" i="4"/>
  <c r="H25" i="4" s="1"/>
  <c r="G71" i="4"/>
  <c r="H71" i="4" s="1"/>
  <c r="G46" i="4"/>
  <c r="H46" i="4" s="1"/>
  <c r="C129" i="11"/>
  <c r="F129" i="11" s="1"/>
  <c r="G65" i="4"/>
  <c r="H65" i="4" s="1"/>
  <c r="G80" i="4"/>
  <c r="H80" i="4" s="1"/>
  <c r="C172" i="11"/>
  <c r="F172" i="11" s="1"/>
  <c r="G77" i="4"/>
  <c r="H77" i="4" s="1"/>
  <c r="G49" i="4"/>
  <c r="H49" i="4" s="1"/>
  <c r="C154" i="11"/>
  <c r="F154" i="11" s="1"/>
  <c r="G26" i="4"/>
  <c r="H26" i="4" s="1"/>
  <c r="G22" i="4"/>
  <c r="H22" i="4" s="1"/>
  <c r="C133" i="11"/>
  <c r="G74" i="4"/>
  <c r="H74" i="4" s="1"/>
  <c r="G32" i="4"/>
  <c r="H32" i="4" s="1"/>
  <c r="C137" i="11"/>
  <c r="G70" i="4"/>
  <c r="H70" i="4" s="1"/>
  <c r="G18" i="4"/>
  <c r="H18" i="4" s="1"/>
  <c r="G20" i="4"/>
  <c r="H20" i="4" s="1"/>
  <c r="G21" i="4"/>
  <c r="H21" i="4" s="1"/>
  <c r="C66" i="11"/>
  <c r="F66" i="11" s="1"/>
  <c r="AX66" i="11" s="1"/>
  <c r="BD66" i="11" s="1"/>
  <c r="G67" i="4"/>
  <c r="H67" i="4" s="1"/>
  <c r="F121" i="11"/>
  <c r="G34" i="4"/>
  <c r="H34" i="4" s="1"/>
  <c r="G56" i="4"/>
  <c r="H56" i="4" s="1"/>
  <c r="C151" i="11"/>
  <c r="F151" i="11" s="1"/>
  <c r="G35" i="4"/>
  <c r="H35" i="4" s="1"/>
  <c r="C124" i="11"/>
  <c r="F124" i="11" s="1"/>
  <c r="C87" i="11"/>
  <c r="G60" i="4"/>
  <c r="H60" i="4" s="1"/>
  <c r="C136" i="11"/>
  <c r="F136" i="11" s="1"/>
  <c r="C93" i="11"/>
  <c r="F93" i="11" s="1"/>
  <c r="G79" i="4"/>
  <c r="H79" i="4" s="1"/>
  <c r="C169" i="11"/>
  <c r="C157" i="11"/>
  <c r="G73" i="4"/>
  <c r="H73" i="4" s="1"/>
  <c r="G68" i="4"/>
  <c r="H68" i="4" s="1"/>
  <c r="F120" i="11"/>
  <c r="G16" i="4"/>
  <c r="H16" i="4" s="1"/>
  <c r="G62" i="4"/>
  <c r="H62" i="4" s="1"/>
  <c r="G43" i="4"/>
  <c r="H43" i="4" s="1"/>
  <c r="C148" i="11"/>
  <c r="F148" i="11" s="1"/>
  <c r="G59" i="4"/>
  <c r="H59" i="4" s="1"/>
  <c r="C156" i="11"/>
  <c r="F156" i="11" s="1"/>
  <c r="G53" i="4"/>
  <c r="H53" i="4" s="1"/>
  <c r="C150" i="11"/>
  <c r="G23" i="4"/>
  <c r="H23" i="4" s="1"/>
  <c r="G15" i="4"/>
  <c r="H15" i="4" s="1"/>
  <c r="C45" i="11"/>
  <c r="F45" i="11" s="1"/>
  <c r="AX45" i="11" s="1"/>
  <c r="BD45" i="11" s="1"/>
  <c r="G63" i="4"/>
  <c r="H63" i="4" s="1"/>
  <c r="G55" i="4"/>
  <c r="H55" i="4" s="1"/>
  <c r="C22" i="11"/>
  <c r="F22" i="11" s="1"/>
  <c r="G30" i="4"/>
  <c r="H30" i="4" s="1"/>
  <c r="G52" i="4"/>
  <c r="H52" i="4" s="1"/>
  <c r="G64" i="4"/>
  <c r="H64" i="4" s="1"/>
  <c r="G11" i="4"/>
  <c r="H11" i="4" s="1"/>
  <c r="C54" i="11"/>
  <c r="F54" i="11" s="1"/>
  <c r="G9" i="4"/>
  <c r="H9" i="4" s="1"/>
  <c r="G38" i="4"/>
  <c r="H38" i="4" s="1"/>
  <c r="G51" i="4"/>
  <c r="H51" i="4" s="1"/>
  <c r="G39" i="4"/>
  <c r="H39" i="4" s="1"/>
  <c r="C10" i="11"/>
  <c r="F10" i="11" s="1"/>
  <c r="AX10" i="11" s="1"/>
  <c r="BD10" i="11" s="1"/>
  <c r="C17" i="11"/>
  <c r="F17" i="11" s="1"/>
  <c r="AX17" i="11" s="1"/>
  <c r="BD17" i="11" s="1"/>
  <c r="C82" i="11"/>
  <c r="F82" i="11" s="1"/>
  <c r="C83" i="11"/>
  <c r="F83" i="11" s="1"/>
  <c r="AX83" i="11" s="1"/>
  <c r="BD83" i="11" s="1"/>
  <c r="G45" i="4"/>
  <c r="H45" i="4" s="1"/>
  <c r="C186" i="11"/>
  <c r="F186" i="11" s="1"/>
  <c r="G72" i="4"/>
  <c r="H72" i="4" s="1"/>
  <c r="C191" i="11"/>
  <c r="F191" i="11" s="1"/>
  <c r="C33" i="11"/>
  <c r="F33" i="11" s="1"/>
  <c r="AX33" i="11" s="1"/>
  <c r="BD33" i="11" s="1"/>
  <c r="G75" i="4"/>
  <c r="H75" i="4" s="1"/>
  <c r="D19" i="11"/>
  <c r="B10" i="5"/>
  <c r="B15" i="5"/>
  <c r="B129" i="5"/>
  <c r="B19" i="5"/>
  <c r="B45" i="3"/>
  <c r="B176" i="3"/>
  <c r="B188" i="3"/>
  <c r="BC38" i="11" l="1"/>
  <c r="BA199" i="11"/>
  <c r="BC198" i="11"/>
  <c r="BD46" i="11"/>
  <c r="BA233" i="11"/>
  <c r="U190" i="3"/>
  <c r="V46" i="3"/>
  <c r="V178" i="3"/>
  <c r="AY189" i="11"/>
  <c r="AX46" i="11"/>
  <c r="BE46" i="11" s="1"/>
  <c r="AX162" i="11"/>
  <c r="BD162" i="11" s="1"/>
  <c r="AX177" i="11"/>
  <c r="BD177" i="11" s="1"/>
  <c r="AX166" i="11"/>
  <c r="BD166" i="11" s="1"/>
  <c r="AY68" i="11"/>
  <c r="AY13" i="11"/>
  <c r="AX143" i="11"/>
  <c r="BD143" i="11" s="1"/>
  <c r="AX90" i="11"/>
  <c r="BD90" i="11" s="1"/>
  <c r="AX134" i="11"/>
  <c r="BD134" i="11" s="1"/>
  <c r="AY67" i="11"/>
  <c r="AX178" i="11"/>
  <c r="BD178" i="11" s="1"/>
  <c r="AY44" i="11"/>
  <c r="AT44" i="11"/>
  <c r="AY69" i="11"/>
  <c r="AX161" i="11"/>
  <c r="BD161" i="11" s="1"/>
  <c r="AY36" i="11"/>
  <c r="T46" i="3"/>
  <c r="T72" i="3" s="1"/>
  <c r="T73" i="3" s="1"/>
  <c r="S190" i="3"/>
  <c r="AX92" i="11"/>
  <c r="BD92" i="11" s="1"/>
  <c r="AX144" i="11"/>
  <c r="BD144" i="11" s="1"/>
  <c r="AX131" i="11"/>
  <c r="BD131" i="11" s="1"/>
  <c r="AX89" i="11"/>
  <c r="BD89" i="11" s="1"/>
  <c r="AX135" i="11"/>
  <c r="AX142" i="11"/>
  <c r="BD142" i="11" s="1"/>
  <c r="AY159" i="11"/>
  <c r="AY18" i="11"/>
  <c r="AV37" i="11"/>
  <c r="AV38" i="11" s="1"/>
  <c r="AV47" i="11" s="1"/>
  <c r="AX138" i="11"/>
  <c r="BD138" i="11" s="1"/>
  <c r="AY51" i="11"/>
  <c r="AX171" i="11"/>
  <c r="BD171" i="11" s="1"/>
  <c r="AY64" i="11"/>
  <c r="AX152" i="11"/>
  <c r="BD152" i="11" s="1"/>
  <c r="AY61" i="11"/>
  <c r="AV195" i="11"/>
  <c r="AX149" i="11"/>
  <c r="BD149" i="11" s="1"/>
  <c r="AX164" i="11"/>
  <c r="BD164" i="11" s="1"/>
  <c r="AX9" i="11"/>
  <c r="BD9" i="11" s="1"/>
  <c r="BD19" i="11" s="1"/>
  <c r="AU19" i="11"/>
  <c r="AX147" i="11"/>
  <c r="BD147" i="11" s="1"/>
  <c r="AU72" i="11"/>
  <c r="AX71" i="11"/>
  <c r="BD71" i="11" s="1"/>
  <c r="AY190" i="11"/>
  <c r="AS52" i="11"/>
  <c r="AX52" i="11"/>
  <c r="BD52" i="11" s="1"/>
  <c r="AY158" i="11"/>
  <c r="AT64" i="11"/>
  <c r="AT32" i="11"/>
  <c r="AT62" i="11"/>
  <c r="AT189" i="11"/>
  <c r="AS144" i="11"/>
  <c r="AT27" i="11"/>
  <c r="AT23" i="11"/>
  <c r="AT59" i="11"/>
  <c r="AT84" i="11"/>
  <c r="AT65" i="11"/>
  <c r="AT68" i="11"/>
  <c r="AT25" i="11"/>
  <c r="AS89" i="11"/>
  <c r="AT89" i="11" s="1"/>
  <c r="AT135" i="11"/>
  <c r="AS142" i="11"/>
  <c r="AT142" i="11" s="1"/>
  <c r="AS164" i="11"/>
  <c r="AS131" i="11"/>
  <c r="AS143" i="11"/>
  <c r="AT143" i="11" s="1"/>
  <c r="AS149" i="11"/>
  <c r="AT149" i="11" s="1"/>
  <c r="AS134" i="11"/>
  <c r="AT134" i="11" s="1"/>
  <c r="AS177" i="11"/>
  <c r="AT18" i="11"/>
  <c r="AS152" i="11"/>
  <c r="AT67" i="11"/>
  <c r="AS140" i="11"/>
  <c r="AT140" i="11" s="1"/>
  <c r="AS166" i="11"/>
  <c r="AT166" i="11" s="1"/>
  <c r="AT70" i="11"/>
  <c r="AP72" i="11"/>
  <c r="AS71" i="11"/>
  <c r="AS178" i="11"/>
  <c r="AT178" i="11" s="1"/>
  <c r="AT28" i="11"/>
  <c r="AS9" i="11"/>
  <c r="AP19" i="11"/>
  <c r="AT61" i="11"/>
  <c r="AS90" i="11"/>
  <c r="AT90" i="11" s="1"/>
  <c r="AT13" i="11"/>
  <c r="AS171" i="11"/>
  <c r="AT69" i="11"/>
  <c r="AN33" i="11"/>
  <c r="AO33" i="11" s="1"/>
  <c r="AS33" i="11"/>
  <c r="AY33" i="11" s="1"/>
  <c r="AT179" i="11"/>
  <c r="AM199" i="11"/>
  <c r="AS92" i="11"/>
  <c r="AT92" i="11" s="1"/>
  <c r="AS161" i="11"/>
  <c r="AN45" i="11"/>
  <c r="AO45" i="11" s="1"/>
  <c r="AS45" i="11"/>
  <c r="AS46" i="11" s="1"/>
  <c r="AR203" i="11"/>
  <c r="AR199" i="11"/>
  <c r="AR225" i="11"/>
  <c r="AM225" i="11"/>
  <c r="AS138" i="11"/>
  <c r="AT138" i="11" s="1"/>
  <c r="AQ37" i="11"/>
  <c r="AQ38" i="11" s="1"/>
  <c r="AQ47" i="11" s="1"/>
  <c r="AS151" i="11"/>
  <c r="AN83" i="11"/>
  <c r="AO83" i="11" s="1"/>
  <c r="AS83" i="11"/>
  <c r="AY83" i="11" s="1"/>
  <c r="AN10" i="11"/>
  <c r="AO10" i="11" s="1"/>
  <c r="AS10" i="11"/>
  <c r="AY10" i="11" s="1"/>
  <c r="AN17" i="11"/>
  <c r="AO17" i="11" s="1"/>
  <c r="AS17" i="11"/>
  <c r="AY17" i="11" s="1"/>
  <c r="AN66" i="11"/>
  <c r="AO66" i="11" s="1"/>
  <c r="AS66" i="11"/>
  <c r="AY66" i="11" s="1"/>
  <c r="AS162" i="11"/>
  <c r="AT162" i="11" s="1"/>
  <c r="K20" i="5"/>
  <c r="L141" i="5"/>
  <c r="L153" i="5" s="1"/>
  <c r="O46" i="3"/>
  <c r="O190" i="3" s="1"/>
  <c r="P46" i="3"/>
  <c r="P72" i="3" s="1"/>
  <c r="P73" i="3" s="1"/>
  <c r="U68" i="11"/>
  <c r="U64" i="11"/>
  <c r="U61" i="11"/>
  <c r="Z44" i="11"/>
  <c r="AO44" i="11"/>
  <c r="AL37" i="11"/>
  <c r="AL38" i="11" s="1"/>
  <c r="AL47" i="11" s="1"/>
  <c r="AN144" i="11"/>
  <c r="AO144" i="11" s="1"/>
  <c r="AN131" i="11"/>
  <c r="AO131" i="11" s="1"/>
  <c r="AN22" i="11"/>
  <c r="AO22" i="11" s="1"/>
  <c r="AN9" i="11"/>
  <c r="AK19" i="11"/>
  <c r="AN164" i="11"/>
  <c r="AO164" i="11" s="1"/>
  <c r="AJ180" i="11"/>
  <c r="AJ182" i="11" s="1"/>
  <c r="AO77" i="11"/>
  <c r="AT77" i="11" s="1"/>
  <c r="AY77" i="11" s="1"/>
  <c r="BD77" i="11" s="1"/>
  <c r="AN151" i="11"/>
  <c r="AO151" i="11" s="1"/>
  <c r="K52" i="11"/>
  <c r="AN52" i="11"/>
  <c r="AO52" i="11" s="1"/>
  <c r="AN171" i="11"/>
  <c r="AO171" i="11" s="1"/>
  <c r="AN147" i="11"/>
  <c r="AO147" i="11" s="1"/>
  <c r="Z69" i="11"/>
  <c r="AL195" i="11"/>
  <c r="AN82" i="11"/>
  <c r="AO82" i="11" s="1"/>
  <c r="AN130" i="11"/>
  <c r="AO130" i="11" s="1"/>
  <c r="AN148" i="11"/>
  <c r="AO148" i="11" s="1"/>
  <c r="Z13" i="11"/>
  <c r="AN177" i="11"/>
  <c r="AO177" i="11" s="1"/>
  <c r="AN161" i="11"/>
  <c r="AO161" i="11" s="1"/>
  <c r="AK72" i="11"/>
  <c r="AN71" i="11"/>
  <c r="AN154" i="11"/>
  <c r="AO154" i="11" s="1"/>
  <c r="AN167" i="11"/>
  <c r="AO167" i="11" s="1"/>
  <c r="AN124" i="11"/>
  <c r="AO124" i="11" s="1"/>
  <c r="Z67" i="11"/>
  <c r="AN81" i="11"/>
  <c r="AO81" i="11" s="1"/>
  <c r="AN155" i="11"/>
  <c r="AO155" i="11" s="1"/>
  <c r="AN54" i="11"/>
  <c r="AO54" i="11" s="1"/>
  <c r="AN132" i="11"/>
  <c r="AO132" i="11" s="1"/>
  <c r="AN191" i="11"/>
  <c r="AO191" i="11" s="1"/>
  <c r="AN172" i="11"/>
  <c r="AO172" i="11" s="1"/>
  <c r="AN152" i="11"/>
  <c r="AO152" i="11" s="1"/>
  <c r="P142" i="5"/>
  <c r="P143" i="5" s="1"/>
  <c r="N178" i="3"/>
  <c r="N46" i="3"/>
  <c r="N72" i="3" s="1"/>
  <c r="N73" i="3" s="1"/>
  <c r="P178" i="3"/>
  <c r="AI198" i="11"/>
  <c r="AG74" i="11"/>
  <c r="M143" i="5"/>
  <c r="AG198" i="11"/>
  <c r="AG199" i="11" s="1"/>
  <c r="AJ17" i="11"/>
  <c r="AI19" i="11"/>
  <c r="AG203" i="11"/>
  <c r="AG225" i="11"/>
  <c r="AJ18" i="11"/>
  <c r="M190" i="3"/>
  <c r="M194" i="3" s="1"/>
  <c r="J178" i="3"/>
  <c r="K53" i="11"/>
  <c r="N153" i="5"/>
  <c r="M153" i="5"/>
  <c r="J53" i="11"/>
  <c r="J72" i="11" s="1"/>
  <c r="AE18" i="11"/>
  <c r="AE19" i="11" s="1"/>
  <c r="AD72" i="11"/>
  <c r="AE72" i="11"/>
  <c r="K147" i="11"/>
  <c r="K136" i="11"/>
  <c r="K155" i="11"/>
  <c r="K167" i="11"/>
  <c r="AB195" i="11"/>
  <c r="K82" i="11"/>
  <c r="K124" i="11"/>
  <c r="K154" i="11"/>
  <c r="K81" i="11"/>
  <c r="K83" i="11"/>
  <c r="K156" i="11"/>
  <c r="K127" i="11"/>
  <c r="K130" i="11"/>
  <c r="K121" i="11"/>
  <c r="K148" i="11"/>
  <c r="K129" i="11"/>
  <c r="K93" i="11"/>
  <c r="K151" i="11"/>
  <c r="K172" i="11"/>
  <c r="K132" i="11"/>
  <c r="K120" i="11"/>
  <c r="AB37" i="11"/>
  <c r="AB38" i="11" s="1"/>
  <c r="AB47" i="11" s="1"/>
  <c r="K139" i="11"/>
  <c r="I16" i="5"/>
  <c r="J131" i="5"/>
  <c r="L46" i="3"/>
  <c r="L72" i="3" s="1"/>
  <c r="L73" i="3" s="1"/>
  <c r="L178" i="3"/>
  <c r="I190" i="3"/>
  <c r="V224" i="11" s="1"/>
  <c r="K72" i="3"/>
  <c r="K73" i="3" s="1"/>
  <c r="K190" i="3"/>
  <c r="P125" i="11"/>
  <c r="Y38" i="11"/>
  <c r="Y47" i="11" s="1"/>
  <c r="V197" i="11"/>
  <c r="V203" i="11" s="1"/>
  <c r="Y191" i="11"/>
  <c r="Z189" i="11"/>
  <c r="U65" i="11"/>
  <c r="Z65" i="11"/>
  <c r="U59" i="11"/>
  <c r="Z59" i="11"/>
  <c r="U70" i="11"/>
  <c r="Z70" i="11"/>
  <c r="U53" i="11"/>
  <c r="Z53" i="11"/>
  <c r="U52" i="11"/>
  <c r="Z52" i="11"/>
  <c r="U62" i="11"/>
  <c r="Z62" i="11"/>
  <c r="Z18" i="11"/>
  <c r="U28" i="11"/>
  <c r="Z28" i="11"/>
  <c r="U27" i="11"/>
  <c r="Z27" i="11"/>
  <c r="U25" i="11"/>
  <c r="Z25" i="11"/>
  <c r="U23" i="11"/>
  <c r="Z23" i="11"/>
  <c r="J46" i="3"/>
  <c r="J72" i="3" s="1"/>
  <c r="J73" i="3" s="1"/>
  <c r="J30" i="5"/>
  <c r="J31" i="5" s="1"/>
  <c r="I72" i="3"/>
  <c r="I73" i="3" s="1"/>
  <c r="C72" i="11"/>
  <c r="F72" i="11"/>
  <c r="G37" i="3"/>
  <c r="P57" i="11"/>
  <c r="K9" i="11"/>
  <c r="K54" i="11"/>
  <c r="T54" i="11"/>
  <c r="K191" i="11"/>
  <c r="U191" i="11"/>
  <c r="K17" i="11"/>
  <c r="T17" i="11"/>
  <c r="K21" i="11"/>
  <c r="K45" i="11"/>
  <c r="T45" i="11"/>
  <c r="Z45" i="11" s="1"/>
  <c r="K66" i="11"/>
  <c r="T66" i="11"/>
  <c r="K186" i="11"/>
  <c r="R195" i="11"/>
  <c r="T71" i="11"/>
  <c r="K10" i="11"/>
  <c r="T10" i="11"/>
  <c r="K22" i="11"/>
  <c r="R37" i="11"/>
  <c r="R38" i="11" s="1"/>
  <c r="R47" i="11" s="1"/>
  <c r="K33" i="11"/>
  <c r="U33" i="11"/>
  <c r="H178" i="3"/>
  <c r="H46" i="3"/>
  <c r="H72" i="3" s="1"/>
  <c r="H73" i="3" s="1"/>
  <c r="D71" i="3"/>
  <c r="P78" i="11"/>
  <c r="J180" i="11"/>
  <c r="K18" i="11"/>
  <c r="J18" i="11"/>
  <c r="C20" i="5"/>
  <c r="F46" i="3"/>
  <c r="K41" i="11"/>
  <c r="J41" i="11"/>
  <c r="D36" i="3"/>
  <c r="G46" i="11"/>
  <c r="G38" i="11"/>
  <c r="D18" i="3"/>
  <c r="C46" i="3"/>
  <c r="F169" i="11"/>
  <c r="F133" i="11"/>
  <c r="F78" i="11"/>
  <c r="F87" i="11"/>
  <c r="F176" i="11"/>
  <c r="F137" i="11"/>
  <c r="D180" i="11"/>
  <c r="D129" i="5"/>
  <c r="C129" i="5"/>
  <c r="F128" i="11"/>
  <c r="F119" i="11"/>
  <c r="F157" i="11"/>
  <c r="D45" i="3"/>
  <c r="C176" i="3"/>
  <c r="D176" i="3"/>
  <c r="C188" i="3"/>
  <c r="D188" i="3"/>
  <c r="C46" i="11"/>
  <c r="F46" i="11"/>
  <c r="C37" i="11"/>
  <c r="C19" i="11"/>
  <c r="C180" i="11"/>
  <c r="C195" i="11"/>
  <c r="D195" i="11"/>
  <c r="D37" i="11"/>
  <c r="D38" i="11" s="1"/>
  <c r="D47" i="11" s="1"/>
  <c r="B16" i="5"/>
  <c r="B20" i="5" s="1"/>
  <c r="B37" i="3"/>
  <c r="B46" i="3" s="1"/>
  <c r="BC47" i="11" l="1"/>
  <c r="C17" i="30" s="1"/>
  <c r="C9" i="33"/>
  <c r="AZ198" i="11"/>
  <c r="AZ199" i="11" s="1"/>
  <c r="W195" i="3"/>
  <c r="AY135" i="11"/>
  <c r="BD135" i="11"/>
  <c r="U192" i="3"/>
  <c r="U202" i="3"/>
  <c r="U206" i="3" s="1"/>
  <c r="V190" i="3"/>
  <c r="V202" i="3" s="1"/>
  <c r="V206" i="3" s="1"/>
  <c r="V72" i="3"/>
  <c r="V73" i="3" s="1"/>
  <c r="AU232" i="11"/>
  <c r="H143" i="31"/>
  <c r="AY177" i="11"/>
  <c r="AY161" i="11"/>
  <c r="AX129" i="11"/>
  <c r="BD129" i="11" s="1"/>
  <c r="AX148" i="11"/>
  <c r="BD148" i="11" s="1"/>
  <c r="BD191" i="11"/>
  <c r="T190" i="3"/>
  <c r="T202" i="3" s="1"/>
  <c r="T204" i="3" s="1"/>
  <c r="T208" i="3" s="1"/>
  <c r="AY144" i="11"/>
  <c r="AY131" i="11"/>
  <c r="AX136" i="11"/>
  <c r="BD136" i="11" s="1"/>
  <c r="AY142" i="11"/>
  <c r="AY52" i="11"/>
  <c r="AX154" i="11"/>
  <c r="BD154" i="11" s="1"/>
  <c r="AX82" i="11"/>
  <c r="BD82" i="11" s="1"/>
  <c r="AX130" i="11"/>
  <c r="BD130" i="11" s="1"/>
  <c r="S192" i="3"/>
  <c r="S202" i="3"/>
  <c r="S204" i="3" s="1"/>
  <c r="S208" i="3" s="1"/>
  <c r="O72" i="3"/>
  <c r="O73" i="3" s="1"/>
  <c r="AX139" i="11"/>
  <c r="BD139" i="11" s="1"/>
  <c r="AX151" i="11"/>
  <c r="AX155" i="11"/>
  <c r="BD155" i="11" s="1"/>
  <c r="AX93" i="11"/>
  <c r="BD93" i="11" s="1"/>
  <c r="AY45" i="11"/>
  <c r="AY46" i="11" s="1"/>
  <c r="AY171" i="11"/>
  <c r="AY152" i="11"/>
  <c r="AY178" i="11"/>
  <c r="AY162" i="11"/>
  <c r="AY164" i="11"/>
  <c r="AY149" i="11"/>
  <c r="AY9" i="11"/>
  <c r="AY19" i="11" s="1"/>
  <c r="AX19" i="11"/>
  <c r="BE19" i="11" s="1"/>
  <c r="AX172" i="11"/>
  <c r="BD172" i="11" s="1"/>
  <c r="AX156" i="11"/>
  <c r="BD156" i="11" s="1"/>
  <c r="AX81" i="11"/>
  <c r="BD81" i="11" s="1"/>
  <c r="AY166" i="11"/>
  <c r="AY143" i="11"/>
  <c r="AX124" i="11"/>
  <c r="BD124" i="11" s="1"/>
  <c r="AY138" i="11"/>
  <c r="AY71" i="11"/>
  <c r="AX167" i="11"/>
  <c r="BD167" i="11" s="1"/>
  <c r="AX127" i="11"/>
  <c r="BD127" i="11" s="1"/>
  <c r="AY92" i="11"/>
  <c r="AX54" i="11"/>
  <c r="AY90" i="11"/>
  <c r="AY140" i="11"/>
  <c r="AU195" i="11"/>
  <c r="AX186" i="11"/>
  <c r="BD186" i="11" s="1"/>
  <c r="AV73" i="11"/>
  <c r="AV74" i="11" s="1"/>
  <c r="AX22" i="11"/>
  <c r="BD22" i="11" s="1"/>
  <c r="AX132" i="11"/>
  <c r="BD132" i="11" s="1"/>
  <c r="AV180" i="11"/>
  <c r="AY134" i="11"/>
  <c r="AY89" i="11"/>
  <c r="AX21" i="11"/>
  <c r="BD21" i="11" s="1"/>
  <c r="AU37" i="11"/>
  <c r="AT66" i="11"/>
  <c r="N190" i="3"/>
  <c r="N202" i="3" s="1"/>
  <c r="N206" i="3" s="1"/>
  <c r="AT17" i="11"/>
  <c r="AS136" i="11"/>
  <c r="AS156" i="11"/>
  <c r="AS172" i="11"/>
  <c r="AT172" i="11" s="1"/>
  <c r="AS93" i="11"/>
  <c r="AT164" i="11"/>
  <c r="AT83" i="11"/>
  <c r="AS81" i="11"/>
  <c r="AT81" i="11" s="1"/>
  <c r="AS148" i="11"/>
  <c r="AT148" i="11" s="1"/>
  <c r="AT45" i="11"/>
  <c r="AT46" i="11" s="1"/>
  <c r="AS167" i="11"/>
  <c r="AT167" i="11" s="1"/>
  <c r="AT177" i="11"/>
  <c r="AS139" i="11"/>
  <c r="AS54" i="11"/>
  <c r="AT54" i="11" s="1"/>
  <c r="AS130" i="11"/>
  <c r="AT130" i="11" s="1"/>
  <c r="AS155" i="11"/>
  <c r="AT155" i="11" s="1"/>
  <c r="AS147" i="11"/>
  <c r="AT147" i="11" s="1"/>
  <c r="AS22" i="11"/>
  <c r="AT22" i="11" s="1"/>
  <c r="AS82" i="11"/>
  <c r="AT82" i="11" s="1"/>
  <c r="AT10" i="11"/>
  <c r="AS132" i="11"/>
  <c r="AT132" i="11" s="1"/>
  <c r="AS127" i="11"/>
  <c r="AT33" i="11"/>
  <c r="AS129" i="11"/>
  <c r="AT171" i="11"/>
  <c r="AT71" i="11"/>
  <c r="AT131" i="11"/>
  <c r="AQ180" i="11"/>
  <c r="AS186" i="11"/>
  <c r="AN46" i="11"/>
  <c r="AT161" i="11"/>
  <c r="AT9" i="11"/>
  <c r="AS19" i="11"/>
  <c r="AT151" i="11"/>
  <c r="AO46" i="11"/>
  <c r="AS124" i="11"/>
  <c r="AT124" i="11" s="1"/>
  <c r="AT144" i="11"/>
  <c r="AS191" i="11"/>
  <c r="AT191" i="11" s="1"/>
  <c r="AS154" i="11"/>
  <c r="AT154" i="11" s="1"/>
  <c r="AQ73" i="11"/>
  <c r="AT152" i="11"/>
  <c r="AP37" i="11"/>
  <c r="AS21" i="11"/>
  <c r="AT52" i="11"/>
  <c r="K141" i="5"/>
  <c r="K30" i="5"/>
  <c r="Z46" i="11"/>
  <c r="P190" i="3"/>
  <c r="P202" i="3" s="1"/>
  <c r="H123" i="26"/>
  <c r="O192" i="3"/>
  <c r="AK230" i="11"/>
  <c r="AO71" i="11"/>
  <c r="AO72" i="11" s="1"/>
  <c r="AN72" i="11"/>
  <c r="AN128" i="11"/>
  <c r="AO128" i="11" s="1"/>
  <c r="AN136" i="11"/>
  <c r="AO136" i="11" s="1"/>
  <c r="AN137" i="11"/>
  <c r="AO137" i="11" s="1"/>
  <c r="AN19" i="11"/>
  <c r="AO9" i="11"/>
  <c r="AO19" i="11" s="1"/>
  <c r="AN133" i="11"/>
  <c r="AO133" i="11" s="1"/>
  <c r="AN93" i="11"/>
  <c r="AO93" i="11" s="1"/>
  <c r="AN157" i="11"/>
  <c r="AO157" i="11" s="1"/>
  <c r="AL180" i="11"/>
  <c r="AL182" i="11" s="1"/>
  <c r="AL197" i="11" s="1"/>
  <c r="AN169" i="11"/>
  <c r="AO169" i="11" s="1"/>
  <c r="AN127" i="11"/>
  <c r="AO127" i="11" s="1"/>
  <c r="AN176" i="11"/>
  <c r="AO176" i="11" s="1"/>
  <c r="AN139" i="11"/>
  <c r="AO139" i="11" s="1"/>
  <c r="AK37" i="11"/>
  <c r="AN21" i="11"/>
  <c r="AN87" i="11"/>
  <c r="AO87" i="11" s="1"/>
  <c r="AN186" i="11"/>
  <c r="AK195" i="11"/>
  <c r="AN156" i="11"/>
  <c r="AO156" i="11" s="1"/>
  <c r="AN129" i="11"/>
  <c r="AO129" i="11" s="1"/>
  <c r="AL73" i="11"/>
  <c r="AL74" i="11" s="1"/>
  <c r="O202" i="3"/>
  <c r="I122" i="24"/>
  <c r="AF198" i="11"/>
  <c r="AF199" i="11" s="1"/>
  <c r="AI38" i="11"/>
  <c r="P53" i="11"/>
  <c r="P72" i="11" s="1"/>
  <c r="AJ19" i="11"/>
  <c r="M202" i="3"/>
  <c r="M206" i="3" s="1"/>
  <c r="M192" i="3"/>
  <c r="M157" i="5"/>
  <c r="M155" i="5"/>
  <c r="M161" i="5" s="1"/>
  <c r="M160" i="5"/>
  <c r="N157" i="5"/>
  <c r="N160" i="5"/>
  <c r="N155" i="5"/>
  <c r="N161" i="5" s="1"/>
  <c r="N191" i="3"/>
  <c r="Y73" i="11"/>
  <c r="Y74" i="11" s="1"/>
  <c r="G104" i="22"/>
  <c r="J141" i="5"/>
  <c r="J153" i="5" s="1"/>
  <c r="Z191" i="11"/>
  <c r="Z195" i="11" s="1"/>
  <c r="AE191" i="11"/>
  <c r="AB73" i="11"/>
  <c r="AB74" i="11" s="1"/>
  <c r="K137" i="11"/>
  <c r="K169" i="11"/>
  <c r="K78" i="11"/>
  <c r="K176" i="11"/>
  <c r="AE37" i="11"/>
  <c r="AE38" i="11" s="1"/>
  <c r="AE47" i="11" s="1"/>
  <c r="AD37" i="11"/>
  <c r="K87" i="11"/>
  <c r="K133" i="11"/>
  <c r="K119" i="11"/>
  <c r="K128" i="11"/>
  <c r="K157" i="11"/>
  <c r="AA195" i="11"/>
  <c r="L160" i="5"/>
  <c r="L155" i="5"/>
  <c r="L161" i="5" s="1"/>
  <c r="L157" i="5"/>
  <c r="I20" i="5"/>
  <c r="G53" i="19"/>
  <c r="L190" i="3"/>
  <c r="L202" i="3" s="1"/>
  <c r="C8" i="19"/>
  <c r="V198" i="11"/>
  <c r="V199" i="11" s="1"/>
  <c r="K202" i="3"/>
  <c r="L191" i="3"/>
  <c r="V225" i="11"/>
  <c r="K72" i="11"/>
  <c r="Y198" i="11"/>
  <c r="U10" i="11"/>
  <c r="Z10" i="11"/>
  <c r="Z37" i="11"/>
  <c r="Y195" i="11"/>
  <c r="Y197" i="11" s="1"/>
  <c r="U54" i="11"/>
  <c r="Z54" i="11"/>
  <c r="U71" i="11"/>
  <c r="Z71" i="11"/>
  <c r="U66" i="11"/>
  <c r="Z66" i="11"/>
  <c r="U17" i="11"/>
  <c r="Z17" i="11"/>
  <c r="G46" i="3"/>
  <c r="J190" i="3"/>
  <c r="I202" i="3"/>
  <c r="T72" i="11"/>
  <c r="Q182" i="11"/>
  <c r="U45" i="11"/>
  <c r="U46" i="11" s="1"/>
  <c r="T46" i="11"/>
  <c r="K195" i="11"/>
  <c r="K19" i="11"/>
  <c r="U22" i="11"/>
  <c r="K37" i="11"/>
  <c r="Q195" i="11"/>
  <c r="R73" i="11"/>
  <c r="R74" i="11" s="1"/>
  <c r="Q37" i="11"/>
  <c r="R180" i="11"/>
  <c r="R182" i="11" s="1"/>
  <c r="R197" i="11" s="1"/>
  <c r="R203" i="11" s="1"/>
  <c r="Q19" i="11"/>
  <c r="T9" i="11"/>
  <c r="Z9" i="11" s="1"/>
  <c r="H190" i="3"/>
  <c r="P180" i="11"/>
  <c r="J19" i="11"/>
  <c r="P18" i="11"/>
  <c r="P19" i="11" s="1"/>
  <c r="J46" i="11"/>
  <c r="P41" i="11"/>
  <c r="P46" i="11" s="1"/>
  <c r="O19" i="11"/>
  <c r="O37" i="11"/>
  <c r="P195" i="11"/>
  <c r="P37" i="11"/>
  <c r="O195" i="11"/>
  <c r="K46" i="11"/>
  <c r="O46" i="11"/>
  <c r="D37" i="3"/>
  <c r="D46" i="3" s="1"/>
  <c r="G47" i="11"/>
  <c r="C38" i="11"/>
  <c r="BC73" i="11" l="1"/>
  <c r="C8" i="30" s="1"/>
  <c r="BC197" i="11"/>
  <c r="C36" i="30" s="1"/>
  <c r="BD37" i="11"/>
  <c r="BD38" i="11" s="1"/>
  <c r="BD47" i="11" s="1"/>
  <c r="BD195" i="11"/>
  <c r="AY151" i="11"/>
  <c r="BD151" i="11"/>
  <c r="AX72" i="11"/>
  <c r="BD54" i="11"/>
  <c r="BD72" i="11" s="1"/>
  <c r="U204" i="3"/>
  <c r="U208" i="3" s="1"/>
  <c r="V204" i="3"/>
  <c r="V208" i="3" s="1"/>
  <c r="AV182" i="11"/>
  <c r="T206" i="3"/>
  <c r="AY136" i="11"/>
  <c r="AU38" i="11"/>
  <c r="AU47" i="11" s="1"/>
  <c r="AU73" i="11" s="1"/>
  <c r="AU74" i="11" s="1"/>
  <c r="AY129" i="11"/>
  <c r="S206" i="3"/>
  <c r="AX128" i="11"/>
  <c r="BD128" i="11" s="1"/>
  <c r="AY93" i="11"/>
  <c r="AY139" i="11"/>
  <c r="AY172" i="11"/>
  <c r="AY127" i="11"/>
  <c r="AY156" i="11"/>
  <c r="AY148" i="11"/>
  <c r="AX87" i="11"/>
  <c r="BD87" i="11" s="1"/>
  <c r="AY132" i="11"/>
  <c r="N204" i="3"/>
  <c r="N208" i="3" s="1"/>
  <c r="AX133" i="11"/>
  <c r="BD133" i="11" s="1"/>
  <c r="AX157" i="11"/>
  <c r="BD157" i="11" s="1"/>
  <c r="N192" i="3"/>
  <c r="AU180" i="11"/>
  <c r="AX78" i="11"/>
  <c r="BD78" i="11" s="1"/>
  <c r="AX176" i="11"/>
  <c r="BD176" i="11" s="1"/>
  <c r="AY22" i="11"/>
  <c r="AY130" i="11"/>
  <c r="AY154" i="11"/>
  <c r="AY82" i="11"/>
  <c r="AY167" i="11"/>
  <c r="AY81" i="11"/>
  <c r="AY147" i="11"/>
  <c r="AY155" i="11"/>
  <c r="AX169" i="11"/>
  <c r="BD169" i="11" s="1"/>
  <c r="AX37" i="11"/>
  <c r="AY21" i="11"/>
  <c r="AY54" i="11"/>
  <c r="AY72" i="11" s="1"/>
  <c r="AY191" i="11"/>
  <c r="AX137" i="11"/>
  <c r="BD137" i="11" s="1"/>
  <c r="AY186" i="11"/>
  <c r="AX195" i="11"/>
  <c r="AY124" i="11"/>
  <c r="AQ74" i="11"/>
  <c r="AQ182" i="11"/>
  <c r="AQ197" i="11" s="1"/>
  <c r="AQ203" i="11" s="1"/>
  <c r="AP38" i="11"/>
  <c r="AP47" i="11" s="1"/>
  <c r="AP73" i="11" s="1"/>
  <c r="AP74" i="11" s="1"/>
  <c r="AS195" i="11"/>
  <c r="AS72" i="11"/>
  <c r="AT72" i="11"/>
  <c r="AT19" i="11"/>
  <c r="AS87" i="11"/>
  <c r="AT87" i="11" s="1"/>
  <c r="AT129" i="11"/>
  <c r="AT136" i="11"/>
  <c r="AS169" i="11"/>
  <c r="AT169" i="11" s="1"/>
  <c r="AS137" i="11"/>
  <c r="AT137" i="11" s="1"/>
  <c r="AT186" i="11"/>
  <c r="AT195" i="11" s="1"/>
  <c r="AT156" i="11"/>
  <c r="AS37" i="11"/>
  <c r="AT21" i="11"/>
  <c r="AT37" i="11" s="1"/>
  <c r="AS176" i="11"/>
  <c r="AT176" i="11" s="1"/>
  <c r="AT93" i="11"/>
  <c r="AT127" i="11"/>
  <c r="AP180" i="11"/>
  <c r="AS78" i="11"/>
  <c r="AS128" i="11"/>
  <c r="AT128" i="11" s="1"/>
  <c r="AT139" i="11"/>
  <c r="AS133" i="11"/>
  <c r="AT133" i="11" s="1"/>
  <c r="AS157" i="11"/>
  <c r="AT157" i="11" s="1"/>
  <c r="K31" i="5"/>
  <c r="N142" i="5"/>
  <c r="N143" i="5" s="1"/>
  <c r="K153" i="5"/>
  <c r="K143" i="5"/>
  <c r="AK38" i="11"/>
  <c r="AL225" i="11"/>
  <c r="AL231" i="11" s="1"/>
  <c r="AL203" i="11"/>
  <c r="AO186" i="11"/>
  <c r="AO195" i="11" s="1"/>
  <c r="AN195" i="11"/>
  <c r="AO21" i="11"/>
  <c r="AO37" i="11" s="1"/>
  <c r="AO38" i="11" s="1"/>
  <c r="AO47" i="11" s="1"/>
  <c r="AN37" i="11"/>
  <c r="AK180" i="11"/>
  <c r="AN78" i="11"/>
  <c r="P206" i="3"/>
  <c r="P204" i="3"/>
  <c r="P208" i="3" s="1"/>
  <c r="O206" i="3"/>
  <c r="O204" i="3"/>
  <c r="O208" i="3" s="1"/>
  <c r="AJ38" i="11"/>
  <c r="AJ47" i="11" s="1"/>
  <c r="AI47" i="11"/>
  <c r="M204" i="3"/>
  <c r="M208" i="3" s="1"/>
  <c r="G72" i="3"/>
  <c r="G73" i="3" s="1"/>
  <c r="G190" i="3"/>
  <c r="G202" i="3" s="1"/>
  <c r="G204" i="3" s="1"/>
  <c r="G208" i="3" s="1"/>
  <c r="AD38" i="11"/>
  <c r="AD47" i="11" s="1"/>
  <c r="AB182" i="11"/>
  <c r="AB197" i="11" s="1"/>
  <c r="AB203" i="11" s="1"/>
  <c r="AE195" i="11"/>
  <c r="AD195" i="11"/>
  <c r="AE73" i="11"/>
  <c r="AE74" i="11" s="1"/>
  <c r="AA180" i="11"/>
  <c r="I30" i="5"/>
  <c r="I141" i="5"/>
  <c r="L192" i="3"/>
  <c r="Z19" i="11"/>
  <c r="Z38" i="11" s="1"/>
  <c r="Z47" i="11" s="1"/>
  <c r="K206" i="3"/>
  <c r="K204" i="3"/>
  <c r="K208" i="3" s="1"/>
  <c r="L204" i="3"/>
  <c r="L208" i="3" s="1"/>
  <c r="L206" i="3"/>
  <c r="Z72" i="11"/>
  <c r="Z182" i="11" s="1"/>
  <c r="U72" i="11"/>
  <c r="J202" i="3"/>
  <c r="J160" i="5"/>
  <c r="J157" i="5"/>
  <c r="J155" i="5"/>
  <c r="J161" i="5" s="1"/>
  <c r="I206" i="3"/>
  <c r="I204" i="3"/>
  <c r="I208" i="3" s="1"/>
  <c r="Q38" i="11"/>
  <c r="K38" i="11"/>
  <c r="K47" i="11" s="1"/>
  <c r="R199" i="11"/>
  <c r="T37" i="11"/>
  <c r="U21" i="11"/>
  <c r="U37" i="11" s="1"/>
  <c r="T19" i="11"/>
  <c r="U9" i="11"/>
  <c r="U19" i="11" s="1"/>
  <c r="K180" i="11"/>
  <c r="U186" i="11"/>
  <c r="U195" i="11" s="1"/>
  <c r="T195" i="11"/>
  <c r="H202" i="3"/>
  <c r="J38" i="11"/>
  <c r="P38" i="11"/>
  <c r="P47" i="11" s="1"/>
  <c r="O38" i="11"/>
  <c r="C47" i="11"/>
  <c r="BE72" i="11" l="1"/>
  <c r="BC74" i="11"/>
  <c r="BE195" i="11"/>
  <c r="BE37" i="11"/>
  <c r="BC232" i="11"/>
  <c r="BC225" i="11"/>
  <c r="BC229" i="11" s="1"/>
  <c r="BC227" i="11"/>
  <c r="BD73" i="11"/>
  <c r="BD74" i="11" s="1"/>
  <c r="BD180" i="11"/>
  <c r="BD182" i="11" s="1"/>
  <c r="BD197" i="11" s="1"/>
  <c r="BD227" i="11" s="1"/>
  <c r="AY37" i="11"/>
  <c r="AY38" i="11" s="1"/>
  <c r="AY47" i="11" s="1"/>
  <c r="AX38" i="11"/>
  <c r="BE38" i="11" s="1"/>
  <c r="AY87" i="11"/>
  <c r="C33" i="30"/>
  <c r="AU182" i="11"/>
  <c r="AV197" i="11"/>
  <c r="AV233" i="11" s="1"/>
  <c r="AY195" i="11"/>
  <c r="AY137" i="11"/>
  <c r="AY73" i="11"/>
  <c r="AY74" i="11" s="1"/>
  <c r="AY157" i="11"/>
  <c r="AY133" i="11"/>
  <c r="AY176" i="11"/>
  <c r="AX180" i="11"/>
  <c r="AY78" i="11"/>
  <c r="AY128" i="11"/>
  <c r="AY169" i="11"/>
  <c r="AQ199" i="11"/>
  <c r="AS38" i="11"/>
  <c r="AP182" i="11"/>
  <c r="AT38" i="11"/>
  <c r="AT47" i="11" s="1"/>
  <c r="AT73" i="11" s="1"/>
  <c r="AT74" i="11" s="1"/>
  <c r="AJ197" i="11"/>
  <c r="AJ203" i="11" s="1"/>
  <c r="AT78" i="11"/>
  <c r="AT180" i="11" s="1"/>
  <c r="AT182" i="11" s="1"/>
  <c r="AS180" i="11"/>
  <c r="K155" i="5"/>
  <c r="K161" i="5" s="1"/>
  <c r="K157" i="5"/>
  <c r="K160" i="5"/>
  <c r="AK47" i="11"/>
  <c r="AN38" i="11"/>
  <c r="AK182" i="11"/>
  <c r="AO73" i="11"/>
  <c r="AO74" i="11" s="1"/>
  <c r="AN180" i="11"/>
  <c r="AO78" i="11"/>
  <c r="AO180" i="11" s="1"/>
  <c r="AO182" i="11" s="1"/>
  <c r="AO197" i="11" s="1"/>
  <c r="AO225" i="11" s="1"/>
  <c r="G206" i="3"/>
  <c r="E9" i="17"/>
  <c r="E8" i="17" s="1"/>
  <c r="M118" i="17" s="1"/>
  <c r="G192" i="3"/>
  <c r="Q198" i="11"/>
  <c r="T198" i="11" s="1"/>
  <c r="J191" i="3"/>
  <c r="J192" i="3" s="1"/>
  <c r="AI197" i="11"/>
  <c r="AI73" i="11"/>
  <c r="AJ73" i="11"/>
  <c r="AJ74" i="11" s="1"/>
  <c r="Y225" i="11"/>
  <c r="Y229" i="11" s="1"/>
  <c r="Y203" i="11"/>
  <c r="AD73" i="11"/>
  <c r="AB198" i="11"/>
  <c r="AB225" i="11"/>
  <c r="AA182" i="11"/>
  <c r="AA197" i="11" s="1"/>
  <c r="AE180" i="11"/>
  <c r="AD182" i="11"/>
  <c r="W198" i="11"/>
  <c r="W199" i="11" s="1"/>
  <c r="L142" i="5"/>
  <c r="L143" i="5" s="1"/>
  <c r="W224" i="11"/>
  <c r="J142" i="5"/>
  <c r="J143" i="5" s="1"/>
  <c r="I143" i="5"/>
  <c r="I153" i="5"/>
  <c r="I31" i="5"/>
  <c r="Y199" i="11"/>
  <c r="Y227" i="11"/>
  <c r="Z197" i="11"/>
  <c r="Z73" i="11"/>
  <c r="Z74" i="11" s="1"/>
  <c r="J204" i="3"/>
  <c r="J208" i="3" s="1"/>
  <c r="J206" i="3"/>
  <c r="Q47" i="11"/>
  <c r="Q197" i="11" s="1"/>
  <c r="Q203" i="11" s="1"/>
  <c r="H206" i="3"/>
  <c r="H204" i="3"/>
  <c r="H208" i="3" s="1"/>
  <c r="U38" i="11"/>
  <c r="U47" i="11" s="1"/>
  <c r="U73" i="11" s="1"/>
  <c r="U74" i="11" s="1"/>
  <c r="T38" i="11"/>
  <c r="T180" i="11"/>
  <c r="U180" i="11"/>
  <c r="U182" i="11" s="1"/>
  <c r="J47" i="11"/>
  <c r="O47" i="11"/>
  <c r="B200" i="3"/>
  <c r="C28" i="30" l="1"/>
  <c r="BE180" i="11"/>
  <c r="BD225" i="11"/>
  <c r="BD229" i="11" s="1"/>
  <c r="AX182" i="11"/>
  <c r="BE182" i="11" s="1"/>
  <c r="AX47" i="11"/>
  <c r="AU197" i="11"/>
  <c r="AU233" i="11" s="1"/>
  <c r="AV199" i="11"/>
  <c r="AY180" i="11"/>
  <c r="AY182" i="11" s="1"/>
  <c r="AY197" i="11" s="1"/>
  <c r="AJ225" i="11"/>
  <c r="AJ229" i="11" s="1"/>
  <c r="AS47" i="11"/>
  <c r="AS182" i="11"/>
  <c r="AP197" i="11"/>
  <c r="AT197" i="11"/>
  <c r="AT225" i="11" s="1"/>
  <c r="AT229" i="11" s="1"/>
  <c r="AJ227" i="11"/>
  <c r="AN47" i="11"/>
  <c r="AK197" i="11"/>
  <c r="AK203" i="11" s="1"/>
  <c r="AK73" i="11"/>
  <c r="AN182" i="11"/>
  <c r="AO227" i="11"/>
  <c r="AO229" i="11"/>
  <c r="AO203" i="11"/>
  <c r="AI74" i="11"/>
  <c r="AI227" i="11"/>
  <c r="AI225" i="11"/>
  <c r="AI229" i="11" s="1"/>
  <c r="AI203" i="11"/>
  <c r="AI199" i="11"/>
  <c r="AA225" i="11"/>
  <c r="AA203" i="11"/>
  <c r="Z225" i="11"/>
  <c r="Z229" i="11" s="1"/>
  <c r="Z203" i="11"/>
  <c r="AD198" i="11"/>
  <c r="AD74" i="11"/>
  <c r="AD197" i="11"/>
  <c r="AJ198" i="11" s="1"/>
  <c r="AE182" i="11"/>
  <c r="AE197" i="11" s="1"/>
  <c r="I157" i="5"/>
  <c r="I155" i="5"/>
  <c r="I161" i="5" s="1"/>
  <c r="I160" i="5"/>
  <c r="Z227" i="11"/>
  <c r="Q73" i="11"/>
  <c r="T47" i="11"/>
  <c r="T182" i="11"/>
  <c r="U197" i="11"/>
  <c r="U203" i="11" s="1"/>
  <c r="Q199" i="11"/>
  <c r="Q225" i="11"/>
  <c r="BE47" i="11" l="1"/>
  <c r="AY225" i="11"/>
  <c r="AY229" i="11" s="1"/>
  <c r="AX73" i="11"/>
  <c r="AX197" i="11"/>
  <c r="AX198" i="11"/>
  <c r="AY227" i="11"/>
  <c r="AT227" i="11"/>
  <c r="AS197" i="11"/>
  <c r="AS73" i="11"/>
  <c r="AP199" i="11"/>
  <c r="AP203" i="11"/>
  <c r="AS198" i="11"/>
  <c r="AK225" i="11"/>
  <c r="AK231" i="11" s="1"/>
  <c r="AN198" i="11"/>
  <c r="AN197" i="11"/>
  <c r="AK74" i="11"/>
  <c r="AK199" i="11"/>
  <c r="AN73" i="11"/>
  <c r="AJ199" i="11"/>
  <c r="AE227" i="11"/>
  <c r="AE203" i="11"/>
  <c r="AD225" i="11"/>
  <c r="AD229" i="11" s="1"/>
  <c r="AD203" i="11"/>
  <c r="AE225" i="11"/>
  <c r="AE229" i="11" s="1"/>
  <c r="AD227" i="11"/>
  <c r="AE198" i="11"/>
  <c r="AE199" i="11" s="1"/>
  <c r="AD199" i="11"/>
  <c r="Q74" i="11"/>
  <c r="T73" i="11"/>
  <c r="T197" i="11"/>
  <c r="T203" i="11" s="1"/>
  <c r="U225" i="11"/>
  <c r="U229" i="11" s="1"/>
  <c r="U227" i="1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F25" i="2"/>
  <c r="G25" i="2" s="1"/>
  <c r="E25" i="2"/>
  <c r="E24" i="2"/>
  <c r="E23" i="2"/>
  <c r="E22" i="2"/>
  <c r="E21" i="2"/>
  <c r="E20" i="2"/>
  <c r="E19" i="2"/>
  <c r="E18" i="2"/>
  <c r="E17" i="2"/>
  <c r="E16" i="2"/>
  <c r="E14" i="2"/>
  <c r="E13" i="2"/>
  <c r="E12" i="2"/>
  <c r="E11" i="2"/>
  <c r="E10" i="2"/>
  <c r="E9" i="2"/>
  <c r="C44" i="2"/>
  <c r="C43" i="2"/>
  <c r="C15" i="2"/>
  <c r="C16" i="30" l="1"/>
  <c r="C24" i="30" s="1"/>
  <c r="BE73" i="11"/>
  <c r="AX199" i="11"/>
  <c r="BD198" i="11"/>
  <c r="BE197" i="11"/>
  <c r="AX225" i="11"/>
  <c r="AX227" i="11"/>
  <c r="AX74" i="11"/>
  <c r="AX232" i="11"/>
  <c r="AY198" i="11"/>
  <c r="AY199" i="11" s="1"/>
  <c r="AT198" i="11"/>
  <c r="AT199" i="11" s="1"/>
  <c r="AS74" i="11"/>
  <c r="AS227" i="11"/>
  <c r="AS225" i="11"/>
  <c r="AS199" i="11"/>
  <c r="AN74" i="11"/>
  <c r="AN225" i="11"/>
  <c r="AN227" i="11"/>
  <c r="AO198" i="11"/>
  <c r="AO199" i="11" s="1"/>
  <c r="AN203" i="11"/>
  <c r="AN199" i="11"/>
  <c r="Z198" i="11"/>
  <c r="Z199" i="11" s="1"/>
  <c r="T74" i="11"/>
  <c r="T225" i="11"/>
  <c r="T199" i="11"/>
  <c r="T227" i="11"/>
  <c r="F195" i="11"/>
  <c r="F19" i="11"/>
  <c r="F37" i="11"/>
  <c r="F180" i="11"/>
  <c r="F27" i="2"/>
  <c r="G27" i="2" s="1"/>
  <c r="F14" i="2"/>
  <c r="G14" i="2" s="1"/>
  <c r="F13" i="2"/>
  <c r="G13" i="2" s="1"/>
  <c r="F16" i="2"/>
  <c r="G16" i="2" s="1"/>
  <c r="F23" i="2"/>
  <c r="G23" i="2" s="1"/>
  <c r="F33" i="2"/>
  <c r="G33" i="2" s="1"/>
  <c r="F38" i="2"/>
  <c r="G38" i="2" s="1"/>
  <c r="F39" i="2"/>
  <c r="G39" i="2" s="1"/>
  <c r="F24" i="2"/>
  <c r="G24" i="2" s="1"/>
  <c r="F12" i="2"/>
  <c r="G12" i="2" s="1"/>
  <c r="F26" i="2"/>
  <c r="G26" i="2" s="1"/>
  <c r="F34" i="2"/>
  <c r="G34" i="2" s="1"/>
  <c r="F18" i="2"/>
  <c r="G18" i="2" s="1"/>
  <c r="F9" i="2"/>
  <c r="G9" i="2" s="1"/>
  <c r="F20" i="2"/>
  <c r="G20" i="2" s="1"/>
  <c r="F30" i="2"/>
  <c r="G30" i="2" s="1"/>
  <c r="F40" i="2"/>
  <c r="G40" i="2" s="1"/>
  <c r="F37" i="2"/>
  <c r="G37" i="2" s="1"/>
  <c r="F35" i="2"/>
  <c r="G35" i="2" s="1"/>
  <c r="F36" i="2"/>
  <c r="G36" i="2" s="1"/>
  <c r="F28" i="2"/>
  <c r="G28" i="2" s="1"/>
  <c r="F10" i="2"/>
  <c r="G10" i="2" s="1"/>
  <c r="F21" i="2"/>
  <c r="G21" i="2" s="1"/>
  <c r="F31" i="2"/>
  <c r="G31" i="2" s="1"/>
  <c r="F41" i="2"/>
  <c r="G41" i="2" s="1"/>
  <c r="F19" i="2"/>
  <c r="G19" i="2" s="1"/>
  <c r="F17" i="2"/>
  <c r="G17" i="2" s="1"/>
  <c r="F29" i="2"/>
  <c r="G29" i="2" s="1"/>
  <c r="F11" i="2"/>
  <c r="G11" i="2" s="1"/>
  <c r="F22" i="2"/>
  <c r="G22" i="2" s="1"/>
  <c r="F32" i="2"/>
  <c r="G32" i="2" s="1"/>
  <c r="F42" i="2"/>
  <c r="G42" i="2" s="1"/>
  <c r="C29" i="30" l="1"/>
  <c r="C35" i="30" s="1"/>
  <c r="C38" i="30" s="1"/>
  <c r="C18" i="30"/>
  <c r="AX229" i="11"/>
  <c r="AS229" i="11"/>
  <c r="AN229" i="11"/>
  <c r="T229" i="11"/>
  <c r="F38" i="11"/>
  <c r="C12" i="1"/>
  <c r="F47" i="11" l="1"/>
  <c r="O223" i="11" l="1"/>
  <c r="P223" i="11" s="1"/>
  <c r="T223" i="11" s="1"/>
  <c r="U223" i="11" s="1"/>
  <c r="Y223" i="11" s="1"/>
  <c r="Z223" i="11" s="1"/>
  <c r="AD223" i="11" s="1"/>
  <c r="AE223" i="11" s="1"/>
  <c r="AI223" i="11" s="1"/>
  <c r="AJ223" i="11" s="1"/>
  <c r="AN223" i="11" s="1"/>
  <c r="AO223" i="11" s="1"/>
  <c r="AS223" i="11" s="1"/>
  <c r="AT223" i="11" s="1"/>
  <c r="AX223" i="11" s="1"/>
  <c r="AY223" i="11" s="1"/>
  <c r="BC223" i="11" s="1"/>
  <c r="BD223" i="11" s="1"/>
  <c r="E72" i="3"/>
  <c r="E178" i="3"/>
  <c r="E73" i="3" l="1"/>
  <c r="E190" i="3"/>
  <c r="L201" i="11" s="1"/>
  <c r="E202" i="3" l="1"/>
  <c r="H191" i="3"/>
  <c r="H192" i="3" s="1"/>
  <c r="F72" i="3"/>
  <c r="F73" i="3" s="1"/>
  <c r="F178" i="3"/>
  <c r="F190" i="3" s="1"/>
  <c r="E204" i="3" l="1"/>
  <c r="E208" i="3" s="1"/>
  <c r="E206" i="3"/>
  <c r="F202" i="3"/>
  <c r="F204" i="3" s="1"/>
  <c r="F208" i="3" s="1"/>
  <c r="B72" i="3"/>
  <c r="B73" i="3" s="1"/>
  <c r="D72" i="3"/>
  <c r="D73" i="3" s="1"/>
  <c r="D178" i="3"/>
  <c r="D190" i="3" s="1"/>
  <c r="C72" i="3"/>
  <c r="C178" i="3"/>
  <c r="C190" i="3" s="1"/>
  <c r="B178" i="3"/>
  <c r="B190" i="3" s="1"/>
  <c r="F206" i="3" l="1"/>
  <c r="D202" i="3"/>
  <c r="D206" i="3" s="1"/>
  <c r="B202" i="3"/>
  <c r="D191" i="3"/>
  <c r="C202" i="3"/>
  <c r="F191" i="3"/>
  <c r="G232" i="11"/>
  <c r="C73" i="3"/>
  <c r="D204" i="3" l="1"/>
  <c r="D208" i="3" s="1"/>
  <c r="B206" i="3"/>
  <c r="B204" i="3"/>
  <c r="B208" i="3" s="1"/>
  <c r="C204" i="3"/>
  <c r="C208" i="3" s="1"/>
  <c r="C206" i="3"/>
  <c r="E30" i="5"/>
  <c r="E31" i="5" s="1"/>
  <c r="E131" i="5"/>
  <c r="E141" i="5" s="1"/>
  <c r="F30" i="5"/>
  <c r="F31" i="5" s="1"/>
  <c r="D30" i="5"/>
  <c r="D31" i="5" s="1"/>
  <c r="B30" i="5"/>
  <c r="B31" i="5" s="1"/>
  <c r="F131" i="5"/>
  <c r="F141" i="5" s="1"/>
  <c r="F153" i="5" s="1"/>
  <c r="B131" i="5"/>
  <c r="B141" i="5" s="1"/>
  <c r="C30" i="5"/>
  <c r="C131" i="5"/>
  <c r="C141" i="5" s="1"/>
  <c r="D131" i="5"/>
  <c r="D141" i="5" s="1"/>
  <c r="D153" i="5" s="1"/>
  <c r="H142" i="5" l="1"/>
  <c r="H143" i="5" s="1"/>
  <c r="E153" i="5"/>
  <c r="E160" i="5" s="1"/>
  <c r="F157" i="5"/>
  <c r="F155" i="5"/>
  <c r="F161" i="5" s="1"/>
  <c r="F160" i="5"/>
  <c r="B153" i="5"/>
  <c r="D160" i="5"/>
  <c r="D155" i="5"/>
  <c r="D161" i="5" s="1"/>
  <c r="D157" i="5"/>
  <c r="AL198" i="11"/>
  <c r="AL199" i="11" s="1"/>
  <c r="C31" i="5"/>
  <c r="F142" i="5"/>
  <c r="F143" i="5" s="1"/>
  <c r="M201" i="11"/>
  <c r="C153" i="5"/>
  <c r="H232" i="11"/>
  <c r="K232" i="11" s="1"/>
  <c r="P232" i="11" s="1"/>
  <c r="U232" i="11" s="1"/>
  <c r="Z232" i="11" s="1"/>
  <c r="Z233" i="11" l="1"/>
  <c r="AE232" i="11"/>
  <c r="E155" i="5"/>
  <c r="E161" i="5" s="1"/>
  <c r="E157" i="5"/>
  <c r="C160" i="5"/>
  <c r="C157" i="5"/>
  <c r="C155" i="5"/>
  <c r="C161" i="5" s="1"/>
  <c r="B155" i="5"/>
  <c r="B161" i="5" s="1"/>
  <c r="B160" i="5"/>
  <c r="B157" i="5"/>
  <c r="L73" i="11"/>
  <c r="L74" i="11" s="1"/>
  <c r="L182" i="11"/>
  <c r="L197" i="11" s="1"/>
  <c r="AE233" i="11" l="1"/>
  <c r="AJ232" i="11"/>
  <c r="L199" i="11"/>
  <c r="L203" i="11"/>
  <c r="M182" i="11"/>
  <c r="M197" i="11" s="1"/>
  <c r="M73" i="11"/>
  <c r="M74" i="11" s="1"/>
  <c r="AJ233" i="11" l="1"/>
  <c r="AO232" i="11"/>
  <c r="M199" i="11"/>
  <c r="M203" i="11"/>
  <c r="O182" i="11"/>
  <c r="O73" i="11"/>
  <c r="AO233" i="11" l="1"/>
  <c r="AT232" i="11"/>
  <c r="O197" i="11"/>
  <c r="O203" i="11" s="1"/>
  <c r="O74" i="11"/>
  <c r="P73" i="11"/>
  <c r="P74" i="11" s="1"/>
  <c r="P182" i="11"/>
  <c r="P197" i="11" s="1"/>
  <c r="P203" i="11" s="1"/>
  <c r="AT233" i="11" l="1"/>
  <c r="O227" i="11"/>
  <c r="O199" i="11"/>
  <c r="O225" i="11"/>
  <c r="O229" i="11" s="1"/>
  <c r="U233" i="11"/>
  <c r="U198" i="11"/>
  <c r="U199" i="11" s="1"/>
  <c r="P199" i="11"/>
  <c r="P227" i="11"/>
  <c r="P225" i="11"/>
  <c r="P229" i="11" s="1"/>
  <c r="J182" i="11" l="1"/>
  <c r="J197" i="11" s="1"/>
  <c r="J203" i="11" s="1"/>
  <c r="J73" i="11"/>
  <c r="J74" i="11" l="1"/>
  <c r="P233" i="11"/>
  <c r="J227" i="11"/>
  <c r="J225" i="11"/>
  <c r="J229" i="11" s="1"/>
  <c r="F73" i="11"/>
  <c r="F74" i="11" s="1"/>
  <c r="F182" i="11"/>
  <c r="F197" i="11" s="1"/>
  <c r="F203" i="11" s="1"/>
  <c r="F227" i="11" l="1"/>
  <c r="F225" i="11"/>
  <c r="F229" i="11" s="1"/>
  <c r="F199" i="11"/>
  <c r="K73" i="11"/>
  <c r="K74" i="11" s="1"/>
  <c r="K182" i="11"/>
  <c r="K197" i="11" s="1"/>
  <c r="K203" i="11" s="1"/>
  <c r="K225" i="11" l="1"/>
  <c r="K229" i="11" s="1"/>
  <c r="K233" i="11"/>
  <c r="K199" i="11"/>
  <c r="K227" i="11"/>
  <c r="C73" i="11"/>
  <c r="C74" i="11" s="1"/>
  <c r="C182" i="11"/>
  <c r="C197" i="11" s="1"/>
  <c r="C203" i="11" s="1"/>
  <c r="C227" i="11" l="1"/>
  <c r="C223" i="11"/>
  <c r="C225" i="11"/>
  <c r="C229" i="11" s="1"/>
  <c r="G73" i="11"/>
  <c r="G74" i="11" s="1"/>
  <c r="G182" i="11"/>
  <c r="G197" i="11" l="1"/>
  <c r="G234" i="11" l="1"/>
  <c r="G227" i="11"/>
  <c r="G203" i="11"/>
  <c r="G225" i="11"/>
  <c r="G229" i="11" l="1"/>
  <c r="H73" i="11"/>
  <c r="H182" i="11"/>
  <c r="H197" i="11" s="1"/>
  <c r="H225" i="11" l="1"/>
  <c r="H203" i="11"/>
  <c r="H234" i="11"/>
  <c r="H227" i="11"/>
  <c r="I182" i="11"/>
  <c r="I197" i="11" l="1"/>
  <c r="I203" i="11" l="1"/>
  <c r="B223" i="11" l="1"/>
  <c r="B203" i="11"/>
  <c r="B227" i="11"/>
  <c r="B225" i="11"/>
  <c r="D182" i="11"/>
  <c r="D197" i="11" s="1"/>
  <c r="D73" i="11"/>
  <c r="D227" i="11" l="1"/>
  <c r="D223" i="11"/>
  <c r="D225" i="11"/>
  <c r="D203" i="11"/>
  <c r="B182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<sst xmlns="http://schemas.openxmlformats.org/spreadsheetml/2006/main" count="3746" uniqueCount="475">
  <si>
    <t>Technocraft Textiles Limited</t>
  </si>
  <si>
    <t>Amount in ₹</t>
  </si>
  <si>
    <t>PARTICULARS</t>
  </si>
  <si>
    <t>INCOME</t>
  </si>
  <si>
    <t>SALES</t>
  </si>
  <si>
    <t>SALE LOCAL - (GREY YARN)</t>
  </si>
  <si>
    <t>SALE COTTON WASTE</t>
  </si>
  <si>
    <t>SALE EXPORT -WASTE (COMBED  NOIL)</t>
  </si>
  <si>
    <t>SALE EXPORT - (GREY YARN)</t>
  </si>
  <si>
    <t>GROSS SALES</t>
  </si>
  <si>
    <t>EXPENSES RELATED TO SALES</t>
  </si>
  <si>
    <t>DELIVERY CHARGES  ON SALE -GARMENT</t>
  </si>
  <si>
    <t>DELIVERY CHARGES ON SALES</t>
  </si>
  <si>
    <t>DOCUMENTATION CHARGES</t>
  </si>
  <si>
    <t>FREIGHT ON EXPORT</t>
  </si>
  <si>
    <t>TERMINAL HANDLING CHARGES</t>
  </si>
  <si>
    <t>CLEARING CHARGES ON EXPORT</t>
  </si>
  <si>
    <t>DETENTION CHARGES ON EXPORT</t>
  </si>
  <si>
    <t>INSURANCE FOR EXPORT</t>
  </si>
  <si>
    <t>DETENTION CHARGES ON TRANSPORT</t>
  </si>
  <si>
    <t>EXPORT EXPENSES</t>
  </si>
  <si>
    <t>PACKING EXPENSES</t>
  </si>
  <si>
    <t>BUSINESS SUPPORT SERVICES</t>
  </si>
  <si>
    <t>COMMISSION/BROKERAGE</t>
  </si>
  <si>
    <t>TOTAL EXPENSES RELATED TO SALES</t>
  </si>
  <si>
    <t>NET SALES</t>
  </si>
  <si>
    <t>OTHER OPERATING INCOME</t>
  </si>
  <si>
    <t>DEPB License -Accural Basis</t>
  </si>
  <si>
    <t>DEPB LICENCE SALE</t>
  </si>
  <si>
    <t>DEPB LICENCE SALE-receipts</t>
  </si>
  <si>
    <t>DUTY DRAWBACK RECEIVED</t>
  </si>
  <si>
    <t>TOTAL OTHER OPERATING INCOME</t>
  </si>
  <si>
    <t>REVENUE FROM OPERATION</t>
  </si>
  <si>
    <t>EXPENSES</t>
  </si>
  <si>
    <t>COST OF GOODS SOLD</t>
  </si>
  <si>
    <t>OPENING STOCK</t>
  </si>
  <si>
    <t>PURCHASE COTTON LOCAL</t>
  </si>
  <si>
    <t>PURCHASE COTTON IMPORT</t>
  </si>
  <si>
    <t>PURCHASE YARN - LOCAL</t>
  </si>
  <si>
    <t>DELIVERY CHARGES ON PURCHASES</t>
  </si>
  <si>
    <t>PURCHASE STORES &amp; SPARES</t>
  </si>
  <si>
    <t>PURCHASE STORES &amp; SPARES - IMPORT</t>
  </si>
  <si>
    <t>PURCHASE PACKING MATERIAL (GARMENT)</t>
  </si>
  <si>
    <t>PURCHASE PACKING MATERIAL</t>
  </si>
  <si>
    <t>CUSTOM DUTY ON IMPORT</t>
  </si>
  <si>
    <t>WATER CHARGES</t>
  </si>
  <si>
    <t>POWER</t>
  </si>
  <si>
    <t>ELECTRICAL ITEMS</t>
  </si>
  <si>
    <t>FUEL &amp; OIL</t>
  </si>
  <si>
    <t>CLOSING STOCK</t>
  </si>
  <si>
    <t>TOTAL COST OF GOODS SOLD</t>
  </si>
  <si>
    <t>CONTRIBUTION / GROSS PROFIT</t>
  </si>
  <si>
    <t>CONTRIBUTION / GROSS PROFIT (% of Revenue)</t>
  </si>
  <si>
    <t>FIXED EXPENSES</t>
  </si>
  <si>
    <t>PRINTING &amp; STATIONERY</t>
  </si>
  <si>
    <t>INSPECTION/TESTING</t>
  </si>
  <si>
    <t>MACHINE REPAIR</t>
  </si>
  <si>
    <t>KASAR KHATE</t>
  </si>
  <si>
    <t>ELECTRICITY CHARGES</t>
  </si>
  <si>
    <t>MAN POWER SUPPLY CHARGES</t>
  </si>
  <si>
    <t>CRANE HIRE CHARGES</t>
  </si>
  <si>
    <t>CONSULTANCY CHARGES</t>
  </si>
  <si>
    <t>POLLUTION CONTROL EXPENSES</t>
  </si>
  <si>
    <t>ASSOCIATION MEMBERSHIP FEES</t>
  </si>
  <si>
    <t>FILING FEES</t>
  </si>
  <si>
    <t>PROFESSIONAL TAX</t>
  </si>
  <si>
    <t>D.G. SET HIRE CHARGES</t>
  </si>
  <si>
    <t>INSURANCE (GENERAL)</t>
  </si>
  <si>
    <t>MISC EXPENSES</t>
  </si>
  <si>
    <t>COOLIE &amp; CARTAGE ON PURCHASE</t>
  </si>
  <si>
    <t>FACTORY LICENCE FEES</t>
  </si>
  <si>
    <t>FACTORY cleaning charges</t>
  </si>
  <si>
    <t>CONVEYANCE ALLOWANCE</t>
  </si>
  <si>
    <t>EDUCATION ALLOWANCE</t>
  </si>
  <si>
    <t>HOUSE RENT ALLOWANCE</t>
  </si>
  <si>
    <t>SPECIAL ALLOWANCE</t>
  </si>
  <si>
    <t>LEAVE TRAVELLING ALLOWANCE</t>
  </si>
  <si>
    <t>MEDICAL ALLOWANCE</t>
  </si>
  <si>
    <t>NEWSPAPER &amp; PERIODICAL ALLOWANCE</t>
  </si>
  <si>
    <t>BONUS</t>
  </si>
  <si>
    <t>LEAVE SALARY</t>
  </si>
  <si>
    <t>SALARY &amp; WAGES</t>
  </si>
  <si>
    <t>COMPANY SHARE OF PF</t>
  </si>
  <si>
    <t>COMPANY SHARE OF E.S.I.C ACCOUNT</t>
  </si>
  <si>
    <t>E.S.I.C</t>
  </si>
  <si>
    <t>EMPLOYEE SHARE OF E.S.I.C ACCOUNT</t>
  </si>
  <si>
    <t>EMPLOYEE SHARE OF PF ACCOUNT</t>
  </si>
  <si>
    <t>M.L.W.FUND</t>
  </si>
  <si>
    <t>P.F. ADMINISTRATION CHARGES</t>
  </si>
  <si>
    <t>STAFF/WORKER WELFARE</t>
  </si>
  <si>
    <t>REPAIRS &amp; MAINTENANCE</t>
  </si>
  <si>
    <t>PROFESSIONAL FEES</t>
  </si>
  <si>
    <t>LICENCE &amp; LEGAL FEES</t>
  </si>
  <si>
    <t>GUARANTEE FEE</t>
  </si>
  <si>
    <t>BANK GUARANTEE CHARGES</t>
  </si>
  <si>
    <t>TRAVELLING EXPENSES</t>
  </si>
  <si>
    <t>GARDEN EXPENSES</t>
  </si>
  <si>
    <t>COMPUTER EXPENSES PAID</t>
  </si>
  <si>
    <t>STIPEND</t>
  </si>
  <si>
    <t>DIWALI GIFT</t>
  </si>
  <si>
    <t>LABORATORY EXPENSES</t>
  </si>
  <si>
    <t>E-MAIL (INTERNET) EXPENSES</t>
  </si>
  <si>
    <t>SECURITY CHARGES</t>
  </si>
  <si>
    <t>TELEPHONE EXPENSES</t>
  </si>
  <si>
    <t>MEMBERSHIP &amp; SUBSCRIPTION FEES</t>
  </si>
  <si>
    <t>GUEST HOUSE EXPENSES</t>
  </si>
  <si>
    <t>L/C CHARGES</t>
  </si>
  <si>
    <t>INTEREST ON TERM LOAN</t>
  </si>
  <si>
    <t>INTEREST TO BANK</t>
  </si>
  <si>
    <t>BANK CHARGES</t>
  </si>
  <si>
    <t>BANK PROCESSING CHARGES</t>
  </si>
  <si>
    <t>PAYMENT TO AUDITORS</t>
  </si>
  <si>
    <t>CASH DISCOUNT PAID</t>
  </si>
  <si>
    <t>RENT PAID</t>
  </si>
  <si>
    <t>INTEREST TO OTHERS</t>
  </si>
  <si>
    <t>DEPRECIATION</t>
  </si>
  <si>
    <t>TOTAL FIXED EXPENSES</t>
  </si>
  <si>
    <t xml:space="preserve">Total Expenses </t>
  </si>
  <si>
    <t>NON OPERATING INCOME</t>
  </si>
  <si>
    <t>DISCOUNT RECEIVED</t>
  </si>
  <si>
    <t>DIFF.IN FOREIGN CURR.</t>
  </si>
  <si>
    <t>INSURANCE CLAIM RECEIVED</t>
  </si>
  <si>
    <t>INTEREST ON INCOME TAX REFUND</t>
  </si>
  <si>
    <t>SUNDRY BALANCES WRITTEN OFF</t>
  </si>
  <si>
    <t>SUNDRY CREDITORS WRITTEN BACK</t>
  </si>
  <si>
    <t>INTEREST RECEIVED FROM BANK</t>
  </si>
  <si>
    <t>TOTAL NON OPERATING INCOME</t>
  </si>
  <si>
    <t>PROFIT/(LOSS) AS PER BOOKS</t>
  </si>
  <si>
    <t xml:space="preserve">Add Expenses transferred From Technocraft </t>
  </si>
  <si>
    <t xml:space="preserve">Head office Salary </t>
  </si>
  <si>
    <t xml:space="preserve">Consultancy </t>
  </si>
  <si>
    <t>Conveyance Reimbursement</t>
  </si>
  <si>
    <t>Director Remuneration</t>
  </si>
  <si>
    <t>Sales Promotion</t>
  </si>
  <si>
    <t>Foreign Travelling</t>
  </si>
  <si>
    <t xml:space="preserve">Insurance General </t>
  </si>
  <si>
    <t xml:space="preserve">Total Expenses Transferred </t>
  </si>
  <si>
    <t xml:space="preserve">Revised Profit &amp; Loss </t>
  </si>
  <si>
    <t xml:space="preserve">EBIDTA </t>
  </si>
  <si>
    <t xml:space="preserve">Cash Profit </t>
  </si>
  <si>
    <t xml:space="preserve">EBIDTA as % of Revenue from Operations </t>
  </si>
  <si>
    <t>_x000F__x000E_</t>
  </si>
  <si>
    <t>TECHNOCRAFT TEXTILES LIMITED</t>
  </si>
  <si>
    <t>_x0012_</t>
  </si>
  <si>
    <t>______________</t>
  </si>
  <si>
    <t>____________________________</t>
  </si>
  <si>
    <t>Account</t>
  </si>
  <si>
    <t>=====Closing</t>
  </si>
  <si>
    <t>Balance=====</t>
  </si>
  <si>
    <t>Code</t>
  </si>
  <si>
    <t>Name</t>
  </si>
  <si>
    <t>Debit Amt.</t>
  </si>
  <si>
    <t>Credit Amt.</t>
  </si>
  <si>
    <t>FACTORY CLEANING CHARGES</t>
  </si>
  <si>
    <t>--------------</t>
  </si>
  <si>
    <t>-------------------------</t>
  </si>
  <si>
    <t>Printed</t>
  </si>
  <si>
    <t>_x000C_</t>
  </si>
  <si>
    <t>Profit &amp; Loss for the Period ended April,2025</t>
  </si>
  <si>
    <t>April,2025</t>
  </si>
  <si>
    <t>Profit &amp; Loss Period 01-04-2025</t>
  </si>
  <si>
    <t>To 01-05-2025</t>
  </si>
  <si>
    <t>_______</t>
  </si>
  <si>
    <t>__________________________________</t>
  </si>
  <si>
    <t>NCOME</t>
  </si>
  <si>
    <t>Total I</t>
  </si>
  <si>
    <t>Date and Time :14-05-2025 18:32:2</t>
  </si>
  <si>
    <t>Total E</t>
  </si>
  <si>
    <t>XPENSE</t>
  </si>
  <si>
    <t>&lt;------</t>
  </si>
  <si>
    <t>--------Difference--------&gt; 588569</t>
  </si>
  <si>
    <t>-------</t>
  </si>
  <si>
    <t>----------------------------------</t>
  </si>
  <si>
    <t>Page No: 2</t>
  </si>
  <si>
    <t>Total Income</t>
  </si>
  <si>
    <t>TECHNOCRAFT FASHIONS LIMITED-AMRAVATI DIVISION</t>
  </si>
  <si>
    <t>SALE EXPORT (GARMENT))</t>
  </si>
  <si>
    <t>SALE LOCAL (GARMENT)</t>
  </si>
  <si>
    <t>SALE LOCAL</t>
  </si>
  <si>
    <t>SALE TRADING - LOCAL - FABRIC</t>
  </si>
  <si>
    <t>FREIGHT ON EXPORT - (AIR)</t>
  </si>
  <si>
    <t>SALE SCRAP</t>
  </si>
  <si>
    <t>SALE FABRIC WASTE</t>
  </si>
  <si>
    <t>Rodtep Licence as per Receipt basis</t>
  </si>
  <si>
    <t>Rodtep Licence as per Accrual basis</t>
  </si>
  <si>
    <t>REVENUE FROM OPERATIONS</t>
  </si>
  <si>
    <t>PURCHASE FABRICS &amp; HOSIERY LOCAL</t>
  </si>
  <si>
    <t>DELIVERY CHARGES - PURCHASE- FABRIC</t>
  </si>
  <si>
    <t>DELIVERY CHARGES - PURCHASE-GARMENT</t>
  </si>
  <si>
    <t>PUR. THREAD &amp; TRIM ITEMS</t>
  </si>
  <si>
    <t>PUR. THREAD &amp; TRIM ITEMS- IMPORT</t>
  </si>
  <si>
    <t>PURCHASE PACKING MATERIAL-(IMPORT)</t>
  </si>
  <si>
    <t>PURCHASE STORES &amp; SPARES (GARMENT)</t>
  </si>
  <si>
    <t>PURCHASE STORE &amp; SPARES (FABRIC)</t>
  </si>
  <si>
    <t>PURCHASE - INTER UNIT TRANSACTION</t>
  </si>
  <si>
    <t>PURCHASE (JOB WORK) - INTER UNIT</t>
  </si>
  <si>
    <t>ADVERTISEMENT EXPENSE</t>
  </si>
  <si>
    <t>COOLIE &amp; CARTAGE -PURCHASE -GARMENT</t>
  </si>
  <si>
    <t>CLEARING CHARGES ON IMPORT</t>
  </si>
  <si>
    <t>JOB WORK</t>
  </si>
  <si>
    <t>ELECTRICAL ITEM - GARMENT</t>
  </si>
  <si>
    <t>LABOUR CHARGES</t>
  </si>
  <si>
    <t>JEEP HIRE EXPENSES</t>
  </si>
  <si>
    <t>EXHIBITION/SEMINAR PARTICIPATON EXP</t>
  </si>
  <si>
    <t>REGISTRATION FEES</t>
  </si>
  <si>
    <t>CONVEYANCE RE-IMBURSEMENT</t>
  </si>
  <si>
    <t>GST EXPENSES-NOT CLAIMABLE-REVENUE</t>
  </si>
  <si>
    <t>POSTAGE &amp; TELEGRAM</t>
  </si>
  <si>
    <t>CERTIFICATION CHARGES</t>
  </si>
  <si>
    <t>PATENT REGISTRATION EXPENSES</t>
  </si>
  <si>
    <t>SHIFT ALLOWANCE</t>
  </si>
  <si>
    <t>TELEPHONE ALLOWANCE</t>
  </si>
  <si>
    <t>PERFORMANCE BONUS</t>
  </si>
  <si>
    <t>RECRUITMENT EXPENSES</t>
  </si>
  <si>
    <t xml:space="preserve">GRATUITY </t>
  </si>
  <si>
    <t>SALARY &amp; WAGES (OVER TIME)</t>
  </si>
  <si>
    <t>ATTENDENCE BONUS</t>
  </si>
  <si>
    <t>PRODUCTION INCENTIVE</t>
  </si>
  <si>
    <t>NOTICE PAY</t>
  </si>
  <si>
    <t>PROVIDENT FUND ( ARREARS)</t>
  </si>
  <si>
    <t>STAFF/WORKER MEDICAL</t>
  </si>
  <si>
    <t>STAFF/WORKERS INSURANCE</t>
  </si>
  <si>
    <t>SOFTWARE CHARGES PAID</t>
  </si>
  <si>
    <t>SOFTWARE RENEWAL CHARGES PAID</t>
  </si>
  <si>
    <t>HYUNDAI VENUE CAR (MH02FN9024) -EXP</t>
  </si>
  <si>
    <t>OFFICE MAINTENANCE</t>
  </si>
  <si>
    <t>NAPS A/C</t>
  </si>
  <si>
    <t>ONE DAY SALARY DEDUCTION</t>
  </si>
  <si>
    <t>POOJA EXPENSES</t>
  </si>
  <si>
    <t>TECHNICAL TRAINING EXPENSES PAID</t>
  </si>
  <si>
    <t>MOTOR CAR EXP (RAJESH NAIK DRIVER)</t>
  </si>
  <si>
    <t>SALES PROMOTION</t>
  </si>
  <si>
    <t xml:space="preserve">AUDIT FEES </t>
  </si>
  <si>
    <t>ENGINEERING &amp; DESIGN CHARGES PAID.</t>
  </si>
  <si>
    <t>FOREIGN TRAVELLING</t>
  </si>
  <si>
    <t>INCENTIVE PAYMENT</t>
  </si>
  <si>
    <t>INTEREST TO OTHER (HO)</t>
  </si>
  <si>
    <t>EXCESS PROVISION WRITTEN BACK</t>
  </si>
  <si>
    <t>Revised Profit &amp; Loss before tax</t>
  </si>
  <si>
    <t>TECHNOCRAFT FASHIONS LTD</t>
  </si>
  <si>
    <t>AMRAVATI DIVISION</t>
  </si>
  <si>
    <t>____________</t>
  </si>
  <si>
    <t>------------</t>
  </si>
  <si>
    <t>April, 25</t>
  </si>
  <si>
    <t>Profit &amp; Loss Period 01-04-2025 T</t>
  </si>
  <si>
    <t>o 01-05-2025</t>
  </si>
  <si>
    <t>____________________________________</t>
  </si>
  <si>
    <t>SALE LOCAL - MISCELLANEOUS ITEMS</t>
  </si>
  <si>
    <t>--------Difference--------&gt; 11711065</t>
  </si>
  <si>
    <t>------------------------------------</t>
  </si>
  <si>
    <t>-----------</t>
  </si>
  <si>
    <t>Date and Time :14-05-2025 18:31:44</t>
  </si>
  <si>
    <t>Pa</t>
  </si>
  <si>
    <t>ge No: 3</t>
  </si>
  <si>
    <t>BETUL (MP) DIVISION</t>
  </si>
  <si>
    <t>_____________</t>
  </si>
  <si>
    <t>_______________</t>
  </si>
  <si>
    <t>SALES (LABOUR JOB) - INTER UNIT</t>
  </si>
  <si>
    <t>--------Difference--------&gt; -1189674</t>
  </si>
  <si>
    <t>-------------</t>
  </si>
  <si>
    <t>Date and Time :14-05-2025 18:32:07</t>
  </si>
  <si>
    <t>P</t>
  </si>
  <si>
    <t>age No: 1</t>
  </si>
  <si>
    <t>Total Expenses</t>
  </si>
  <si>
    <t>April,2025-Textile</t>
  </si>
  <si>
    <t xml:space="preserve">TECHNOCRAFT FASHIONS LIMITED-BETUL </t>
  </si>
  <si>
    <t xml:space="preserve">Amravati </t>
  </si>
  <si>
    <t xml:space="preserve">Betul </t>
  </si>
  <si>
    <t xml:space="preserve">Cash Profit  / (Loss) </t>
  </si>
  <si>
    <t xml:space="preserve"> Technocraft Fashions Limited </t>
  </si>
  <si>
    <t xml:space="preserve">Inter Unit </t>
  </si>
  <si>
    <t>o 01-06-2025</t>
  </si>
  <si>
    <t>______</t>
  </si>
  <si>
    <t>_____________________________________</t>
  </si>
  <si>
    <t>Accoun</t>
  </si>
  <si>
    <t>t Account</t>
  </si>
  <si>
    <t>MISCELLNOUS RECEIPT</t>
  </si>
  <si>
    <t>Total</t>
  </si>
  <si>
    <t>PURCHASE FOR TRADING - GARMENT</t>
  </si>
  <si>
    <t>EXPENSE</t>
  </si>
  <si>
    <t>&lt;-----</t>
  </si>
  <si>
    <t>---------Difference--------&gt;  4498466</t>
  </si>
  <si>
    <t>------</t>
  </si>
  <si>
    <t>-------------------------------------</t>
  </si>
  <si>
    <t>Printe</t>
  </si>
  <si>
    <t>d Date and Time :17-06-2025 12:26:59</t>
  </si>
  <si>
    <t>Page No: 3</t>
  </si>
  <si>
    <t>Upto May, 25</t>
  </si>
  <si>
    <t>For May, 25</t>
  </si>
  <si>
    <t>To 01-06-2025</t>
  </si>
  <si>
    <t>___________________________________</t>
  </si>
  <si>
    <t>FINANCI</t>
  </si>
  <si>
    <t>Date and Time :17-06-2025 12:27:35</t>
  </si>
  <si>
    <t>--------Difference--------&gt; -319761</t>
  </si>
  <si>
    <t>-----------------------------------</t>
  </si>
  <si>
    <t>April,25</t>
  </si>
  <si>
    <t>Upto May,2025</t>
  </si>
  <si>
    <t>For April,2025</t>
  </si>
  <si>
    <t>For May,2025</t>
  </si>
  <si>
    <t>FREIGHT &amp; OTHER CAHRGES ON EXPORT</t>
  </si>
  <si>
    <t>REIMBURSEMENT OF FREIGHT ON EXPORT</t>
  </si>
  <si>
    <t>Upto June, 25</t>
  </si>
  <si>
    <t>For June, 25</t>
  </si>
  <si>
    <t>o 01-07-2025</t>
  </si>
  <si>
    <t>________________</t>
  </si>
  <si>
    <t>OP.STOCK OF PACKING MATERIAL</t>
  </si>
  <si>
    <t>OP.STOCK OF STORES &amp; SPARES</t>
  </si>
  <si>
    <t>OP.STOCK OF FINISHED GOODS</t>
  </si>
  <si>
    <t>OP.STOCK OF RAW MATERIAL</t>
  </si>
  <si>
    <t>OP. STOCK OF WORK IN PROGRESS</t>
  </si>
  <si>
    <t>OP.STOCK OF FABRIC WASTE</t>
  </si>
  <si>
    <t>MOTOR CAR EXPENSES</t>
  </si>
  <si>
    <t>---------Difference--------&gt; -1953191</t>
  </si>
  <si>
    <t>d Date and Time :11-07-2025 11:10:56</t>
  </si>
  <si>
    <t>Page</t>
  </si>
  <si>
    <t>No: 4</t>
  </si>
  <si>
    <t>Profit &amp; Loss Period 01-04-2025 To</t>
  </si>
  <si>
    <t>________</t>
  </si>
  <si>
    <t>___________</t>
  </si>
  <si>
    <t>Account                            =</t>
  </si>
  <si>
    <t>====Closing</t>
  </si>
  <si>
    <t>Name                               D</t>
  </si>
  <si>
    <t>ebit Amt.</t>
  </si>
  <si>
    <t>Total IN</t>
  </si>
  <si>
    <t>COME</t>
  </si>
  <si>
    <t>Total EX</t>
  </si>
  <si>
    <t>PENSE</t>
  </si>
  <si>
    <t>&lt;-------</t>
  </si>
  <si>
    <t>-------Difference--------&gt; -3906111.</t>
  </si>
  <si>
    <t>--------</t>
  </si>
  <si>
    <t>----------</t>
  </si>
  <si>
    <t>Date and Time :11-07-2025 11:17:24</t>
  </si>
  <si>
    <t>age No: 2</t>
  </si>
  <si>
    <t>June,25</t>
  </si>
  <si>
    <t>Amravati</t>
  </si>
  <si>
    <t>Betul</t>
  </si>
  <si>
    <t>Upto June,2025</t>
  </si>
  <si>
    <t>For June,2025</t>
  </si>
  <si>
    <t>Interunit</t>
  </si>
  <si>
    <t>May,25</t>
  </si>
  <si>
    <t xml:space="preserve">THROUGHPUT </t>
  </si>
  <si>
    <t xml:space="preserve">Throughput as % of Revenue from operations </t>
  </si>
  <si>
    <t>Upto July, 25</t>
  </si>
  <si>
    <t>For July, 25</t>
  </si>
  <si>
    <t>o 01-08-2025</t>
  </si>
  <si>
    <t>SALE TRADING - LOCAL - GARMENT</t>
  </si>
  <si>
    <t>PURCHASE FOR TRADING - (SCRAP)</t>
  </si>
  <si>
    <t>Date and Time :10-08-2025 12:54:02</t>
  </si>
  <si>
    <t>ge No: 2</t>
  </si>
  <si>
    <t>--------Difference--------&gt;-19006842</t>
  </si>
  <si>
    <t>ge No: 4</t>
  </si>
  <si>
    <t>To 01-08-2025</t>
  </si>
  <si>
    <t>Date and Time :10-08-2025 14:12:55</t>
  </si>
  <si>
    <t>-------Difference--------&gt; -389288</t>
  </si>
  <si>
    <t>Upto July,2025</t>
  </si>
  <si>
    <t>For July,2025</t>
  </si>
  <si>
    <t>July,25</t>
  </si>
  <si>
    <t>TOTAL EXPENSES</t>
  </si>
  <si>
    <t>Salary and Wages (Overtime)</t>
  </si>
  <si>
    <t>MLW fund</t>
  </si>
  <si>
    <t>Opening Stock  of Electrical Item</t>
  </si>
  <si>
    <t>Closing Stock  of Electrical Item</t>
  </si>
  <si>
    <t>Upto August, 25</t>
  </si>
  <si>
    <t>For Aug, 25</t>
  </si>
  <si>
    <t>o 01-09-2025</t>
  </si>
  <si>
    <t>COMPENSATION CHARGES</t>
  </si>
  <si>
    <t>---------Difference--------&gt; -2004744</t>
  </si>
  <si>
    <t>d Date and Time :10-09-2025 15:17:29</t>
  </si>
  <si>
    <t>Page No: 4</t>
  </si>
  <si>
    <t>To 01-09-2025</t>
  </si>
  <si>
    <t>Upto Aug,2025</t>
  </si>
  <si>
    <t>For Aug,2025</t>
  </si>
  <si>
    <t>-------Difference--------&gt; -409932</t>
  </si>
  <si>
    <t>Date and Time :11-09-2025 18:36:41</t>
  </si>
  <si>
    <t>o 01-10-2025</t>
  </si>
  <si>
    <t>COOLIE &amp; CARTAGE ON SALES</t>
  </si>
  <si>
    <t>MARKETING DEVELOPMENT ASSISTANCE</t>
  </si>
  <si>
    <t>-------Difference--------&gt; -2173596</t>
  </si>
  <si>
    <t>Date and Time :13-10-2025 12:40:21</t>
  </si>
  <si>
    <t>Pag</t>
  </si>
  <si>
    <t>e No: 4</t>
  </si>
  <si>
    <t>Upto Sept, 25</t>
  </si>
  <si>
    <t>For Sept, 25</t>
  </si>
  <si>
    <t>To 01-10-2025</t>
  </si>
  <si>
    <t>SALE (LABOUR CHARGES)</t>
  </si>
  <si>
    <t>---------Difference--------&gt; -438167</t>
  </si>
  <si>
    <t>d Date and Time :13-10-2025 12:42:53</t>
  </si>
  <si>
    <t>Upto Sept,2025</t>
  </si>
  <si>
    <t>For Sept,2025</t>
  </si>
  <si>
    <t>Upto Oct, 25</t>
  </si>
  <si>
    <t>For Oct, 25</t>
  </si>
  <si>
    <t>o 01-11-2025</t>
  </si>
  <si>
    <t>DELIVERY CHARGES  ON SALE-FABRIC</t>
  </si>
  <si>
    <t>EX-GRATIA</t>
  </si>
  <si>
    <t>-------Difference--------&gt; -2374681</t>
  </si>
  <si>
    <t>Date and Time :12-11-2025 19:15:20</t>
  </si>
  <si>
    <t>To 01-11-2025</t>
  </si>
  <si>
    <t>--------Difference--------&gt; -712059</t>
  </si>
  <si>
    <t>Date and Time :12-11-2025 19:15:42</t>
  </si>
  <si>
    <t>Upto Oct,2025</t>
  </si>
  <si>
    <t>For Oct,2025</t>
  </si>
  <si>
    <t>o 01-12-2025</t>
  </si>
  <si>
    <t>SALE EXPORT FABRIC</t>
  </si>
  <si>
    <t>--------Difference--------&gt; -2558335</t>
  </si>
  <si>
    <t>Date and Time :17-12-2025 12:17:47</t>
  </si>
  <si>
    <t>age No: 4</t>
  </si>
  <si>
    <t>Upto Nov, 25</t>
  </si>
  <si>
    <t>For Nov, 25</t>
  </si>
  <si>
    <t>Date and Time :17-12-2025 12:18:12</t>
  </si>
  <si>
    <t>-------Difference--------&gt; -8827224</t>
  </si>
  <si>
    <t>Upto Nov ,2025</t>
  </si>
  <si>
    <t>For Nov,2025</t>
  </si>
  <si>
    <t>Upto Dec, 25</t>
  </si>
  <si>
    <t>For Dec, 25</t>
  </si>
  <si>
    <t>o 01-01-2026</t>
  </si>
  <si>
    <t>INTEREST RECEIVED FROM OTHERS</t>
  </si>
  <si>
    <t>Date and Time :14-01-2026 12:55:02</t>
  </si>
  <si>
    <t>--------Difference--------&gt; -2306081</t>
  </si>
  <si>
    <t>Date and Time :14-01-2026 12:54:45</t>
  </si>
  <si>
    <t>-------Difference--------&gt;-10352323</t>
  </si>
  <si>
    <t>---------------</t>
  </si>
  <si>
    <t>e No: 2</t>
  </si>
  <si>
    <t>Total  Income</t>
  </si>
  <si>
    <t>Upto Dec ,2025</t>
  </si>
  <si>
    <t>For Dec,2025</t>
  </si>
  <si>
    <t xml:space="preserve">Technocraft Fashions Limited </t>
  </si>
  <si>
    <t xml:space="preserve">Calculation of Revised Throughput  after deducting the Prior Period effects </t>
  </si>
  <si>
    <t xml:space="preserve">Particulars </t>
  </si>
  <si>
    <t xml:space="preserve">Amount </t>
  </si>
  <si>
    <t xml:space="preserve">Add </t>
  </si>
  <si>
    <t xml:space="preserve">Devaluation of Finished Stock of Earlier Years </t>
  </si>
  <si>
    <t xml:space="preserve">Devaluation of Fabric Stock of Earlier Years </t>
  </si>
  <si>
    <t xml:space="preserve">Loss on Account of Sale of Trim Stock of Earlier Years </t>
  </si>
  <si>
    <t xml:space="preserve">Credit Note issued in current year related to Prior year Sales </t>
  </si>
  <si>
    <t xml:space="preserve">Revised Throughput after Ignoring Effects of Prior Period items </t>
  </si>
  <si>
    <t xml:space="preserve">Revised Net Revenue from Operations </t>
  </si>
  <si>
    <t xml:space="preserve">Revised ThroughPut as % of  Net Revenue from Operations </t>
  </si>
  <si>
    <t xml:space="preserve">Calculation of Revised Net Loss after Ignoring Prior Period items </t>
  </si>
  <si>
    <t xml:space="preserve">Revised Throughput as per above calculation </t>
  </si>
  <si>
    <t xml:space="preserve">Less </t>
  </si>
  <si>
    <t xml:space="preserve">Fixed Expenses as reported in MIS </t>
  </si>
  <si>
    <r>
      <rPr>
        <b/>
        <sz val="11"/>
        <color theme="1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 Compensation Charges pertaining to Prior years </t>
    </r>
  </si>
  <si>
    <t xml:space="preserve">Other Non operating Income as reported in MIS </t>
  </si>
  <si>
    <r>
      <rPr>
        <b/>
        <sz val="11"/>
        <color theme="1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 xml:space="preserve"> Reimbursement of Air Freight Pertaining to Prior Years</t>
    </r>
  </si>
  <si>
    <t xml:space="preserve">Difference </t>
  </si>
  <si>
    <t xml:space="preserve">Summary </t>
  </si>
  <si>
    <t>Impact of Prior Period Effects on Profit &amp; Loss From April to Nov 25</t>
  </si>
  <si>
    <t>Impact of Prior Period Effects on Profit &amp; Loss For the Month of Dec 25</t>
  </si>
  <si>
    <t>Upto Jan ,2026</t>
  </si>
  <si>
    <t>For Jan,2026</t>
  </si>
  <si>
    <t>Upto Jan, 26</t>
  </si>
  <si>
    <t>For Jan, 26</t>
  </si>
  <si>
    <t>SALE EXPORT - FABRIC- (SAMPLE)</t>
  </si>
  <si>
    <t>SAMPLE DEVELOPMENT SERVICES</t>
  </si>
  <si>
    <t>DETENTION CHARGES ON IMPORT</t>
  </si>
  <si>
    <t>Date and Time :11-02-2026 18:03:45</t>
  </si>
  <si>
    <t>o 01-02-2026</t>
  </si>
  <si>
    <t>--------Difference--------&gt; -2410694</t>
  </si>
  <si>
    <t>Date and Time :11-02-2026 18:04:18</t>
  </si>
  <si>
    <t>--------Difference--------&gt;-11865392</t>
  </si>
  <si>
    <t>o 01-03-2026</t>
  </si>
  <si>
    <t>-------Difference--------&gt; -2507793</t>
  </si>
  <si>
    <t>Date and Time :11-03-2026 19:17:36</t>
  </si>
  <si>
    <t>Profit &amp; Loss for the period ended Feb, 2026</t>
  </si>
  <si>
    <t>Upto Feb, 26</t>
  </si>
  <si>
    <t>For Feb, 26</t>
  </si>
  <si>
    <t>Combined Profit &amp; Loss for the Period ended Feb,2026</t>
  </si>
  <si>
    <t>To 01-03-2026</t>
  </si>
  <si>
    <t>Date and Time :11-03-2026 19:18:23</t>
  </si>
  <si>
    <t>-------Difference--------&gt;-1481375</t>
  </si>
  <si>
    <t>Upto Feb ,2026</t>
  </si>
  <si>
    <t>For Feb,2026</t>
  </si>
  <si>
    <t>Throughput as Reported in MIS from April to Feb 2026</t>
  </si>
  <si>
    <t>Revised Net Loss from April to Feb 2026</t>
  </si>
  <si>
    <t>Reported Net Loss as per MIS from April to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</si>
</sst>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0"/>
      <name val="Arial"/>
      <family val="2"/>
    </font>
    <font>
      <b/>
      <u/>
      <sz val="16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4" fillId="0" borderId="0" xfId="0" applyFont="1" applyAlignment="1">
      <alignment vertical="center"/>
    </xf>
    <xf numFmtId="164" fontId="0" fillId="0" borderId="0" xfId="1" applyNumberFormat="1" applyFont="1"/>
    <xf numFmtId="0" fontId="3" fillId="0" borderId="0" xfId="0" applyFont="1" applyAlignment="1">
      <alignment vertical="center"/>
    </xf>
    <xf numFmtId="0" fontId="4" fillId="0" borderId="0" xfId="0" applyFont="1"/>
    <xf numFmtId="164" fontId="3" fillId="0" borderId="0" xfId="1" applyNumberFormat="1" applyFont="1"/>
    <xf numFmtId="0" fontId="3" fillId="0" borderId="1" xfId="0" applyFont="1" applyBorder="1" applyAlignment="1">
      <alignment vertical="center"/>
    </xf>
    <xf numFmtId="164" fontId="3" fillId="0" borderId="1" xfId="1" applyNumberFormat="1" applyFont="1" applyFill="1" applyBorder="1" applyAlignment="1">
      <alignment horizontal="left" vertical="center" wrapText="1"/>
    </xf>
    <xf numFmtId="0" fontId="3" fillId="0" borderId="1" xfId="0" applyFont="1" applyBorder="1"/>
    <xf numFmtId="164" fontId="0" fillId="0" borderId="1" xfId="1" applyNumberFormat="1" applyFont="1" applyFill="1" applyBorder="1"/>
    <xf numFmtId="0" fontId="0" fillId="0" borderId="1" xfId="0" applyBorder="1"/>
    <xf numFmtId="164" fontId="5" fillId="0" borderId="1" xfId="1" applyNumberFormat="1" applyFont="1" applyFill="1" applyBorder="1"/>
    <xf numFmtId="164" fontId="3" fillId="0" borderId="0" xfId="0" applyNumberFormat="1" applyFont="1"/>
    <xf numFmtId="0" fontId="3" fillId="2" borderId="1" xfId="0" applyFont="1" applyFill="1" applyBorder="1"/>
    <xf numFmtId="164" fontId="6" fillId="2" borderId="1" xfId="1" applyNumberFormat="1" applyFont="1" applyFill="1" applyBorder="1"/>
    <xf numFmtId="0" fontId="3" fillId="0" borderId="0" xfId="0" applyFont="1"/>
    <xf numFmtId="164" fontId="6" fillId="0" borderId="1" xfId="1" applyNumberFormat="1" applyFont="1" applyFill="1" applyBorder="1"/>
    <xf numFmtId="0" fontId="3" fillId="3" borderId="1" xfId="0" applyFont="1" applyFill="1" applyBorder="1"/>
    <xf numFmtId="164" fontId="6" fillId="3" borderId="1" xfId="1" applyNumberFormat="1" applyFont="1" applyFill="1" applyBorder="1"/>
    <xf numFmtId="164" fontId="6" fillId="4" borderId="1" xfId="1" applyNumberFormat="1" applyFont="1" applyFill="1" applyBorder="1"/>
    <xf numFmtId="0" fontId="5" fillId="0" borderId="1" xfId="0" applyFont="1" applyBorder="1"/>
    <xf numFmtId="0" fontId="3" fillId="5" borderId="1" xfId="0" applyFont="1" applyFill="1" applyBorder="1"/>
    <xf numFmtId="164" fontId="6" fillId="5" borderId="1" xfId="1" applyNumberFormat="1" applyFont="1" applyFill="1" applyBorder="1"/>
    <xf numFmtId="43" fontId="6" fillId="5" borderId="1" xfId="1" applyFont="1" applyFill="1" applyBorder="1" applyAlignment="1">
      <alignment horizontal="right"/>
    </xf>
    <xf numFmtId="0" fontId="3" fillId="0" borderId="2" xfId="0" applyFont="1" applyBorder="1"/>
    <xf numFmtId="0" fontId="5" fillId="0" borderId="0" xfId="0" applyFont="1"/>
    <xf numFmtId="164" fontId="0" fillId="0" borderId="1" xfId="1" applyNumberFormat="1" applyFont="1" applyBorder="1"/>
    <xf numFmtId="164" fontId="3" fillId="0" borderId="1" xfId="1" applyNumberFormat="1" applyFont="1" applyBorder="1"/>
    <xf numFmtId="164" fontId="3" fillId="3" borderId="1" xfId="1" applyNumberFormat="1" applyFont="1" applyFill="1" applyBorder="1"/>
    <xf numFmtId="43" fontId="3" fillId="3" borderId="1" xfId="1" applyFont="1" applyFill="1" applyBorder="1"/>
    <xf numFmtId="0" fontId="2" fillId="0" borderId="0" xfId="0" applyFont="1"/>
    <xf numFmtId="0" fontId="0" fillId="6" borderId="0" xfId="0" applyFill="1"/>
    <xf numFmtId="0" fontId="0" fillId="6" borderId="1" xfId="0" applyFill="1" applyBorder="1"/>
    <xf numFmtId="0" fontId="0" fillId="4" borderId="0" xfId="0" applyFill="1"/>
    <xf numFmtId="0" fontId="0" fillId="5" borderId="0" xfId="0" applyFill="1"/>
    <xf numFmtId="0" fontId="0" fillId="2" borderId="0" xfId="0" applyFill="1"/>
    <xf numFmtId="17" fontId="6" fillId="0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2" fillId="6" borderId="0" xfId="0" applyFont="1" applyFill="1"/>
    <xf numFmtId="0" fontId="2" fillId="7" borderId="0" xfId="0" applyFont="1" applyFill="1"/>
    <xf numFmtId="10" fontId="6" fillId="5" borderId="1" xfId="2" applyNumberFormat="1" applyFont="1" applyFill="1" applyBorder="1" applyAlignment="1">
      <alignment horizontal="right"/>
    </xf>
    <xf numFmtId="164" fontId="3" fillId="2" borderId="1" xfId="1" applyNumberFormat="1" applyFont="1" applyFill="1" applyBorder="1"/>
    <xf numFmtId="164" fontId="6" fillId="3" borderId="1" xfId="0" applyNumberFormat="1" applyFont="1" applyFill="1" applyBorder="1"/>
    <xf numFmtId="164" fontId="6" fillId="0" borderId="0" xfId="0" applyNumberFormat="1" applyFont="1"/>
    <xf numFmtId="164" fontId="5" fillId="0" borderId="1" xfId="0" applyNumberFormat="1" applyFont="1" applyBorder="1"/>
    <xf numFmtId="164" fontId="5" fillId="0" borderId="0" xfId="0" applyNumberFormat="1" applyFont="1"/>
    <xf numFmtId="0" fontId="6" fillId="0" borderId="1" xfId="0" applyFont="1" applyBorder="1"/>
    <xf numFmtId="164" fontId="6" fillId="0" borderId="1" xfId="0" applyNumberFormat="1" applyFont="1" applyBorder="1"/>
    <xf numFmtId="0" fontId="3" fillId="8" borderId="1" xfId="0" applyFont="1" applyFill="1" applyBorder="1"/>
    <xf numFmtId="164" fontId="6" fillId="8" borderId="1" xfId="0" applyNumberFormat="1" applyFont="1" applyFill="1" applyBorder="1"/>
    <xf numFmtId="43" fontId="6" fillId="0" borderId="0" xfId="0" applyNumberFormat="1" applyFont="1"/>
    <xf numFmtId="164" fontId="6" fillId="8" borderId="1" xfId="1" applyNumberFormat="1" applyFont="1" applyFill="1" applyBorder="1"/>
    <xf numFmtId="43" fontId="3" fillId="8" borderId="1" xfId="0" applyNumberFormat="1" applyFont="1" applyFill="1" applyBorder="1"/>
    <xf numFmtId="0" fontId="0" fillId="9" borderId="0" xfId="0" applyFill="1"/>
    <xf numFmtId="164" fontId="5" fillId="6" borderId="1" xfId="1" applyNumberFormat="1" applyFont="1" applyFill="1" applyBorder="1"/>
    <xf numFmtId="164" fontId="0" fillId="0" borderId="0" xfId="0" applyNumberFormat="1"/>
    <xf numFmtId="164" fontId="0" fillId="0" borderId="3" xfId="1" applyNumberFormat="1" applyFont="1" applyFill="1" applyBorder="1"/>
    <xf numFmtId="164" fontId="5" fillId="0" borderId="3" xfId="1" applyNumberFormat="1" applyFont="1" applyFill="1" applyBorder="1"/>
    <xf numFmtId="164" fontId="6" fillId="2" borderId="3" xfId="1" applyNumberFormat="1" applyFont="1" applyFill="1" applyBorder="1"/>
    <xf numFmtId="164" fontId="6" fillId="0" borderId="3" xfId="1" applyNumberFormat="1" applyFont="1" applyFill="1" applyBorder="1"/>
    <xf numFmtId="164" fontId="6" fillId="3" borderId="3" xfId="1" applyNumberFormat="1" applyFont="1" applyFill="1" applyBorder="1"/>
    <xf numFmtId="164" fontId="6" fillId="5" borderId="3" xfId="1" applyNumberFormat="1" applyFont="1" applyFill="1" applyBorder="1"/>
    <xf numFmtId="43" fontId="6" fillId="5" borderId="3" xfId="1" applyFont="1" applyFill="1" applyBorder="1" applyAlignment="1">
      <alignment horizontal="right"/>
    </xf>
    <xf numFmtId="164" fontId="0" fillId="0" borderId="3" xfId="1" applyNumberFormat="1" applyFont="1" applyBorder="1"/>
    <xf numFmtId="164" fontId="3" fillId="0" borderId="3" xfId="1" applyNumberFormat="1" applyFont="1" applyBorder="1"/>
    <xf numFmtId="164" fontId="0" fillId="0" borderId="1" xfId="0" applyNumberFormat="1" applyBorder="1"/>
    <xf numFmtId="164" fontId="2" fillId="0" borderId="1" xfId="1" applyNumberFormat="1" applyFont="1" applyFill="1" applyBorder="1"/>
    <xf numFmtId="0" fontId="7" fillId="0" borderId="0" xfId="0" applyFont="1" applyAlignment="1">
      <alignment vertical="center"/>
    </xf>
    <xf numFmtId="0" fontId="7" fillId="0" borderId="0" xfId="0" applyFont="1"/>
    <xf numFmtId="0" fontId="0" fillId="7" borderId="0" xfId="0" applyFill="1"/>
    <xf numFmtId="164" fontId="3" fillId="0" borderId="0" xfId="1" applyNumberFormat="1" applyFont="1" applyFill="1" applyBorder="1" applyAlignment="1">
      <alignment horizontal="left" vertical="center" wrapText="1"/>
    </xf>
    <xf numFmtId="164" fontId="6" fillId="2" borderId="0" xfId="1" applyNumberFormat="1" applyFont="1" applyFill="1" applyBorder="1"/>
    <xf numFmtId="164" fontId="6" fillId="3" borderId="0" xfId="1" applyNumberFormat="1" applyFont="1" applyFill="1" applyBorder="1"/>
    <xf numFmtId="43" fontId="6" fillId="5" borderId="0" xfId="1" applyFont="1" applyFill="1" applyBorder="1" applyAlignment="1">
      <alignment horizontal="right"/>
    </xf>
    <xf numFmtId="164" fontId="3" fillId="3" borderId="0" xfId="1" applyNumberFormat="1" applyFont="1" applyFill="1" applyBorder="1"/>
    <xf numFmtId="43" fontId="3" fillId="3" borderId="0" xfId="1" applyFont="1" applyFill="1" applyBorder="1"/>
    <xf numFmtId="164" fontId="3" fillId="0" borderId="4" xfId="1" applyNumberFormat="1" applyFont="1" applyBorder="1" applyAlignment="1">
      <alignment horizontal="center"/>
    </xf>
    <xf numFmtId="164" fontId="3" fillId="0" borderId="0" xfId="1" applyNumberFormat="1" applyFont="1" applyBorder="1"/>
    <xf numFmtId="0" fontId="0" fillId="0" borderId="4" xfId="0" applyBorder="1"/>
    <xf numFmtId="164" fontId="3" fillId="0" borderId="1" xfId="0" applyNumberFormat="1" applyFont="1" applyBorder="1"/>
    <xf numFmtId="43" fontId="0" fillId="0" borderId="1" xfId="1" applyFont="1" applyBorder="1"/>
    <xf numFmtId="0" fontId="0" fillId="0" borderId="6" xfId="0" applyBorder="1"/>
    <xf numFmtId="17" fontId="6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Border="1"/>
    <xf numFmtId="164" fontId="6" fillId="0" borderId="0" xfId="1" applyNumberFormat="1" applyFont="1" applyFill="1" applyBorder="1"/>
    <xf numFmtId="14" fontId="0" fillId="0" borderId="0" xfId="0" applyNumberFormat="1"/>
    <xf numFmtId="164" fontId="3" fillId="0" borderId="1" xfId="1" applyNumberFormat="1" applyFont="1" applyBorder="1" applyAlignment="1">
      <alignment horizontal="center"/>
    </xf>
    <xf numFmtId="164" fontId="0" fillId="2" borderId="0" xfId="0" applyNumberFormat="1" applyFill="1"/>
    <xf numFmtId="164" fontId="2" fillId="0" borderId="1" xfId="0" applyNumberFormat="1" applyFont="1" applyBorder="1"/>
    <xf numFmtId="0" fontId="3" fillId="3" borderId="0" xfId="0" applyFont="1" applyFill="1"/>
    <xf numFmtId="164" fontId="2" fillId="0" borderId="0" xfId="0" applyNumberFormat="1" applyFont="1"/>
    <xf numFmtId="165" fontId="0" fillId="0" borderId="0" xfId="0" applyNumberFormat="1"/>
    <xf numFmtId="0" fontId="2" fillId="0" borderId="1" xfId="0" applyFont="1" applyBorder="1"/>
    <xf numFmtId="43" fontId="0" fillId="0" borderId="0" xfId="1" applyFont="1"/>
    <xf numFmtId="0" fontId="5" fillId="6" borderId="1" xfId="0" applyFont="1" applyFill="1" applyBorder="1"/>
    <xf numFmtId="164" fontId="5" fillId="6" borderId="3" xfId="1" applyNumberFormat="1" applyFont="1" applyFill="1" applyBorder="1"/>
    <xf numFmtId="164" fontId="0" fillId="6" borderId="1" xfId="0" applyNumberFormat="1" applyFill="1" applyBorder="1"/>
    <xf numFmtId="164" fontId="0" fillId="6" borderId="3" xfId="1" applyNumberFormat="1" applyFont="1" applyFill="1" applyBorder="1"/>
    <xf numFmtId="164" fontId="0" fillId="6" borderId="0" xfId="0" applyNumberFormat="1" applyFill="1"/>
    <xf numFmtId="164" fontId="2" fillId="6" borderId="1" xfId="0" applyNumberFormat="1" applyFont="1" applyFill="1" applyBorder="1"/>
    <xf numFmtId="164" fontId="3" fillId="0" borderId="0" xfId="1" applyNumberFormat="1" applyFont="1" applyFill="1" applyBorder="1"/>
    <xf numFmtId="43" fontId="3" fillId="0" borderId="0" xfId="1" applyFont="1" applyFill="1" applyBorder="1"/>
    <xf numFmtId="164" fontId="5" fillId="0" borderId="1" xfId="3" applyNumberFormat="1" applyFont="1" applyFill="1" applyBorder="1"/>
    <xf numFmtId="164" fontId="0" fillId="0" borderId="3" xfId="0" applyNumberFormat="1" applyBorder="1"/>
    <xf numFmtId="43" fontId="6" fillId="0" borderId="1" xfId="1" applyFont="1" applyFill="1" applyBorder="1" applyAlignment="1">
      <alignment horizontal="right"/>
    </xf>
    <xf numFmtId="43" fontId="6" fillId="0" borderId="3" xfId="1" applyFont="1" applyFill="1" applyBorder="1" applyAlignment="1">
      <alignment horizontal="right"/>
    </xf>
    <xf numFmtId="43" fontId="6" fillId="0" borderId="0" xfId="1" applyFont="1" applyFill="1" applyBorder="1" applyAlignment="1">
      <alignment horizontal="right"/>
    </xf>
    <xf numFmtId="0" fontId="9" fillId="0" borderId="0" xfId="0" applyFont="1"/>
    <xf numFmtId="164" fontId="1" fillId="0" borderId="1" xfId="1" applyNumberFormat="1" applyFont="1" applyBorder="1"/>
    <xf numFmtId="10" fontId="3" fillId="0" borderId="1" xfId="1" applyNumberFormat="1" applyFont="1" applyBorder="1"/>
    <xf numFmtId="164" fontId="10" fillId="0" borderId="1" xfId="0" applyNumberFormat="1" applyFont="1" applyBorder="1"/>
    <xf numFmtId="164" fontId="0" fillId="0" borderId="7" xfId="1" applyNumberFormat="1" applyFont="1" applyBorder="1"/>
    <xf numFmtId="164" fontId="0" fillId="10" borderId="0" xfId="0" applyNumberFormat="1" applyFill="1"/>
    <xf numFmtId="0" fontId="5" fillId="11" borderId="1" xfId="0" applyFont="1" applyFill="1" applyBorder="1"/>
    <xf numFmtId="164" fontId="5" fillId="11" borderId="1" xfId="1" applyNumberFormat="1" applyFont="1" applyFill="1" applyBorder="1"/>
    <xf numFmtId="164" fontId="5" fillId="11" borderId="3" xfId="1" applyNumberFormat="1" applyFont="1" applyFill="1" applyBorder="1"/>
    <xf numFmtId="164" fontId="0" fillId="11" borderId="1" xfId="0" applyNumberFormat="1" applyFill="1" applyBorder="1"/>
    <xf numFmtId="164" fontId="0" fillId="11" borderId="3" xfId="1" applyNumberFormat="1" applyFont="1" applyFill="1" applyBorder="1"/>
    <xf numFmtId="164" fontId="0" fillId="11" borderId="0" xfId="0" applyNumberFormat="1" applyFill="1"/>
    <xf numFmtId="10" fontId="6" fillId="0" borderId="0" xfId="2" applyNumberFormat="1" applyFont="1" applyFill="1" applyBorder="1" applyAlignment="1">
      <alignment horizontal="right"/>
    </xf>
    <xf numFmtId="43" fontId="3" fillId="0" borderId="0" xfId="0" applyNumberFormat="1" applyFont="1"/>
    <xf numFmtId="0" fontId="0" fillId="11" borderId="1" xfId="0" applyFill="1" applyBorder="1"/>
    <xf numFmtId="164" fontId="11" fillId="0" borderId="1" xfId="1" applyNumberFormat="1" applyFont="1" applyFill="1" applyBorder="1"/>
    <xf numFmtId="164" fontId="3" fillId="0" borderId="3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Fill="1" applyBorder="1" applyAlignment="1">
      <alignment horizontal="center" vertical="center" wrapText="1"/>
    </xf>
    <xf numFmtId="164" fontId="3" fillId="0" borderId="4" xfId="1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2" xfId="5" xr:uid="{6DBBEA75-A866-467C-AA51-BCF4BBB6612D}"/>
    <cellStyle name="Comma 3" xfId="3" xr:uid="{DE9E770D-A434-4E87-9B50-F830AB1FA9B3}"/>
    <cellStyle name="Normal" xfId="0" builtinId="0"/>
    <cellStyle name="Normal 117 8" xfId="4" xr:uid="{BC3C374E-74DD-45FB-9A5B-F5CCCCFF6A3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B67D-11D3-4ED9-9DE4-BE0084CBF2D3}">
  <dimension ref="A1:BO236"/>
  <sheetViews>
    <sheetView tabSelected="1" topLeftCell="K1" zoomScale="103" zoomScaleNormal="103" zoomScaleSheetLayoutView="100" workbookViewId="0">
      <selection activeCell="BC86" sqref="BC86"/>
    </sheetView>
  </sheetViews>
  <sheetFormatPr defaultRowHeight="14.4" x14ac:dyDescent="0.3"/>
  <cols>
    <col min="1" max="1" width="45.88671875" customWidth="1"/>
    <col min="2" max="2" width="17.88671875" style="2" hidden="1" customWidth="1"/>
    <col min="3" max="3" width="19.44140625" style="2" hidden="1" customWidth="1"/>
    <col min="4" max="4" width="15.44140625" style="2" hidden="1" customWidth="1"/>
    <col min="5" max="5" width="9.88671875" style="2" hidden="1" customWidth="1"/>
    <col min="6" max="6" width="16.44140625" customWidth="1"/>
    <col min="7" max="10" width="17.88671875" style="2" hidden="1" customWidth="1"/>
    <col min="11" max="11" width="15.88671875" customWidth="1"/>
    <col min="12" max="14" width="18.5546875" hidden="1" customWidth="1"/>
    <col min="15" max="15" width="17.88671875" style="2" hidden="1" customWidth="1"/>
    <col min="16" max="16" width="15.33203125" customWidth="1"/>
    <col min="17" max="19" width="18.5546875" hidden="1" customWidth="1"/>
    <col min="20" max="20" width="17.88671875" style="2" hidden="1" customWidth="1"/>
    <col min="21" max="21" width="15.44140625" customWidth="1"/>
    <col min="22" max="24" width="18.5546875" hidden="1" customWidth="1"/>
    <col min="25" max="25" width="16.6640625" style="2" hidden="1" customWidth="1"/>
    <col min="26" max="26" width="17" customWidth="1"/>
    <col min="27" max="29" width="18.5546875" hidden="1" customWidth="1"/>
    <col min="30" max="30" width="16.6640625" style="2" hidden="1" customWidth="1"/>
    <col min="31" max="31" width="15.88671875" customWidth="1"/>
    <col min="32" max="34" width="18.5546875" hidden="1" customWidth="1"/>
    <col min="35" max="35" width="16.6640625" style="2" hidden="1" customWidth="1"/>
    <col min="36" max="36" width="16.5546875" customWidth="1"/>
    <col min="37" max="39" width="18.5546875" hidden="1" customWidth="1"/>
    <col min="40" max="40" width="16.6640625" style="2" hidden="1" customWidth="1"/>
    <col min="41" max="41" width="16.5546875" customWidth="1"/>
    <col min="42" max="44" width="18.5546875" hidden="1" customWidth="1"/>
    <col min="45" max="45" width="16.6640625" style="2" hidden="1" customWidth="1"/>
    <col min="46" max="46" width="16.5546875" customWidth="1"/>
    <col min="47" max="49" width="18.5546875" hidden="1" customWidth="1"/>
    <col min="50" max="50" width="16.6640625" style="2" hidden="1" customWidth="1"/>
    <col min="51" max="51" width="16.5546875" customWidth="1"/>
    <col min="52" max="54" width="18.5546875" hidden="1" customWidth="1"/>
    <col min="55" max="55" width="16.6640625" style="2" customWidth="1"/>
    <col min="56" max="56" width="16.5546875" customWidth="1"/>
    <col min="57" max="58" width="18.5546875" hidden="1" customWidth="1"/>
    <col min="59" max="63" width="9.109375" hidden="1" customWidth="1"/>
    <col min="64" max="64" width="12" customWidth="1"/>
    <col min="65" max="65" width="12.33203125" customWidth="1"/>
    <col min="66" max="66" width="9.109375" customWidth="1"/>
    <col min="67" max="67" width="10" customWidth="1"/>
    <col min="68" max="69" width="9.109375" customWidth="1"/>
  </cols>
  <sheetData>
    <row r="1" spans="1:58" ht="18" x14ac:dyDescent="0.3">
      <c r="A1" s="67" t="s">
        <v>269</v>
      </c>
    </row>
    <row r="2" spans="1:58" x14ac:dyDescent="0.3">
      <c r="A2" s="3"/>
    </row>
    <row r="3" spans="1:58" ht="18" x14ac:dyDescent="0.35">
      <c r="A3" s="68" t="s">
        <v>466</v>
      </c>
      <c r="F3" s="15"/>
      <c r="K3" s="15"/>
      <c r="L3" s="15"/>
      <c r="M3" s="15"/>
      <c r="N3" s="15"/>
      <c r="P3" s="15"/>
      <c r="Q3" s="15"/>
      <c r="R3" s="15"/>
      <c r="S3" s="15"/>
      <c r="U3" s="15"/>
      <c r="V3" s="15"/>
      <c r="W3" s="15"/>
      <c r="X3" s="15"/>
      <c r="Z3" s="15"/>
      <c r="AA3" s="15"/>
      <c r="AB3" s="15"/>
      <c r="AC3" s="15"/>
      <c r="AE3" s="15"/>
      <c r="AF3" s="15"/>
      <c r="AG3" s="15"/>
      <c r="AH3" s="15"/>
      <c r="AJ3" s="15"/>
      <c r="AK3" s="15"/>
      <c r="AL3" s="15"/>
      <c r="AM3" s="15"/>
      <c r="AO3" s="15"/>
      <c r="AP3" s="15"/>
      <c r="AQ3" s="15"/>
      <c r="AR3" s="15"/>
      <c r="AT3" s="15"/>
      <c r="AU3" s="15"/>
      <c r="AV3" s="15"/>
      <c r="AW3" s="15"/>
      <c r="AY3" s="15"/>
      <c r="AZ3" s="15"/>
      <c r="BA3" s="15"/>
      <c r="BB3" s="15"/>
      <c r="BD3" s="15"/>
      <c r="BE3" s="15"/>
      <c r="BF3" s="15"/>
    </row>
    <row r="4" spans="1:58" ht="18" x14ac:dyDescent="0.35">
      <c r="A4" s="68"/>
      <c r="F4" s="15"/>
      <c r="K4" s="15"/>
      <c r="L4" s="15"/>
      <c r="M4" s="15"/>
      <c r="N4" s="15"/>
      <c r="P4" s="15"/>
      <c r="Q4" s="15"/>
      <c r="R4" s="15"/>
      <c r="S4" s="15"/>
      <c r="U4" s="15"/>
      <c r="V4" s="15"/>
      <c r="W4" s="15"/>
      <c r="X4" s="15"/>
      <c r="Z4" s="15"/>
      <c r="AA4" s="15"/>
      <c r="AB4" s="15"/>
      <c r="AC4" s="15"/>
      <c r="AE4" s="15"/>
      <c r="AF4" s="15"/>
      <c r="AG4" s="15"/>
      <c r="AH4" s="15"/>
      <c r="AJ4" s="15"/>
      <c r="AK4" s="15"/>
      <c r="AL4" s="15"/>
      <c r="AM4" s="15"/>
      <c r="AO4" s="15"/>
      <c r="AP4" s="15"/>
      <c r="AQ4" s="15"/>
      <c r="AR4" s="15"/>
      <c r="AT4" s="15"/>
      <c r="AU4" s="15"/>
      <c r="AV4" s="15"/>
      <c r="AW4" s="15"/>
      <c r="AY4" s="15"/>
      <c r="AZ4" s="15"/>
      <c r="BA4" s="15"/>
      <c r="BB4" s="15"/>
      <c r="BD4" s="15" t="s">
        <v>1</v>
      </c>
      <c r="BE4" s="15"/>
      <c r="BF4" s="15"/>
    </row>
    <row r="5" spans="1:58" x14ac:dyDescent="0.3">
      <c r="A5" s="10"/>
      <c r="B5" s="5" t="s">
        <v>1</v>
      </c>
      <c r="C5" s="126" t="s">
        <v>297</v>
      </c>
      <c r="D5" s="127"/>
      <c r="E5" s="127"/>
      <c r="F5" s="128"/>
      <c r="G5" s="123" t="s">
        <v>296</v>
      </c>
      <c r="H5" s="124"/>
      <c r="I5" s="125"/>
      <c r="J5" s="76" t="s">
        <v>296</v>
      </c>
      <c r="K5" s="7" t="s">
        <v>298</v>
      </c>
      <c r="L5" s="70" t="s">
        <v>334</v>
      </c>
      <c r="M5" s="70" t="s">
        <v>335</v>
      </c>
      <c r="N5" s="70" t="s">
        <v>338</v>
      </c>
      <c r="O5" s="86" t="s">
        <v>336</v>
      </c>
      <c r="P5" s="7" t="s">
        <v>337</v>
      </c>
      <c r="Q5" s="70" t="s">
        <v>334</v>
      </c>
      <c r="R5" s="70" t="s">
        <v>335</v>
      </c>
      <c r="S5" s="70" t="s">
        <v>338</v>
      </c>
      <c r="T5" s="86" t="s">
        <v>354</v>
      </c>
      <c r="U5" s="7" t="s">
        <v>355</v>
      </c>
      <c r="V5" s="70" t="s">
        <v>334</v>
      </c>
      <c r="W5" s="70" t="s">
        <v>335</v>
      </c>
      <c r="X5" s="70" t="s">
        <v>338</v>
      </c>
      <c r="Y5" s="86" t="s">
        <v>370</v>
      </c>
      <c r="Z5" s="7" t="s">
        <v>371</v>
      </c>
      <c r="AA5" s="70" t="s">
        <v>334</v>
      </c>
      <c r="AB5" s="70" t="s">
        <v>335</v>
      </c>
      <c r="AC5" s="70" t="s">
        <v>338</v>
      </c>
      <c r="AD5" s="86" t="s">
        <v>387</v>
      </c>
      <c r="AE5" s="7" t="s">
        <v>388</v>
      </c>
      <c r="AF5" s="70" t="s">
        <v>334</v>
      </c>
      <c r="AG5" s="70" t="s">
        <v>335</v>
      </c>
      <c r="AH5" s="70" t="s">
        <v>338</v>
      </c>
      <c r="AI5" s="86" t="s">
        <v>399</v>
      </c>
      <c r="AJ5" s="7" t="s">
        <v>400</v>
      </c>
      <c r="AK5" s="70" t="s">
        <v>334</v>
      </c>
      <c r="AL5" s="70" t="s">
        <v>335</v>
      </c>
      <c r="AM5" s="70" t="s">
        <v>338</v>
      </c>
      <c r="AN5" s="86" t="s">
        <v>410</v>
      </c>
      <c r="AO5" s="7" t="s">
        <v>411</v>
      </c>
      <c r="AP5" s="70" t="s">
        <v>334</v>
      </c>
      <c r="AQ5" s="70" t="s">
        <v>335</v>
      </c>
      <c r="AR5" s="70" t="s">
        <v>338</v>
      </c>
      <c r="AS5" s="86" t="s">
        <v>423</v>
      </c>
      <c r="AT5" s="7" t="s">
        <v>424</v>
      </c>
      <c r="AU5" s="70" t="s">
        <v>334</v>
      </c>
      <c r="AV5" s="70" t="s">
        <v>335</v>
      </c>
      <c r="AW5" s="70" t="s">
        <v>338</v>
      </c>
      <c r="AX5" s="86" t="s">
        <v>448</v>
      </c>
      <c r="AY5" s="7" t="s">
        <v>449</v>
      </c>
      <c r="AZ5" s="70" t="s">
        <v>334</v>
      </c>
      <c r="BA5" s="70" t="s">
        <v>335</v>
      </c>
      <c r="BB5" s="70" t="s">
        <v>338</v>
      </c>
      <c r="BC5" s="86" t="s">
        <v>470</v>
      </c>
      <c r="BD5" s="7" t="s">
        <v>471</v>
      </c>
      <c r="BE5" s="70"/>
      <c r="BF5" s="70"/>
    </row>
    <row r="6" spans="1:58" x14ac:dyDescent="0.3">
      <c r="A6" s="6" t="s">
        <v>2</v>
      </c>
      <c r="B6" s="7" t="s">
        <v>264</v>
      </c>
      <c r="C6" s="7" t="s">
        <v>266</v>
      </c>
      <c r="D6" s="7" t="s">
        <v>267</v>
      </c>
      <c r="E6" s="7" t="s">
        <v>270</v>
      </c>
      <c r="F6" s="7"/>
      <c r="G6" s="7" t="s">
        <v>266</v>
      </c>
      <c r="H6" s="7" t="s">
        <v>267</v>
      </c>
      <c r="I6" s="7" t="s">
        <v>270</v>
      </c>
      <c r="J6" s="7"/>
      <c r="K6" s="7"/>
      <c r="L6" s="70"/>
      <c r="M6" s="70"/>
      <c r="N6" s="70"/>
      <c r="O6" s="7"/>
      <c r="P6" s="7"/>
      <c r="Q6" s="70"/>
      <c r="R6" s="70"/>
      <c r="S6" s="70"/>
      <c r="T6" s="7"/>
      <c r="U6" s="7"/>
      <c r="V6" s="70"/>
      <c r="W6" s="70"/>
      <c r="X6" s="70"/>
      <c r="Y6" s="7"/>
      <c r="Z6" s="7"/>
      <c r="AA6" s="70"/>
      <c r="AB6" s="70"/>
      <c r="AC6" s="70"/>
      <c r="AD6" s="7"/>
      <c r="AE6" s="7"/>
      <c r="AF6" s="70"/>
      <c r="AG6" s="70"/>
      <c r="AH6" s="70"/>
      <c r="AI6" s="7"/>
      <c r="AJ6" s="7"/>
      <c r="AK6" s="70"/>
      <c r="AL6" s="70"/>
      <c r="AM6" s="70"/>
      <c r="AN6" s="7"/>
      <c r="AO6" s="7"/>
      <c r="AP6" s="70"/>
      <c r="AQ6" s="70"/>
      <c r="AR6" s="70"/>
      <c r="AS6" s="7"/>
      <c r="AT6" s="7"/>
      <c r="AU6" s="70"/>
      <c r="AV6" s="70"/>
      <c r="AW6" s="70"/>
      <c r="AX6" s="7"/>
      <c r="AY6" s="7"/>
      <c r="AZ6" s="70"/>
      <c r="BA6" s="70"/>
      <c r="BB6" s="70"/>
      <c r="BC6" s="7"/>
      <c r="BD6" s="7"/>
      <c r="BE6" s="70"/>
      <c r="BF6" s="70"/>
    </row>
    <row r="7" spans="1:58" x14ac:dyDescent="0.3">
      <c r="A7" s="8" t="s">
        <v>3</v>
      </c>
      <c r="B7" s="9"/>
      <c r="C7" s="9"/>
      <c r="D7" s="56"/>
      <c r="E7" s="56"/>
      <c r="F7" s="10"/>
      <c r="G7" s="9"/>
      <c r="H7" s="56"/>
      <c r="I7" s="56"/>
      <c r="J7" s="56"/>
      <c r="K7" s="10"/>
      <c r="O7" s="56"/>
      <c r="P7" s="10"/>
      <c r="T7" s="56"/>
      <c r="U7" s="10"/>
      <c r="Y7" s="56"/>
      <c r="Z7" s="10"/>
      <c r="AD7" s="56"/>
      <c r="AE7" s="10"/>
      <c r="AI7" s="56"/>
      <c r="AJ7" s="10"/>
      <c r="AN7" s="56"/>
      <c r="AO7" s="10"/>
      <c r="AS7" s="56"/>
      <c r="AT7" s="10"/>
      <c r="AX7" s="56"/>
      <c r="AY7" s="10"/>
      <c r="BC7" s="56"/>
      <c r="BD7" s="10"/>
    </row>
    <row r="8" spans="1:58" x14ac:dyDescent="0.3">
      <c r="A8" s="8" t="s">
        <v>4</v>
      </c>
      <c r="B8" s="9"/>
      <c r="C8" s="9"/>
      <c r="D8" s="56"/>
      <c r="E8" s="56"/>
      <c r="F8" s="10"/>
      <c r="G8" s="9"/>
      <c r="H8" s="56"/>
      <c r="I8" s="56"/>
      <c r="J8" s="56"/>
      <c r="K8" s="10"/>
      <c r="O8" s="56"/>
      <c r="P8" s="10"/>
      <c r="T8" s="56"/>
      <c r="U8" s="10"/>
      <c r="Y8" s="56"/>
      <c r="Z8" s="10"/>
      <c r="AD8" s="56"/>
      <c r="AE8" s="10"/>
      <c r="AI8" s="56"/>
      <c r="AJ8" s="10"/>
      <c r="AN8" s="56"/>
      <c r="AO8" s="10"/>
      <c r="AS8" s="56"/>
      <c r="AT8" s="10"/>
      <c r="AX8" s="56"/>
      <c r="AY8" s="10"/>
      <c r="BC8" s="56"/>
      <c r="BD8" s="10"/>
    </row>
    <row r="9" spans="1:58" x14ac:dyDescent="0.3">
      <c r="A9" t="s">
        <v>247</v>
      </c>
      <c r="B9" s="9"/>
      <c r="C9" s="11">
        <f>VLOOKUP(A9,'Profit Loss-Amravati-25-26'!$A$13:$B$190,2,0)</f>
        <v>21860</v>
      </c>
      <c r="D9" s="56"/>
      <c r="E9" s="56"/>
      <c r="F9" s="65">
        <f>+B9+C9+D9</f>
        <v>21860</v>
      </c>
      <c r="G9" s="11">
        <f>VLOOKUP(A9,'Profit Loss-Amravati-25-26'!$A$9:$D$190,3,0)</f>
        <v>21860</v>
      </c>
      <c r="H9" s="56"/>
      <c r="I9" s="56"/>
      <c r="J9" s="56">
        <f>SUM(G9:I9)</f>
        <v>21860</v>
      </c>
      <c r="K9" s="65">
        <f>+H9+G9-F9</f>
        <v>0</v>
      </c>
      <c r="L9" s="55">
        <f>VLOOKUP(A9,'Profit Loss-Amravati-25-26'!$A$9:$F$190,5,0)</f>
        <v>21860</v>
      </c>
      <c r="M9" s="55"/>
      <c r="N9" s="55"/>
      <c r="O9" s="56">
        <f>+L9+M9</f>
        <v>21860</v>
      </c>
      <c r="P9" s="65">
        <f>+O9-J9</f>
        <v>0</v>
      </c>
      <c r="Q9" s="55">
        <f>VLOOKUP(A9,'Profit Loss-Amravati-25-26'!$A$9:$H$190,7,0)</f>
        <v>21860</v>
      </c>
      <c r="R9" s="55"/>
      <c r="S9" s="55"/>
      <c r="T9" s="56">
        <f>+Q9+R9</f>
        <v>21860</v>
      </c>
      <c r="U9" s="65">
        <f>+T9-O9</f>
        <v>0</v>
      </c>
      <c r="V9" s="55">
        <f>VLOOKUP(A9,'Profit Loss-Amravati-25-26'!$A$9:$J$190,9,0)</f>
        <v>21860</v>
      </c>
      <c r="W9" s="55"/>
      <c r="X9" s="55"/>
      <c r="Y9" s="56">
        <f>+V9+W9</f>
        <v>21860</v>
      </c>
      <c r="Z9" s="65">
        <f>+Y9-T9</f>
        <v>0</v>
      </c>
      <c r="AA9" s="55">
        <f>VLOOKUP(A9,'Profit Loss-Amravati-25-26'!$A$9:$L$192,11,0)</f>
        <v>21860</v>
      </c>
      <c r="AB9" s="55"/>
      <c r="AC9" s="55"/>
      <c r="AD9" s="56">
        <f>+AA9+AB9-AC9</f>
        <v>21860</v>
      </c>
      <c r="AE9" s="65">
        <f>+AD9-Y9</f>
        <v>0</v>
      </c>
      <c r="AF9" s="55">
        <f>VLOOKUP(A9,'Profit Loss-Amravati-25-26'!$A$9:$N$192,13,0)</f>
        <v>21860</v>
      </c>
      <c r="AG9" s="55"/>
      <c r="AH9" s="55"/>
      <c r="AI9" s="56">
        <f>+AF9+AG9-AH9</f>
        <v>21860</v>
      </c>
      <c r="AJ9" s="65">
        <f>+AI9-AD9</f>
        <v>0</v>
      </c>
      <c r="AK9" s="55">
        <f>VLOOKUP(A9,'Profit Loss-Amravati-25-26'!$A$9:$P$192,15,0)</f>
        <v>21860</v>
      </c>
      <c r="AL9" s="55"/>
      <c r="AM9" s="55"/>
      <c r="AN9" s="56">
        <f>+AK9+AL9-AM9</f>
        <v>21860</v>
      </c>
      <c r="AO9" s="65">
        <f>+AN9-AI9</f>
        <v>0</v>
      </c>
      <c r="AP9" s="55">
        <f>VLOOKUP(A9,'Profit Loss-Amravati-25-26'!$A$9:$R$192,17,0)</f>
        <v>21860</v>
      </c>
      <c r="AQ9" s="55"/>
      <c r="AR9" s="55"/>
      <c r="AS9" s="56">
        <f>+AP9+AQ9-AR9</f>
        <v>21860</v>
      </c>
      <c r="AT9" s="65">
        <f>+AS9-AN9</f>
        <v>0</v>
      </c>
      <c r="AU9" s="55">
        <f>VLOOKUP(A9,'Profit Loss-Amravati-25-26'!$A$9:$T$192,19,0)</f>
        <v>21860</v>
      </c>
      <c r="AV9" s="55"/>
      <c r="AW9" s="55"/>
      <c r="AX9" s="56">
        <f>+AU9+AV9-AW9</f>
        <v>21860</v>
      </c>
      <c r="AY9" s="65">
        <f>+AX9-AS9</f>
        <v>0</v>
      </c>
      <c r="AZ9" s="55">
        <f>VLOOKUP(A9,'Profit Loss-Amravati-25-26'!$A$9:$V$192,21,0)</f>
        <v>21860</v>
      </c>
      <c r="BA9" s="55"/>
      <c r="BB9" s="55"/>
      <c r="BC9" s="56">
        <f>+AZ9+BA9-BB9</f>
        <v>21860</v>
      </c>
      <c r="BD9" s="65">
        <f>+BC9-AX9</f>
        <v>0</v>
      </c>
      <c r="BE9" s="55"/>
      <c r="BF9" s="55"/>
    </row>
    <row r="10" spans="1:58" x14ac:dyDescent="0.3">
      <c r="A10" s="10" t="s">
        <v>177</v>
      </c>
      <c r="B10" s="9"/>
      <c r="C10" s="11">
        <f>VLOOKUP(A10,'Profit Loss-Amravati-25-26'!$A$13:$B$190,2,0)</f>
        <v>47838868.75</v>
      </c>
      <c r="D10" s="56"/>
      <c r="E10" s="56"/>
      <c r="F10" s="65">
        <f>+B10+C10+D10</f>
        <v>47838868.75</v>
      </c>
      <c r="G10" s="11">
        <f>VLOOKUP(A10,'Profit Loss-Amravati-25-26'!$A$9:$D$190,3,0)</f>
        <v>93255699</v>
      </c>
      <c r="H10" s="56"/>
      <c r="I10" s="56"/>
      <c r="J10" s="56">
        <f t="shared" ref="J10:J18" si="0">SUM(G10:I10)</f>
        <v>93255699</v>
      </c>
      <c r="K10" s="65">
        <f t="shared" ref="K10:K17" si="1">+H10+G10-F10</f>
        <v>45416830.25</v>
      </c>
      <c r="L10" s="55">
        <f>VLOOKUP(A10,'Profit Loss-Amravati-25-26'!$A$9:$F$190,5,0)</f>
        <v>148598505.34999999</v>
      </c>
      <c r="M10" s="55"/>
      <c r="N10" s="55"/>
      <c r="O10" s="56">
        <f t="shared" ref="O10:O17" si="2">+L10+M10</f>
        <v>148598505.34999999</v>
      </c>
      <c r="P10" s="65">
        <f t="shared" ref="P10:P18" si="3">+O10-J10</f>
        <v>55342806.349999994</v>
      </c>
      <c r="Q10" s="55">
        <f>VLOOKUP(A10,'Profit Loss-Amravati-25-26'!$A$9:$H$190,7,0)</f>
        <v>226620149.49000001</v>
      </c>
      <c r="R10" s="55"/>
      <c r="S10" s="55"/>
      <c r="T10" s="56">
        <f t="shared" ref="T10:T17" si="4">+Q10+R10</f>
        <v>226620149.49000001</v>
      </c>
      <c r="U10" s="65">
        <f t="shared" ref="U10:U18" si="5">+T10-O10</f>
        <v>78021644.140000015</v>
      </c>
      <c r="V10" s="55">
        <f>VLOOKUP(A10,'Profit Loss-Amravati-25-26'!$A$9:$J$190,9,0)</f>
        <v>276763705.29000002</v>
      </c>
      <c r="W10" s="55"/>
      <c r="X10" s="55"/>
      <c r="Y10" s="56">
        <f t="shared" ref="Y10:Y17" si="6">+V10+W10</f>
        <v>276763705.29000002</v>
      </c>
      <c r="Z10" s="65">
        <f t="shared" ref="Z10:Z18" si="7">+Y10-T10</f>
        <v>50143555.800000012</v>
      </c>
      <c r="AA10" s="55">
        <f>VLOOKUP(A10,'Profit Loss-Amravati-25-26'!$A$9:$L$192,11,0)</f>
        <v>360383576.33999997</v>
      </c>
      <c r="AB10" s="55"/>
      <c r="AC10" s="55"/>
      <c r="AD10" s="56">
        <f t="shared" ref="AD10:AD17" si="8">+AA10+AB10-AC10</f>
        <v>360383576.33999997</v>
      </c>
      <c r="AE10" s="65">
        <f t="shared" ref="AE10:AE18" si="9">+AD10-Y10</f>
        <v>83619871.049999952</v>
      </c>
      <c r="AF10" s="55">
        <f>VLOOKUP(A10,'Profit Loss-Amravati-25-26'!$A$9:$N$192,13,0)</f>
        <v>391950601.49000001</v>
      </c>
      <c r="AG10" s="55"/>
      <c r="AH10" s="55"/>
      <c r="AI10" s="56">
        <f t="shared" ref="AI10:AI18" si="10">+AF10+AG10-AH10</f>
        <v>391950601.49000001</v>
      </c>
      <c r="AJ10" s="65">
        <f t="shared" ref="AJ10:AJ18" si="11">+AI10-AD10</f>
        <v>31567025.150000036</v>
      </c>
      <c r="AK10" s="55">
        <f>VLOOKUP(A10,'Profit Loss-Amravati-25-26'!$A$9:$P$192,15,0)</f>
        <v>438053775.99000001</v>
      </c>
      <c r="AL10" s="55"/>
      <c r="AM10" s="55"/>
      <c r="AN10" s="56">
        <f t="shared" ref="AN10:AN18" si="12">+AK10+AL10-AM10</f>
        <v>438053775.99000001</v>
      </c>
      <c r="AO10" s="65">
        <f t="shared" ref="AO10:AO18" si="13">+AN10-AI10</f>
        <v>46103174.5</v>
      </c>
      <c r="AP10" s="55">
        <f>VLOOKUP(A10,'Profit Loss-Amravati-25-26'!$A$9:$R$192,17,0)</f>
        <v>518244329.33999997</v>
      </c>
      <c r="AQ10" s="55"/>
      <c r="AR10" s="55"/>
      <c r="AS10" s="56">
        <f t="shared" ref="AS10:AS18" si="14">+AP10+AQ10-AR10</f>
        <v>518244329.33999997</v>
      </c>
      <c r="AT10" s="65">
        <f t="shared" ref="AT10:AT18" si="15">+AS10-AN10</f>
        <v>80190553.349999964</v>
      </c>
      <c r="AU10" s="55">
        <f>VLOOKUP(A10,'Profit Loss-Amravati-25-26'!$A$9:$T$192,19,0)</f>
        <v>591010407.44000006</v>
      </c>
      <c r="AV10" s="55"/>
      <c r="AW10" s="55"/>
      <c r="AX10" s="56">
        <f t="shared" ref="AX10:AX18" si="16">+AU10+AV10-AW10</f>
        <v>591010407.44000006</v>
      </c>
      <c r="AY10" s="65">
        <f t="shared" ref="AY10:AY18" si="17">+AX10-AS10</f>
        <v>72766078.100000083</v>
      </c>
      <c r="AZ10" s="55">
        <f>VLOOKUP(A10,'Profit Loss-Amravati-25-26'!$A$9:$V$192,21,0)</f>
        <v>648681759.38999999</v>
      </c>
      <c r="BA10" s="55"/>
      <c r="BB10" s="55"/>
      <c r="BC10" s="56">
        <f t="shared" ref="BC10:BC18" si="18">+AZ10+BA10-BB10</f>
        <v>648681759.38999999</v>
      </c>
      <c r="BD10" s="65">
        <f t="shared" ref="BD10:BD18" si="19">+BC10-AX10</f>
        <v>57671351.949999928</v>
      </c>
      <c r="BE10" s="55"/>
      <c r="BF10" s="55"/>
    </row>
    <row r="11" spans="1:58" hidden="1" x14ac:dyDescent="0.3">
      <c r="A11" s="10" t="s">
        <v>452</v>
      </c>
      <c r="B11" s="9"/>
      <c r="C11" s="11"/>
      <c r="D11" s="56"/>
      <c r="E11" s="56"/>
      <c r="F11" s="65"/>
      <c r="G11" s="11"/>
      <c r="H11" s="56"/>
      <c r="I11" s="56"/>
      <c r="J11" s="56"/>
      <c r="K11" s="65"/>
      <c r="L11" s="55"/>
      <c r="M11" s="55"/>
      <c r="N11" s="55"/>
      <c r="O11" s="56"/>
      <c r="P11" s="65"/>
      <c r="Q11" s="55"/>
      <c r="R11" s="55"/>
      <c r="S11" s="55"/>
      <c r="T11" s="56"/>
      <c r="U11" s="65"/>
      <c r="V11" s="55"/>
      <c r="W11" s="55"/>
      <c r="X11" s="55"/>
      <c r="Y11" s="56"/>
      <c r="Z11" s="65"/>
      <c r="AA11" s="55"/>
      <c r="AB11" s="55"/>
      <c r="AC11" s="55"/>
      <c r="AD11" s="56"/>
      <c r="AE11" s="65"/>
      <c r="AF11" s="55"/>
      <c r="AG11" s="55"/>
      <c r="AH11" s="55"/>
      <c r="AI11" s="56"/>
      <c r="AJ11" s="65"/>
      <c r="AK11" s="55"/>
      <c r="AL11" s="55"/>
      <c r="AM11" s="55"/>
      <c r="AN11" s="56"/>
      <c r="AO11" s="65"/>
      <c r="AP11" s="55"/>
      <c r="AQ11" s="55"/>
      <c r="AR11" s="55"/>
      <c r="AS11" s="56"/>
      <c r="AT11" s="65"/>
      <c r="AU11" s="55">
        <f>VLOOKUP(A11,'Profit Loss-Amravati-25-26'!$A$9:$T$192,19,0)</f>
        <v>0</v>
      </c>
      <c r="AV11" s="55"/>
      <c r="AW11" s="55"/>
      <c r="AX11" s="56">
        <f t="shared" si="16"/>
        <v>0</v>
      </c>
      <c r="AY11" s="65">
        <f t="shared" si="17"/>
        <v>0</v>
      </c>
      <c r="AZ11" s="55">
        <f>VLOOKUP(A11,'Profit Loss-Amravati-25-26'!$A$9:$V$192,21,0)</f>
        <v>0</v>
      </c>
      <c r="BA11" s="55"/>
      <c r="BB11" s="55"/>
      <c r="BC11" s="56">
        <f t="shared" si="18"/>
        <v>0</v>
      </c>
      <c r="BD11" s="65">
        <f t="shared" si="19"/>
        <v>0</v>
      </c>
      <c r="BE11" s="55"/>
      <c r="BF11" s="55"/>
    </row>
    <row r="12" spans="1:58" x14ac:dyDescent="0.3">
      <c r="A12" s="20" t="s">
        <v>453</v>
      </c>
      <c r="B12" s="9"/>
      <c r="C12" s="11"/>
      <c r="D12" s="56"/>
      <c r="E12" s="56"/>
      <c r="F12" s="65"/>
      <c r="G12" s="11"/>
      <c r="H12" s="56"/>
      <c r="I12" s="56"/>
      <c r="J12" s="56"/>
      <c r="K12" s="65"/>
      <c r="L12" s="55"/>
      <c r="M12" s="55"/>
      <c r="N12" s="55"/>
      <c r="O12" s="56"/>
      <c r="P12" s="65"/>
      <c r="Q12" s="55"/>
      <c r="R12" s="55"/>
      <c r="S12" s="55"/>
      <c r="T12" s="56"/>
      <c r="U12" s="65"/>
      <c r="V12" s="55"/>
      <c r="W12" s="55"/>
      <c r="X12" s="55"/>
      <c r="Y12" s="56"/>
      <c r="Z12" s="65"/>
      <c r="AA12" s="55"/>
      <c r="AB12" s="55"/>
      <c r="AC12" s="55"/>
      <c r="AD12" s="56"/>
      <c r="AE12" s="65"/>
      <c r="AF12" s="55"/>
      <c r="AG12" s="55"/>
      <c r="AH12" s="55"/>
      <c r="AI12" s="56"/>
      <c r="AJ12" s="65"/>
      <c r="AK12" s="55"/>
      <c r="AL12" s="55"/>
      <c r="AM12" s="55"/>
      <c r="AN12" s="56"/>
      <c r="AO12" s="65"/>
      <c r="AP12" s="55"/>
      <c r="AQ12" s="55"/>
      <c r="AR12" s="55"/>
      <c r="AS12" s="56"/>
      <c r="AT12" s="65"/>
      <c r="AU12" s="55">
        <f>VLOOKUP(A12,'Profit Loss-Amravati-25-26'!$A$9:$T$192,19,0)</f>
        <v>646961</v>
      </c>
      <c r="AV12" s="55"/>
      <c r="AW12" s="55"/>
      <c r="AX12" s="56">
        <f t="shared" si="16"/>
        <v>646961</v>
      </c>
      <c r="AY12" s="65">
        <f t="shared" si="17"/>
        <v>646961</v>
      </c>
      <c r="AZ12" s="55">
        <f>VLOOKUP(A12,'Profit Loss-Amravati-25-26'!$A$9:$V$192,21,0)</f>
        <v>646961</v>
      </c>
      <c r="BA12" s="55"/>
      <c r="BB12" s="55"/>
      <c r="BC12" s="56">
        <f t="shared" si="18"/>
        <v>646961</v>
      </c>
      <c r="BD12" s="65">
        <f t="shared" si="19"/>
        <v>0</v>
      </c>
      <c r="BE12" s="55"/>
      <c r="BF12" s="55"/>
    </row>
    <row r="13" spans="1:58" x14ac:dyDescent="0.3">
      <c r="A13" s="10" t="s">
        <v>178</v>
      </c>
      <c r="B13" s="9"/>
      <c r="C13" s="11">
        <f>VLOOKUP(A13,'Profit Loss-Amravati-25-26'!$A$13:$B$190,2,0)</f>
        <v>26900</v>
      </c>
      <c r="D13" s="56"/>
      <c r="E13" s="56"/>
      <c r="F13" s="65">
        <f>+B13+C13+D13</f>
        <v>26900</v>
      </c>
      <c r="G13" s="11">
        <f>VLOOKUP(A13,'Profit Loss-Amravati-25-26'!$A$9:$D$190,3,0)</f>
        <v>162790</v>
      </c>
      <c r="H13" s="56"/>
      <c r="I13" s="56"/>
      <c r="J13" s="56">
        <f t="shared" si="0"/>
        <v>162790</v>
      </c>
      <c r="K13" s="65">
        <f t="shared" si="1"/>
        <v>135890</v>
      </c>
      <c r="L13" s="55">
        <f>VLOOKUP(A13,'Profit Loss-Amravati-25-26'!$A$9:$F$190,5,0)</f>
        <v>162790</v>
      </c>
      <c r="M13" s="55"/>
      <c r="N13" s="55"/>
      <c r="O13" s="56">
        <f t="shared" si="2"/>
        <v>162790</v>
      </c>
      <c r="P13" s="65">
        <f t="shared" si="3"/>
        <v>0</v>
      </c>
      <c r="Q13" s="55">
        <f>VLOOKUP(A13,'Profit Loss-Amravati-25-26'!$A$9:$H$190,7,0)</f>
        <v>185950</v>
      </c>
      <c r="R13" s="55"/>
      <c r="S13" s="55"/>
      <c r="T13" s="56">
        <f t="shared" si="4"/>
        <v>185950</v>
      </c>
      <c r="U13" s="65">
        <f t="shared" si="5"/>
        <v>23160</v>
      </c>
      <c r="V13" s="55">
        <f>VLOOKUP(A13,'Profit Loss-Amravati-25-26'!$A$9:$J$190,9,0)</f>
        <v>205290</v>
      </c>
      <c r="W13" s="55"/>
      <c r="X13" s="55"/>
      <c r="Y13" s="56">
        <f t="shared" si="6"/>
        <v>205290</v>
      </c>
      <c r="Z13" s="65">
        <f t="shared" si="7"/>
        <v>19340</v>
      </c>
      <c r="AA13" s="55">
        <f>VLOOKUP(A13,'Profit Loss-Amravati-25-26'!$A$9:$L$192,11,0)</f>
        <v>439540</v>
      </c>
      <c r="AB13" s="55"/>
      <c r="AC13" s="55"/>
      <c r="AD13" s="56">
        <f t="shared" si="8"/>
        <v>439540</v>
      </c>
      <c r="AE13" s="65">
        <f t="shared" si="9"/>
        <v>234250</v>
      </c>
      <c r="AF13" s="55">
        <f>VLOOKUP(A13,'Profit Loss-Amravati-25-26'!$A$9:$N$192,13,0)</f>
        <v>471500</v>
      </c>
      <c r="AG13" s="55"/>
      <c r="AH13" s="55"/>
      <c r="AI13" s="56">
        <f t="shared" si="10"/>
        <v>471500</v>
      </c>
      <c r="AJ13" s="65">
        <f t="shared" si="11"/>
        <v>31960</v>
      </c>
      <c r="AK13" s="55">
        <f>VLOOKUP(A13,'Profit Loss-Amravati-25-26'!$A$9:$P$192,15,0)</f>
        <v>471500.01</v>
      </c>
      <c r="AL13" s="55"/>
      <c r="AM13" s="55"/>
      <c r="AN13" s="56">
        <f t="shared" si="12"/>
        <v>471500.01</v>
      </c>
      <c r="AO13" s="65">
        <f t="shared" si="13"/>
        <v>1.0000000009313226E-2</v>
      </c>
      <c r="AP13" s="55">
        <f>VLOOKUP(A13,'Profit Loss-Amravati-25-26'!$A$9:$R$192,17,0)</f>
        <v>471500.01</v>
      </c>
      <c r="AQ13" s="55"/>
      <c r="AR13" s="55"/>
      <c r="AS13" s="56">
        <f t="shared" si="14"/>
        <v>471500.01</v>
      </c>
      <c r="AT13" s="65">
        <f t="shared" si="15"/>
        <v>0</v>
      </c>
      <c r="AU13" s="55">
        <f>VLOOKUP(A13,'Profit Loss-Amravati-25-26'!$A$9:$T$192,19,0)</f>
        <v>471500.01</v>
      </c>
      <c r="AV13" s="55"/>
      <c r="AW13" s="55"/>
      <c r="AX13" s="56">
        <f t="shared" si="16"/>
        <v>471500.01</v>
      </c>
      <c r="AY13" s="65">
        <f t="shared" si="17"/>
        <v>0</v>
      </c>
      <c r="AZ13" s="55">
        <f>VLOOKUP(A13,'Profit Loss-Amravati-25-26'!$A$9:$V$192,21,0)</f>
        <v>471500.01</v>
      </c>
      <c r="BA13" s="55"/>
      <c r="BB13" s="55"/>
      <c r="BC13" s="56">
        <f t="shared" si="18"/>
        <v>471500.01</v>
      </c>
      <c r="BD13" s="65">
        <f t="shared" si="19"/>
        <v>0</v>
      </c>
      <c r="BE13" s="55"/>
      <c r="BF13" s="55"/>
    </row>
    <row r="14" spans="1:58" x14ac:dyDescent="0.3">
      <c r="A14" t="s">
        <v>402</v>
      </c>
      <c r="B14" s="9"/>
      <c r="C14" s="11"/>
      <c r="D14" s="56"/>
      <c r="E14" s="56"/>
      <c r="F14" s="65"/>
      <c r="G14" s="11"/>
      <c r="H14" s="56"/>
      <c r="I14" s="56"/>
      <c r="J14" s="56"/>
      <c r="K14" s="65"/>
      <c r="L14" s="55"/>
      <c r="M14" s="55"/>
      <c r="N14" s="55"/>
      <c r="O14" s="56"/>
      <c r="P14" s="65"/>
      <c r="Q14" s="55"/>
      <c r="R14" s="55"/>
      <c r="S14" s="55"/>
      <c r="T14" s="56"/>
      <c r="U14" s="65"/>
      <c r="V14" s="55"/>
      <c r="W14" s="55"/>
      <c r="X14" s="55"/>
      <c r="Y14" s="56"/>
      <c r="Z14" s="65"/>
      <c r="AA14" s="55"/>
      <c r="AB14" s="55"/>
      <c r="AC14" s="55"/>
      <c r="AD14" s="56"/>
      <c r="AE14" s="65"/>
      <c r="AF14" s="55"/>
      <c r="AG14" s="55"/>
      <c r="AH14" s="55"/>
      <c r="AI14" s="56"/>
      <c r="AJ14" s="65"/>
      <c r="AK14" s="55">
        <f>VLOOKUP(A14,'Profit Loss-Amravati-25-26'!$A$9:$P$192,15,0)</f>
        <v>72061522</v>
      </c>
      <c r="AL14" s="55"/>
      <c r="AM14" s="55"/>
      <c r="AN14" s="56">
        <f t="shared" si="12"/>
        <v>72061522</v>
      </c>
      <c r="AO14" s="65">
        <f t="shared" si="13"/>
        <v>72061522</v>
      </c>
      <c r="AP14" s="55">
        <f>VLOOKUP(A14,'Profit Loss-Amravati-25-26'!$A$9:$R$192,17,0)</f>
        <v>150117512</v>
      </c>
      <c r="AQ14" s="55"/>
      <c r="AR14" s="55"/>
      <c r="AS14" s="56">
        <f t="shared" si="14"/>
        <v>150117512</v>
      </c>
      <c r="AT14" s="65">
        <f t="shared" si="15"/>
        <v>78055990</v>
      </c>
      <c r="AU14" s="55">
        <f>VLOOKUP(A14,'Profit Loss-Amravati-25-26'!$A$9:$T$192,19,0)</f>
        <v>150117512</v>
      </c>
      <c r="AV14" s="55"/>
      <c r="AW14" s="55"/>
      <c r="AX14" s="56">
        <f t="shared" si="16"/>
        <v>150117512</v>
      </c>
      <c r="AY14" s="65">
        <f t="shared" si="17"/>
        <v>0</v>
      </c>
      <c r="AZ14" s="55">
        <f>VLOOKUP(A14,'Profit Loss-Amravati-25-26'!$A$9:$V$192,21,0)</f>
        <v>158852699</v>
      </c>
      <c r="BA14" s="55"/>
      <c r="BB14" s="55"/>
      <c r="BC14" s="56">
        <f t="shared" si="18"/>
        <v>158852699</v>
      </c>
      <c r="BD14" s="65">
        <f t="shared" si="19"/>
        <v>8735187</v>
      </c>
      <c r="BE14" s="55"/>
      <c r="BF14" s="55"/>
    </row>
    <row r="15" spans="1:58" x14ac:dyDescent="0.3">
      <c r="A15" s="10" t="s">
        <v>176</v>
      </c>
      <c r="B15" s="9"/>
      <c r="C15" s="11"/>
      <c r="D15" s="56"/>
      <c r="E15" s="56"/>
      <c r="F15" s="65">
        <v>0</v>
      </c>
      <c r="G15" s="11">
        <f>VLOOKUP(A15,'Profit Loss-Amravati-25-26'!$A$9:$D$190,3,0)</f>
        <v>17488529</v>
      </c>
      <c r="H15" s="56"/>
      <c r="I15" s="56"/>
      <c r="J15" s="56">
        <f t="shared" si="0"/>
        <v>17488529</v>
      </c>
      <c r="K15" s="65">
        <f t="shared" si="1"/>
        <v>17488529</v>
      </c>
      <c r="L15" s="55">
        <f>VLOOKUP(A15,'Profit Loss-Amravati-25-26'!$A$9:$F$190,5,0)</f>
        <v>17488529</v>
      </c>
      <c r="M15" s="55"/>
      <c r="N15" s="55"/>
      <c r="O15" s="56">
        <f t="shared" si="2"/>
        <v>17488529</v>
      </c>
      <c r="P15" s="65">
        <f t="shared" si="3"/>
        <v>0</v>
      </c>
      <c r="Q15" s="55">
        <f>VLOOKUP(A15,'Profit Loss-Amravati-25-26'!$A$9:$H$190,7,0)</f>
        <v>28044991</v>
      </c>
      <c r="R15" s="55"/>
      <c r="S15" s="55"/>
      <c r="T15" s="56">
        <f>+(Q15+R15)-352327</f>
        <v>27692664</v>
      </c>
      <c r="U15" s="65">
        <f t="shared" si="5"/>
        <v>10204135</v>
      </c>
      <c r="V15" s="55">
        <f>VLOOKUP(A15,'Profit Loss-Amravati-25-26'!$A$9:$J$190,9,0)</f>
        <v>38932993</v>
      </c>
      <c r="W15" s="55"/>
      <c r="X15" s="55"/>
      <c r="Y15" s="56">
        <f>+(V15+W15)-9215036-352327</f>
        <v>29365630</v>
      </c>
      <c r="Z15" s="65">
        <f t="shared" si="7"/>
        <v>1672966</v>
      </c>
      <c r="AA15" s="55">
        <f>VLOOKUP(A15,'Profit Loss-Amravati-25-26'!$A$9:$L$192,11,0)</f>
        <v>31936237</v>
      </c>
      <c r="AB15" s="55"/>
      <c r="AC15" s="55"/>
      <c r="AD15" s="56">
        <f t="shared" si="8"/>
        <v>31936237</v>
      </c>
      <c r="AE15" s="65">
        <f t="shared" si="9"/>
        <v>2570607</v>
      </c>
      <c r="AF15" s="55">
        <f>VLOOKUP(A15,'Profit Loss-Amravati-25-26'!$A$9:$N$192,13,0)</f>
        <v>58108673</v>
      </c>
      <c r="AG15" s="55"/>
      <c r="AH15" s="55"/>
      <c r="AI15" s="56">
        <f t="shared" si="10"/>
        <v>58108673</v>
      </c>
      <c r="AJ15" s="65">
        <f t="shared" si="11"/>
        <v>26172436</v>
      </c>
      <c r="AK15" s="55">
        <f>VLOOKUP(A15,'Profit Loss-Amravati-25-26'!$A$9:$P$192,15,0)</f>
        <v>73649850</v>
      </c>
      <c r="AL15" s="55"/>
      <c r="AM15" s="55"/>
      <c r="AN15" s="56">
        <f t="shared" si="12"/>
        <v>73649850</v>
      </c>
      <c r="AO15" s="65">
        <f t="shared" si="13"/>
        <v>15541177</v>
      </c>
      <c r="AP15" s="55">
        <f>VLOOKUP(A15,'Profit Loss-Amravati-25-26'!$A$9:$R$192,17,0)</f>
        <v>84681620</v>
      </c>
      <c r="AQ15" s="55"/>
      <c r="AR15" s="55"/>
      <c r="AS15" s="56">
        <f t="shared" si="14"/>
        <v>84681620</v>
      </c>
      <c r="AT15" s="65">
        <f t="shared" si="15"/>
        <v>11031770</v>
      </c>
      <c r="AU15" s="55">
        <f>VLOOKUP(A15,'Profit Loss-Amravati-25-26'!$A$9:$T$192,19,0)</f>
        <v>84702821</v>
      </c>
      <c r="AV15" s="55"/>
      <c r="AW15" s="55"/>
      <c r="AX15" s="56">
        <f t="shared" si="16"/>
        <v>84702821</v>
      </c>
      <c r="AY15" s="65">
        <f t="shared" si="17"/>
        <v>21201</v>
      </c>
      <c r="AZ15" s="55">
        <f>VLOOKUP(A15,'Profit Loss-Amravati-25-26'!$A$9:$V$192,21,0)</f>
        <v>105750522</v>
      </c>
      <c r="BA15" s="55"/>
      <c r="BB15" s="55"/>
      <c r="BC15" s="56">
        <f t="shared" si="18"/>
        <v>105750522</v>
      </c>
      <c r="BD15" s="65">
        <f t="shared" si="19"/>
        <v>21047701</v>
      </c>
      <c r="BE15" s="55"/>
      <c r="BF15" s="55"/>
    </row>
    <row r="16" spans="1:58" x14ac:dyDescent="0.3">
      <c r="A16" s="10" t="s">
        <v>345</v>
      </c>
      <c r="B16" s="9"/>
      <c r="C16" s="11"/>
      <c r="D16" s="56"/>
      <c r="E16" s="56"/>
      <c r="F16" s="65"/>
      <c r="G16" s="11"/>
      <c r="H16" s="56"/>
      <c r="I16" s="56"/>
      <c r="J16" s="56"/>
      <c r="K16" s="65"/>
      <c r="L16" s="55"/>
      <c r="M16" s="55"/>
      <c r="N16" s="55"/>
      <c r="O16" s="56"/>
      <c r="P16" s="65"/>
      <c r="Q16" s="55">
        <f>VLOOKUP(A16,'Profit Loss-Amravati-25-26'!$A$9:$H$190,7,0)</f>
        <v>1961392</v>
      </c>
      <c r="R16" s="55"/>
      <c r="S16" s="55"/>
      <c r="T16" s="56">
        <f t="shared" si="4"/>
        <v>1961392</v>
      </c>
      <c r="U16" s="65">
        <f t="shared" si="5"/>
        <v>1961392</v>
      </c>
      <c r="V16" s="55">
        <f>VLOOKUP(A16,'Profit Loss-Amravati-25-26'!$A$9:$J$190,9,0)</f>
        <v>2001211</v>
      </c>
      <c r="W16" s="55"/>
      <c r="X16" s="55"/>
      <c r="Y16" s="56">
        <f t="shared" si="6"/>
        <v>2001211</v>
      </c>
      <c r="Z16" s="65">
        <f t="shared" si="7"/>
        <v>39819</v>
      </c>
      <c r="AA16" s="55">
        <f>VLOOKUP(A16,'Profit Loss-Amravati-25-26'!$A$9:$L$192,11,0)</f>
        <v>2001211</v>
      </c>
      <c r="AB16" s="55"/>
      <c r="AC16" s="55"/>
      <c r="AD16" s="56">
        <f t="shared" si="8"/>
        <v>2001211</v>
      </c>
      <c r="AE16" s="65">
        <f t="shared" si="9"/>
        <v>0</v>
      </c>
      <c r="AF16" s="55">
        <f>VLOOKUP(A16,'Profit Loss-Amravati-25-26'!$A$9:$N$192,13,0)</f>
        <v>2419148</v>
      </c>
      <c r="AG16" s="55"/>
      <c r="AH16" s="55"/>
      <c r="AI16" s="56">
        <f t="shared" si="10"/>
        <v>2419148</v>
      </c>
      <c r="AJ16" s="65">
        <f t="shared" si="11"/>
        <v>417937</v>
      </c>
      <c r="AK16" s="55">
        <f>VLOOKUP(A16,'Profit Loss-Amravati-25-26'!$A$9:$P$192,15,0)</f>
        <v>2419148</v>
      </c>
      <c r="AL16" s="55"/>
      <c r="AM16" s="55"/>
      <c r="AN16" s="56">
        <f t="shared" si="12"/>
        <v>2419148</v>
      </c>
      <c r="AO16" s="65">
        <f t="shared" si="13"/>
        <v>0</v>
      </c>
      <c r="AP16" s="55">
        <f>VLOOKUP(A16,'Profit Loss-Amravati-25-26'!$A$9:$R$192,17,0)</f>
        <v>2821225</v>
      </c>
      <c r="AQ16" s="55"/>
      <c r="AR16" s="55"/>
      <c r="AS16" s="56">
        <f t="shared" si="14"/>
        <v>2821225</v>
      </c>
      <c r="AT16" s="65">
        <f t="shared" si="15"/>
        <v>402077</v>
      </c>
      <c r="AU16" s="55">
        <f>VLOOKUP(A16,'Profit Loss-Amravati-25-26'!$A$9:$T$192,19,0)</f>
        <v>3094230</v>
      </c>
      <c r="AV16" s="55"/>
      <c r="AW16" s="55"/>
      <c r="AX16" s="56">
        <f t="shared" si="16"/>
        <v>3094230</v>
      </c>
      <c r="AY16" s="65">
        <f t="shared" si="17"/>
        <v>273005</v>
      </c>
      <c r="AZ16" s="55">
        <f>VLOOKUP(A16,'Profit Loss-Amravati-25-26'!$A$9:$V$192,21,0)</f>
        <v>4971595</v>
      </c>
      <c r="BA16" s="55"/>
      <c r="BB16" s="55"/>
      <c r="BC16" s="56">
        <f t="shared" si="18"/>
        <v>4971595</v>
      </c>
      <c r="BD16" s="65">
        <f t="shared" si="19"/>
        <v>1877365</v>
      </c>
      <c r="BE16" s="55"/>
      <c r="BF16" s="55"/>
    </row>
    <row r="17" spans="1:58" x14ac:dyDescent="0.3">
      <c r="A17" s="10" t="s">
        <v>179</v>
      </c>
      <c r="B17" s="9"/>
      <c r="C17" s="11">
        <f>VLOOKUP(A17,'Profit Loss-Amravati-25-26'!$A$13:$B$190,2,0)</f>
        <v>1704310</v>
      </c>
      <c r="D17" s="56"/>
      <c r="E17" s="56"/>
      <c r="F17" s="65">
        <f>+B17+C17+D17</f>
        <v>1704310</v>
      </c>
      <c r="G17" s="11">
        <f>VLOOKUP(A17,'Profit Loss-Amravati-25-26'!$A$9:$D$190,3,0)</f>
        <v>1704310</v>
      </c>
      <c r="H17" s="56"/>
      <c r="I17" s="56"/>
      <c r="J17" s="56">
        <f t="shared" si="0"/>
        <v>1704310</v>
      </c>
      <c r="K17" s="65">
        <f t="shared" si="1"/>
        <v>0</v>
      </c>
      <c r="L17" s="55">
        <f>VLOOKUP(A17,'Profit Loss-Amravati-25-26'!$A$9:$F$190,5,0)</f>
        <v>3480367</v>
      </c>
      <c r="M17" s="55"/>
      <c r="N17" s="55"/>
      <c r="O17" s="56">
        <f t="shared" si="2"/>
        <v>3480367</v>
      </c>
      <c r="P17" s="65">
        <f t="shared" si="3"/>
        <v>1776057</v>
      </c>
      <c r="Q17" s="55">
        <f>VLOOKUP(A17,'Profit Loss-Amravati-25-26'!$A$9:$H$190,7,0)</f>
        <v>4008793</v>
      </c>
      <c r="R17" s="55"/>
      <c r="S17" s="55"/>
      <c r="T17" s="56">
        <f t="shared" si="4"/>
        <v>4008793</v>
      </c>
      <c r="U17" s="65">
        <f t="shared" si="5"/>
        <v>528426</v>
      </c>
      <c r="V17" s="55">
        <f>VLOOKUP(A17,'Profit Loss-Amravati-25-26'!$A$9:$J$190,9,0)</f>
        <v>4930093</v>
      </c>
      <c r="W17" s="55"/>
      <c r="X17" s="55"/>
      <c r="Y17" s="56">
        <f t="shared" si="6"/>
        <v>4930093</v>
      </c>
      <c r="Z17" s="65">
        <f t="shared" si="7"/>
        <v>921300</v>
      </c>
      <c r="AA17" s="55">
        <f>VLOOKUP(A17,'Profit Loss-Amravati-25-26'!$A$9:$L$192,11,0)</f>
        <v>5699323</v>
      </c>
      <c r="AB17" s="55"/>
      <c r="AC17" s="55"/>
      <c r="AD17" s="56">
        <f t="shared" si="8"/>
        <v>5699323</v>
      </c>
      <c r="AE17" s="65">
        <f t="shared" si="9"/>
        <v>769230</v>
      </c>
      <c r="AF17" s="55">
        <f>VLOOKUP(A17,'Profit Loss-Amravati-25-26'!$A$9:$N$192,13,0)</f>
        <v>5699323</v>
      </c>
      <c r="AG17" s="55"/>
      <c r="AH17" s="55"/>
      <c r="AI17" s="56">
        <f t="shared" si="10"/>
        <v>5699323</v>
      </c>
      <c r="AJ17" s="65">
        <f t="shared" si="11"/>
        <v>0</v>
      </c>
      <c r="AK17" s="55">
        <f>VLOOKUP(A17,'Profit Loss-Amravati-25-26'!$A$9:$P$192,15,0)</f>
        <v>6121968</v>
      </c>
      <c r="AL17" s="55"/>
      <c r="AM17" s="55"/>
      <c r="AN17" s="56">
        <f t="shared" si="12"/>
        <v>6121968</v>
      </c>
      <c r="AO17" s="65">
        <f t="shared" si="13"/>
        <v>422645</v>
      </c>
      <c r="AP17" s="55">
        <f>VLOOKUP(A17,'Profit Loss-Amravati-25-26'!$A$9:$R$192,17,0)</f>
        <v>7995966</v>
      </c>
      <c r="AQ17" s="55"/>
      <c r="AR17" s="55"/>
      <c r="AS17" s="56">
        <f t="shared" si="14"/>
        <v>7995966</v>
      </c>
      <c r="AT17" s="65">
        <f t="shared" si="15"/>
        <v>1873998</v>
      </c>
      <c r="AU17" s="55">
        <f>VLOOKUP(A17,'Profit Loss-Amravati-25-26'!$A$9:$T$192,19,0)</f>
        <v>9757463</v>
      </c>
      <c r="AV17" s="55"/>
      <c r="AW17" s="55"/>
      <c r="AX17" s="56">
        <f t="shared" si="16"/>
        <v>9757463</v>
      </c>
      <c r="AY17" s="65">
        <f t="shared" si="17"/>
        <v>1761497</v>
      </c>
      <c r="AZ17" s="55">
        <f>VLOOKUP(A17,'Profit Loss-Amravati-25-26'!$A$9:$V$192,21,0)</f>
        <v>9760163</v>
      </c>
      <c r="BA17" s="55"/>
      <c r="BB17" s="55"/>
      <c r="BC17" s="56">
        <f t="shared" si="18"/>
        <v>9760163</v>
      </c>
      <c r="BD17" s="65">
        <f t="shared" si="19"/>
        <v>2700</v>
      </c>
      <c r="BE17" s="55"/>
      <c r="BF17" s="55"/>
    </row>
    <row r="18" spans="1:58" hidden="1" x14ac:dyDescent="0.3">
      <c r="A18" s="10" t="s">
        <v>257</v>
      </c>
      <c r="B18" s="9"/>
      <c r="C18" s="9"/>
      <c r="D18" s="57">
        <f>VLOOKUP(A18,'Profit Loss-Betul-25-26'!$A$9:$B$140,2,0)*0+1501872</f>
        <v>1501872</v>
      </c>
      <c r="E18" s="57">
        <v>1501872</v>
      </c>
      <c r="F18" s="65">
        <f>+B18+C18+D18-E18</f>
        <v>0</v>
      </c>
      <c r="G18" s="11"/>
      <c r="H18" s="57">
        <f>VLOOKUP(A18,'Profit Loss-Betul-25-26'!$A$9:$D$140,3,0)</f>
        <v>2501098</v>
      </c>
      <c r="I18" s="57">
        <f>-H18</f>
        <v>-2501098</v>
      </c>
      <c r="J18" s="56">
        <f t="shared" si="0"/>
        <v>0</v>
      </c>
      <c r="K18" s="65">
        <f>+H18+G18-F18+I18</f>
        <v>0</v>
      </c>
      <c r="L18" s="55"/>
      <c r="M18" s="55">
        <f>VLOOKUP(A18,'Profit Loss-Betul-25-26'!$A$9:$F$141,5,0)</f>
        <v>5286179</v>
      </c>
      <c r="N18" s="55">
        <f>-M18</f>
        <v>-5286179</v>
      </c>
      <c r="O18" s="56">
        <f>SUM(L18:N18)</f>
        <v>0</v>
      </c>
      <c r="P18" s="65">
        <f t="shared" si="3"/>
        <v>0</v>
      </c>
      <c r="Q18" s="55"/>
      <c r="R18" s="55">
        <f>VLOOKUP(A18,'Profit Loss-Betul-25-26'!$A$9:$H$141,7,0)</f>
        <v>9026583.0099999998</v>
      </c>
      <c r="S18" s="55">
        <f>-R18</f>
        <v>-9026583.0099999998</v>
      </c>
      <c r="T18" s="56">
        <f>SUM(Q18:S18)</f>
        <v>0</v>
      </c>
      <c r="U18" s="65">
        <f t="shared" si="5"/>
        <v>0</v>
      </c>
      <c r="V18" s="55"/>
      <c r="W18" s="55">
        <f>VLOOKUP(A18,'Profit Loss-Betul-25-26'!$A$9:$J$141,9,0)</f>
        <v>12193532.01</v>
      </c>
      <c r="X18" s="55">
        <f>-W18</f>
        <v>-12193532.01</v>
      </c>
      <c r="Y18" s="56">
        <f>SUM(V18:X18)</f>
        <v>0</v>
      </c>
      <c r="Z18" s="65">
        <f t="shared" si="7"/>
        <v>0</v>
      </c>
      <c r="AA18" s="55"/>
      <c r="AB18" s="55">
        <f>VLOOKUP(A18,'Profit Loss-Betul-25-26'!$A$9:$L$141,11,0)</f>
        <v>15382914.01</v>
      </c>
      <c r="AC18" s="55">
        <f>-AB18</f>
        <v>-15382914.01</v>
      </c>
      <c r="AD18" s="56">
        <f>+AA18+AB18+AC18</f>
        <v>0</v>
      </c>
      <c r="AE18" s="65">
        <f t="shared" si="9"/>
        <v>0</v>
      </c>
      <c r="AF18" s="55"/>
      <c r="AG18" s="55">
        <f>VLOOKUP(A18,'Profit Loss-Betul-25-26'!$A$9:$N$141,13,0)</f>
        <v>16435708.01</v>
      </c>
      <c r="AH18" s="55">
        <f>+AG18</f>
        <v>16435708.01</v>
      </c>
      <c r="AI18" s="56">
        <f t="shared" si="10"/>
        <v>0</v>
      </c>
      <c r="AJ18" s="65">
        <f t="shared" si="11"/>
        <v>0</v>
      </c>
      <c r="AK18" s="55"/>
      <c r="AL18" s="55">
        <f>VLOOKUP(A18,'Profit Loss-Betul-25-26'!$A$9:$P$141,15,0)</f>
        <v>18524580.02</v>
      </c>
      <c r="AM18" s="55">
        <f>+AL18</f>
        <v>18524580.02</v>
      </c>
      <c r="AN18" s="56">
        <f t="shared" si="12"/>
        <v>0</v>
      </c>
      <c r="AO18" s="65">
        <f t="shared" si="13"/>
        <v>0</v>
      </c>
      <c r="AP18" s="55"/>
      <c r="AQ18" s="55">
        <f>VLOOKUP(A18,'Profit Loss-Betul-25-26'!$A$9:$R$141,17,0)</f>
        <v>21712831.010000002</v>
      </c>
      <c r="AR18" s="55">
        <f>+AQ18</f>
        <v>21712831.010000002</v>
      </c>
      <c r="AS18" s="56">
        <f t="shared" si="14"/>
        <v>0</v>
      </c>
      <c r="AT18" s="65">
        <f t="shared" si="15"/>
        <v>0</v>
      </c>
      <c r="AU18" s="55"/>
      <c r="AV18" s="55">
        <f>VLOOKUP(A18,'Profit Loss-Betul-25-26'!$A$9:$T$141,19,0)</f>
        <v>25000388.010000002</v>
      </c>
      <c r="AW18" s="55">
        <f>+AV18</f>
        <v>25000388.010000002</v>
      </c>
      <c r="AX18" s="56">
        <f t="shared" si="16"/>
        <v>0</v>
      </c>
      <c r="AY18" s="65">
        <f t="shared" si="17"/>
        <v>0</v>
      </c>
      <c r="AZ18" s="55"/>
      <c r="BA18" s="55">
        <f>VLOOKUP(A18,'Profit Loss-Betul-25-26'!$A$9:$V$141,21,0)</f>
        <v>27034065.010000002</v>
      </c>
      <c r="BB18" s="55">
        <f>+BA18</f>
        <v>27034065.010000002</v>
      </c>
      <c r="BC18" s="56">
        <f t="shared" si="18"/>
        <v>0</v>
      </c>
      <c r="BD18" s="65">
        <f t="shared" si="19"/>
        <v>0</v>
      </c>
      <c r="BE18" s="55"/>
      <c r="BF18" s="55"/>
    </row>
    <row r="19" spans="1:58" s="15" customFormat="1" x14ac:dyDescent="0.3">
      <c r="A19" s="13" t="s">
        <v>9</v>
      </c>
      <c r="B19" s="14">
        <f>SUM(B9:B18)</f>
        <v>0</v>
      </c>
      <c r="C19" s="14">
        <f>SUM(C9:C18)</f>
        <v>49591938.75</v>
      </c>
      <c r="D19" s="58">
        <f>SUM(D9:D18)</f>
        <v>1501872</v>
      </c>
      <c r="E19" s="58"/>
      <c r="F19" s="58">
        <f t="shared" ref="F19:U19" si="20">SUM(F9:F18)</f>
        <v>49591938.75</v>
      </c>
      <c r="G19" s="14">
        <f t="shared" si="20"/>
        <v>112633188</v>
      </c>
      <c r="H19" s="58">
        <f t="shared" si="20"/>
        <v>2501098</v>
      </c>
      <c r="I19" s="58">
        <f t="shared" si="20"/>
        <v>-2501098</v>
      </c>
      <c r="J19" s="58">
        <f t="shared" si="20"/>
        <v>112633188</v>
      </c>
      <c r="K19" s="14">
        <f t="shared" si="20"/>
        <v>63041249.25</v>
      </c>
      <c r="L19" s="14">
        <f t="shared" si="20"/>
        <v>169752051.34999999</v>
      </c>
      <c r="M19" s="14">
        <f t="shared" si="20"/>
        <v>5286179</v>
      </c>
      <c r="N19" s="14">
        <f t="shared" si="20"/>
        <v>-5286179</v>
      </c>
      <c r="O19" s="58">
        <f t="shared" si="20"/>
        <v>169752051.34999999</v>
      </c>
      <c r="P19" s="14">
        <f t="shared" si="20"/>
        <v>57118863.349999994</v>
      </c>
      <c r="Q19" s="14">
        <f t="shared" si="20"/>
        <v>260843135.49000001</v>
      </c>
      <c r="R19" s="14">
        <f t="shared" si="20"/>
        <v>9026583.0099999998</v>
      </c>
      <c r="S19" s="14">
        <f t="shared" si="20"/>
        <v>-9026583.0099999998</v>
      </c>
      <c r="T19" s="58">
        <f t="shared" si="20"/>
        <v>260490808.49000001</v>
      </c>
      <c r="U19" s="14">
        <f t="shared" si="20"/>
        <v>90738757.140000015</v>
      </c>
      <c r="V19" s="14">
        <f t="shared" ref="V19:Z19" si="21">SUM(V9:V18)</f>
        <v>322855152.29000002</v>
      </c>
      <c r="W19" s="14">
        <f t="shared" si="21"/>
        <v>12193532.01</v>
      </c>
      <c r="X19" s="14">
        <f t="shared" si="21"/>
        <v>-12193532.01</v>
      </c>
      <c r="Y19" s="58">
        <f t="shared" si="21"/>
        <v>313287789.29000002</v>
      </c>
      <c r="Z19" s="14">
        <f t="shared" si="21"/>
        <v>52796980.800000012</v>
      </c>
      <c r="AA19" s="14">
        <f t="shared" ref="AA19:AE19" si="22">SUM(AA9:AA18)</f>
        <v>400481747.33999997</v>
      </c>
      <c r="AB19" s="14">
        <f t="shared" si="22"/>
        <v>15382914.01</v>
      </c>
      <c r="AC19" s="14">
        <f t="shared" si="22"/>
        <v>-15382914.01</v>
      </c>
      <c r="AD19" s="58">
        <f t="shared" si="22"/>
        <v>400481747.33999997</v>
      </c>
      <c r="AE19" s="14">
        <f t="shared" si="22"/>
        <v>87193958.049999952</v>
      </c>
      <c r="AF19" s="14">
        <f t="shared" ref="AF19:AJ19" si="23">SUM(AF9:AF18)</f>
        <v>458671105.49000001</v>
      </c>
      <c r="AG19" s="14">
        <f t="shared" si="23"/>
        <v>16435708.01</v>
      </c>
      <c r="AH19" s="14">
        <f t="shared" si="23"/>
        <v>16435708.01</v>
      </c>
      <c r="AI19" s="58">
        <f t="shared" si="23"/>
        <v>458671105.49000001</v>
      </c>
      <c r="AJ19" s="14">
        <f t="shared" si="23"/>
        <v>58189358.150000036</v>
      </c>
      <c r="AK19" s="14">
        <f t="shared" ref="AK19:AO19" si="24">SUM(AK9:AK18)</f>
        <v>592799624</v>
      </c>
      <c r="AL19" s="14">
        <f t="shared" si="24"/>
        <v>18524580.02</v>
      </c>
      <c r="AM19" s="14">
        <f t="shared" si="24"/>
        <v>18524580.02</v>
      </c>
      <c r="AN19" s="58">
        <f t="shared" si="24"/>
        <v>592799624</v>
      </c>
      <c r="AO19" s="14">
        <f t="shared" si="24"/>
        <v>134128518.50999999</v>
      </c>
      <c r="AP19" s="14">
        <f t="shared" ref="AP19:AT19" si="25">SUM(AP9:AP18)</f>
        <v>764354012.3499999</v>
      </c>
      <c r="AQ19" s="14">
        <f t="shared" si="25"/>
        <v>21712831.010000002</v>
      </c>
      <c r="AR19" s="14">
        <f t="shared" si="25"/>
        <v>21712831.010000002</v>
      </c>
      <c r="AS19" s="58">
        <f t="shared" si="25"/>
        <v>764354012.3499999</v>
      </c>
      <c r="AT19" s="14">
        <f t="shared" si="25"/>
        <v>171554388.34999996</v>
      </c>
      <c r="AU19" s="14">
        <f t="shared" ref="AU19:AY19" si="26">SUM(AU9:AU18)</f>
        <v>839822754.45000005</v>
      </c>
      <c r="AV19" s="14">
        <f t="shared" si="26"/>
        <v>25000388.010000002</v>
      </c>
      <c r="AW19" s="14">
        <f t="shared" si="26"/>
        <v>25000388.010000002</v>
      </c>
      <c r="AX19" s="58">
        <f t="shared" si="26"/>
        <v>839822754.45000005</v>
      </c>
      <c r="AY19" s="14">
        <f t="shared" si="26"/>
        <v>75468742.100000083</v>
      </c>
      <c r="AZ19" s="14">
        <f t="shared" ref="AZ19:BD19" si="27">SUM(AZ9:AZ18)</f>
        <v>929157059.39999998</v>
      </c>
      <c r="BA19" s="14">
        <f t="shared" si="27"/>
        <v>27034065.010000002</v>
      </c>
      <c r="BB19" s="14">
        <f t="shared" si="27"/>
        <v>27034065.010000002</v>
      </c>
      <c r="BC19" s="58">
        <f t="shared" si="27"/>
        <v>929157059.39999998</v>
      </c>
      <c r="BD19" s="14">
        <f t="shared" si="27"/>
        <v>89334304.949999928</v>
      </c>
      <c r="BE19" s="84">
        <f>+BC19-AX19-BD19</f>
        <v>0</v>
      </c>
      <c r="BF19" s="84"/>
    </row>
    <row r="20" spans="1:58" s="15" customFormat="1" x14ac:dyDescent="0.3">
      <c r="A20" s="8" t="s">
        <v>10</v>
      </c>
      <c r="B20" s="16"/>
      <c r="C20" s="16"/>
      <c r="D20" s="59"/>
      <c r="E20" s="59"/>
      <c r="F20" s="8"/>
      <c r="G20" s="16"/>
      <c r="H20" s="59"/>
      <c r="I20" s="59"/>
      <c r="J20" s="59"/>
      <c r="K20" s="8"/>
      <c r="L20" s="55">
        <f>VLOOKUP(A20,'Profit Loss-Amravati-25-26'!$A$9:$F$190,5,0)</f>
        <v>0</v>
      </c>
      <c r="M20" s="55">
        <f>VLOOKUP(A20,'Profit Loss-Betul-25-26'!$A$9:$F$141,5,0)</f>
        <v>0</v>
      </c>
      <c r="N20" s="55"/>
      <c r="O20" s="59"/>
      <c r="P20" s="8"/>
      <c r="Q20" s="55">
        <f>VLOOKUP(A20,'Profit Loss-Amravati-25-26'!$A$9:$H$190,7,0)</f>
        <v>0</v>
      </c>
      <c r="R20" s="55">
        <f>VLOOKUP(A20,'Profit Loss-Betul-25-26'!$A$9:$H$141,7,0)</f>
        <v>0</v>
      </c>
      <c r="S20" s="55"/>
      <c r="T20" s="59"/>
      <c r="U20" s="8"/>
      <c r="V20" s="55"/>
      <c r="W20" s="55"/>
      <c r="X20" s="55"/>
      <c r="Y20" s="59"/>
      <c r="Z20" s="8"/>
      <c r="AA20" s="55"/>
      <c r="AB20" s="55"/>
      <c r="AC20" s="55"/>
      <c r="AD20" s="59"/>
      <c r="AE20" s="8"/>
      <c r="AF20" s="55"/>
      <c r="AG20" s="55"/>
      <c r="AH20" s="55"/>
      <c r="AI20" s="59"/>
      <c r="AJ20" s="8"/>
      <c r="AK20" s="55"/>
      <c r="AL20" s="55"/>
      <c r="AM20" s="55"/>
      <c r="AN20" s="59"/>
      <c r="AO20" s="8"/>
      <c r="AP20" s="55"/>
      <c r="AQ20" s="55"/>
      <c r="AR20" s="55"/>
      <c r="AS20" s="59"/>
      <c r="AT20" s="8"/>
      <c r="AU20" s="55"/>
      <c r="AV20" s="55"/>
      <c r="AW20" s="55"/>
      <c r="AX20" s="59"/>
      <c r="AY20" s="8"/>
      <c r="AZ20" s="55"/>
      <c r="BA20" s="55"/>
      <c r="BB20" s="55"/>
      <c r="BC20" s="59"/>
      <c r="BD20" s="8"/>
    </row>
    <row r="21" spans="1:58" x14ac:dyDescent="0.3">
      <c r="A21" t="s">
        <v>11</v>
      </c>
      <c r="B21" s="11"/>
      <c r="C21" s="11">
        <f>VLOOKUP(A21,'Profit Loss-Amravati-25-26'!$A$13:$B$190,2,0)</f>
        <v>212973.3</v>
      </c>
      <c r="D21" s="57"/>
      <c r="E21" s="57"/>
      <c r="F21" s="65">
        <f>+B21+C21+D21</f>
        <v>212973.3</v>
      </c>
      <c r="G21" s="11">
        <f>VLOOKUP(A21,'Profit Loss-Amravati-25-26'!$A$9:$D$190,3,0)</f>
        <v>382533.84</v>
      </c>
      <c r="H21" s="57"/>
      <c r="I21" s="57"/>
      <c r="J21" s="56">
        <f t="shared" ref="J21:J36" si="28">SUM(G21:I21)</f>
        <v>382533.84</v>
      </c>
      <c r="K21" s="65">
        <f t="shared" ref="K21:K36" si="29">+H21+G21-F21</f>
        <v>169560.54000000004</v>
      </c>
      <c r="L21" s="55">
        <f>VLOOKUP(A21,'Profit Loss-Amravati-25-26'!$A$9:$F$190,5,0)</f>
        <v>1381133.8399999999</v>
      </c>
      <c r="M21" s="55"/>
      <c r="N21" s="55"/>
      <c r="O21" s="56">
        <f>SUM(L21:M21)-79796</f>
        <v>1301337.8399999999</v>
      </c>
      <c r="P21" s="65">
        <f>+O21-J21</f>
        <v>918803.99999999977</v>
      </c>
      <c r="Q21" s="55">
        <f>VLOOKUP(A21,'Profit Loss-Amravati-25-26'!$A$9:$H$190,7,0)</f>
        <v>1717980.44</v>
      </c>
      <c r="R21" s="55"/>
      <c r="S21" s="55"/>
      <c r="T21" s="56">
        <f>+Q21+R21</f>
        <v>1717980.44</v>
      </c>
      <c r="U21" s="65">
        <f>+T21-O21</f>
        <v>416642.60000000009</v>
      </c>
      <c r="V21" s="55">
        <f>VLOOKUP(A21,'Profit Loss-Amravati-25-26'!$A$9:$J$190,9,0)</f>
        <v>1717980.44</v>
      </c>
      <c r="W21" s="55"/>
      <c r="X21" s="55"/>
      <c r="Y21" s="57">
        <f>+V21+W21+300000</f>
        <v>2017980.44</v>
      </c>
      <c r="Z21" s="44">
        <f>+Y21-T21</f>
        <v>300000</v>
      </c>
      <c r="AA21" s="55">
        <f>VLOOKUP(A21,'Profit Loss-Amravati-25-26'!$A$9:$L$192,11,0)</f>
        <v>2180159.67</v>
      </c>
      <c r="AB21" s="55"/>
      <c r="AC21" s="55"/>
      <c r="AD21" s="56">
        <f t="shared" ref="AD21:AD36" si="30">+AA21+AB21-AC21</f>
        <v>2180159.67</v>
      </c>
      <c r="AE21" s="65">
        <f t="shared" ref="AE21:AE36" si="31">+AD21-Y21</f>
        <v>162179.22999999998</v>
      </c>
      <c r="AF21" s="55">
        <f>VLOOKUP(A21,'Profit Loss-Amravati-25-26'!$A$9:$N$192,13,0)</f>
        <v>2862982.81</v>
      </c>
      <c r="AG21" s="55">
        <f>VLOOKUP(A21,'Profit Loss-Betul-25-26'!$A$9:$N$141,13,0)</f>
        <v>18000</v>
      </c>
      <c r="AH21" s="55"/>
      <c r="AI21" s="56">
        <f t="shared" ref="AI21:AI36" si="32">+AF21+AG21-AH21</f>
        <v>2880982.81</v>
      </c>
      <c r="AJ21" s="65">
        <f t="shared" ref="AJ21:AJ36" si="33">+AI21-AD21</f>
        <v>700823.14000000013</v>
      </c>
      <c r="AK21" s="55">
        <f>VLOOKUP(A21,'Profit Loss-Amravati-25-26'!$A$9:$P$192,15,0)</f>
        <v>3241559.83</v>
      </c>
      <c r="AL21" s="55">
        <f>VLOOKUP(A21,'Profit Loss-Betul-25-26'!$A$9:$P$141,15,0)</f>
        <v>6000</v>
      </c>
      <c r="AM21" s="55"/>
      <c r="AN21" s="56">
        <f t="shared" ref="AN21:AN23" si="34">+AK21+AL21-AM21</f>
        <v>3247559.83</v>
      </c>
      <c r="AO21" s="65">
        <f t="shared" ref="AO21:AO36" si="35">+AN21-AI21</f>
        <v>366577.02</v>
      </c>
      <c r="AP21" s="55">
        <f>VLOOKUP(A21,'Profit Loss-Amravati-25-26'!$A$9:$R$192,17,0)</f>
        <v>3456402.83</v>
      </c>
      <c r="AQ21" s="55">
        <f>VLOOKUP(A21,'Profit Loss-Betul-25-26'!$A$9:$R$141,17,0)</f>
        <v>6000</v>
      </c>
      <c r="AR21" s="55"/>
      <c r="AS21" s="56">
        <f t="shared" ref="AS21:AS23" si="36">+AP21+AQ21-AR21</f>
        <v>3462402.83</v>
      </c>
      <c r="AT21" s="65">
        <f t="shared" ref="AT21:AT36" si="37">+AS21-AN21</f>
        <v>214843</v>
      </c>
      <c r="AU21" s="55">
        <f>VLOOKUP(A21,'Profit Loss-Amravati-25-26'!$A$9:$T$192,19,0)</f>
        <v>3906763.07</v>
      </c>
      <c r="AV21" s="55">
        <f>VLOOKUP(A21,'Profit Loss-Betul-25-26'!$A$9:$T$141,19,0)</f>
        <v>6000</v>
      </c>
      <c r="AW21" s="55"/>
      <c r="AX21" s="56">
        <f t="shared" ref="AX21:AX23" si="38">+AU21+AV21-AW21</f>
        <v>3912763.07</v>
      </c>
      <c r="AY21" s="65">
        <f t="shared" ref="AY21:AY36" si="39">+AX21-AS21</f>
        <v>450360.23999999976</v>
      </c>
      <c r="AZ21" s="55">
        <f>VLOOKUP(A21,'Profit Loss-Amravati-25-26'!$A$9:$V$192,21,0)</f>
        <v>4065545.76</v>
      </c>
      <c r="BA21" s="55">
        <f>VLOOKUP(A21,'Profit Loss-Betul-25-26'!$A$9:$V$141,21,0)</f>
        <v>6000</v>
      </c>
      <c r="BB21" s="55"/>
      <c r="BC21" s="56">
        <f t="shared" ref="BC21:BC23" si="40">+AZ21+BA21-BB21</f>
        <v>4071545.76</v>
      </c>
      <c r="BD21" s="65">
        <f t="shared" ref="BD21:BD36" si="41">+BC21-AX21</f>
        <v>158782.68999999994</v>
      </c>
      <c r="BE21" s="55"/>
      <c r="BF21" s="55"/>
    </row>
    <row r="22" spans="1:58" x14ac:dyDescent="0.3">
      <c r="A22" s="10" t="s">
        <v>12</v>
      </c>
      <c r="B22" s="11"/>
      <c r="C22" s="11">
        <f>VLOOKUP(A22,'Profit Loss-Amravati-25-26'!$A$13:$B$190,2,0)</f>
        <v>15803</v>
      </c>
      <c r="D22" s="57"/>
      <c r="E22" s="57"/>
      <c r="F22" s="65">
        <f>+B22+C22+D22</f>
        <v>15803</v>
      </c>
      <c r="G22" s="11">
        <f>VLOOKUP(A22,'Profit Loss-Amravati-25-26'!$A$9:$D$190,3,0)</f>
        <v>304524.24</v>
      </c>
      <c r="H22" s="57"/>
      <c r="I22" s="57"/>
      <c r="J22" s="56">
        <f t="shared" si="28"/>
        <v>304524.24</v>
      </c>
      <c r="K22" s="65">
        <f t="shared" si="29"/>
        <v>288721.24</v>
      </c>
      <c r="L22" s="55">
        <f>VLOOKUP(A22,'Profit Loss-Amravati-25-26'!$A$9:$F$190,5,0)</f>
        <v>486121.24</v>
      </c>
      <c r="M22" s="55">
        <f>VLOOKUP(A22,'Profit Loss-Betul-25-26'!$A$9:$F$141,5,0)</f>
        <v>12500</v>
      </c>
      <c r="N22" s="55"/>
      <c r="O22" s="56">
        <f t="shared" ref="O22:O36" si="42">SUM(L22:M22)</f>
        <v>498621.24</v>
      </c>
      <c r="P22" s="65">
        <f t="shared" ref="P22:P36" si="43">+O22-J22</f>
        <v>194097</v>
      </c>
      <c r="Q22" s="55">
        <f>VLOOKUP(A22,'Profit Loss-Amravati-25-26'!$A$9:$H$190,7,0)-31103</f>
        <v>2178427.2400000002</v>
      </c>
      <c r="R22" s="55">
        <f>VLOOKUP(A22,'Profit Loss-Betul-25-26'!$A$9:$H$141,7,0)</f>
        <v>12500</v>
      </c>
      <c r="S22" s="55"/>
      <c r="T22" s="56">
        <f>+Q22+R22</f>
        <v>2190927.2400000002</v>
      </c>
      <c r="U22" s="65">
        <f t="shared" ref="U22:U36" si="44">+T22-O22</f>
        <v>1692306.0000000002</v>
      </c>
      <c r="V22" s="55">
        <f>VLOOKUP(A22,'Profit Loss-Amravati-25-26'!$A$9:$J$190,9,0)</f>
        <v>2668553.2200000002</v>
      </c>
      <c r="W22" s="55">
        <f>VLOOKUP(A22,'Profit Loss-Betul-25-26'!$A$9:$J$141,9,0)</f>
        <v>12500</v>
      </c>
      <c r="X22" s="55"/>
      <c r="Y22" s="56">
        <f>+V22+W22</f>
        <v>2681053.2200000002</v>
      </c>
      <c r="Z22" s="65">
        <f t="shared" ref="Z22:Z36" si="45">+Y22-T22</f>
        <v>490125.98</v>
      </c>
      <c r="AA22" s="55">
        <f>VLOOKUP(A22,'Profit Loss-Amravati-25-26'!$A$9:$L$192,11,0)</f>
        <v>3139356.74</v>
      </c>
      <c r="AB22" s="55">
        <f>VLOOKUP(A22,'Profit Loss-Betul-25-26'!$A$9:$L$141,11,0)</f>
        <v>12500</v>
      </c>
      <c r="AC22" s="55"/>
      <c r="AD22" s="56">
        <f t="shared" si="30"/>
        <v>3151856.74</v>
      </c>
      <c r="AE22" s="65">
        <f t="shared" si="31"/>
        <v>470803.52</v>
      </c>
      <c r="AF22" s="55">
        <f>VLOOKUP(A22,'Profit Loss-Amravati-25-26'!$A$9:$N$192,13,0)</f>
        <v>3321370.43</v>
      </c>
      <c r="AG22" s="55">
        <f>VLOOKUP(A22,'Profit Loss-Betul-25-26'!$A$9:$N$141,13,0)</f>
        <v>12500</v>
      </c>
      <c r="AH22" s="55"/>
      <c r="AI22" s="56">
        <f t="shared" si="32"/>
        <v>3333870.43</v>
      </c>
      <c r="AJ22" s="65">
        <f t="shared" si="33"/>
        <v>182013.68999999994</v>
      </c>
      <c r="AK22" s="55">
        <f>VLOOKUP(A22,'Profit Loss-Amravati-25-26'!$A$9:$P$192,15,0)</f>
        <v>3628852.14</v>
      </c>
      <c r="AL22" s="55">
        <f>VLOOKUP(A22,'Profit Loss-Betul-25-26'!$A$9:$P$141,15,0)</f>
        <v>12500</v>
      </c>
      <c r="AM22" s="55"/>
      <c r="AN22" s="56">
        <f t="shared" si="34"/>
        <v>3641352.14</v>
      </c>
      <c r="AO22" s="65">
        <f t="shared" si="35"/>
        <v>307481.70999999996</v>
      </c>
      <c r="AP22" s="55">
        <f>VLOOKUP(A22,'Profit Loss-Amravati-25-26'!$A$9:$R$192,17,0)</f>
        <v>4645461.04</v>
      </c>
      <c r="AQ22" s="55">
        <f>VLOOKUP(A22,'Profit Loss-Betul-25-26'!$A$9:$R$141,17,0)</f>
        <v>12500</v>
      </c>
      <c r="AR22" s="55"/>
      <c r="AS22" s="56">
        <f t="shared" si="36"/>
        <v>4657961.04</v>
      </c>
      <c r="AT22" s="65">
        <f t="shared" si="37"/>
        <v>1016608.8999999999</v>
      </c>
      <c r="AU22" s="55">
        <f>VLOOKUP(A22,'Profit Loss-Amravati-25-26'!$A$9:$T$192,19,0)</f>
        <v>5114840.1500000004</v>
      </c>
      <c r="AV22" s="55">
        <f>VLOOKUP(A22,'Profit Loss-Betul-25-26'!$A$9:$T$141,19,0)</f>
        <v>12500</v>
      </c>
      <c r="AW22" s="55"/>
      <c r="AX22" s="56">
        <f t="shared" si="38"/>
        <v>5127340.1500000004</v>
      </c>
      <c r="AY22" s="65">
        <f t="shared" si="39"/>
        <v>469379.11000000034</v>
      </c>
      <c r="AZ22" s="55">
        <f>VLOOKUP(A22,'Profit Loss-Amravati-25-26'!$A$9:$V$192,21,0)</f>
        <v>5627752.1500000004</v>
      </c>
      <c r="BA22" s="55">
        <f>VLOOKUP(A22,'Profit Loss-Betul-25-26'!$A$9:$V$141,21,0)</f>
        <v>12500</v>
      </c>
      <c r="BB22" s="55"/>
      <c r="BC22" s="56">
        <f t="shared" si="40"/>
        <v>5640252.1500000004</v>
      </c>
      <c r="BD22" s="65">
        <f t="shared" si="41"/>
        <v>512912</v>
      </c>
      <c r="BE22" s="55"/>
      <c r="BF22" s="55"/>
    </row>
    <row r="23" spans="1:58" hidden="1" x14ac:dyDescent="0.3">
      <c r="A23" s="10" t="s">
        <v>13</v>
      </c>
      <c r="B23" s="11"/>
      <c r="C23" s="11"/>
      <c r="D23" s="57"/>
      <c r="E23" s="57"/>
      <c r="F23" s="65">
        <f>+B23+C23+D23</f>
        <v>0</v>
      </c>
      <c r="G23" s="11"/>
      <c r="H23" s="57"/>
      <c r="I23" s="57"/>
      <c r="J23" s="56">
        <f t="shared" si="28"/>
        <v>0</v>
      </c>
      <c r="K23" s="65">
        <f t="shared" si="29"/>
        <v>0</v>
      </c>
      <c r="L23" s="55">
        <f>VLOOKUP(A23,'Profit Loss-Amravati-25-26'!$A$9:$F$190,5,0)</f>
        <v>0</v>
      </c>
      <c r="M23" s="55"/>
      <c r="N23" s="55"/>
      <c r="O23" s="56">
        <f t="shared" si="42"/>
        <v>0</v>
      </c>
      <c r="P23" s="65">
        <f t="shared" si="43"/>
        <v>0</v>
      </c>
      <c r="Q23" s="55">
        <f>VLOOKUP(A23,'Profit Loss-Amravati-25-26'!$A$9:$H$190,7,0)</f>
        <v>0</v>
      </c>
      <c r="R23" s="55"/>
      <c r="S23" s="55"/>
      <c r="T23" s="56">
        <f t="shared" ref="T23:T32" si="46">SUM(Q23:R23)</f>
        <v>0</v>
      </c>
      <c r="U23" s="65">
        <f t="shared" si="44"/>
        <v>0</v>
      </c>
      <c r="V23" s="55">
        <f>VLOOKUP(A23,'Profit Loss-Amravati-25-26'!$A$9:$J$190,9,0)</f>
        <v>0</v>
      </c>
      <c r="W23" s="55"/>
      <c r="X23" s="55"/>
      <c r="Y23" s="56">
        <f t="shared" ref="Y23:Y32" si="47">SUM(V23:W23)</f>
        <v>0</v>
      </c>
      <c r="Z23" s="65">
        <f t="shared" si="45"/>
        <v>0</v>
      </c>
      <c r="AA23" s="55">
        <f>VLOOKUP(A23,'Profit Loss-Amravati-25-26'!$A$9:$L$192,11,0)</f>
        <v>0</v>
      </c>
      <c r="AB23" s="55"/>
      <c r="AC23" s="55"/>
      <c r="AD23" s="56">
        <f t="shared" si="30"/>
        <v>0</v>
      </c>
      <c r="AE23" s="65">
        <f t="shared" si="31"/>
        <v>0</v>
      </c>
      <c r="AF23" s="55">
        <f>VLOOKUP(A23,'Profit Loss-Amravati-25-26'!$A$9:$N$192,13,0)</f>
        <v>0</v>
      </c>
      <c r="AG23" s="55"/>
      <c r="AH23" s="55"/>
      <c r="AI23" s="56">
        <f t="shared" si="32"/>
        <v>0</v>
      </c>
      <c r="AJ23" s="65">
        <f t="shared" si="33"/>
        <v>0</v>
      </c>
      <c r="AK23" s="55">
        <f>VLOOKUP(A23,'Profit Loss-Amravati-25-26'!$A$9:$P$192,15,0)</f>
        <v>0</v>
      </c>
      <c r="AL23" s="55"/>
      <c r="AM23" s="55"/>
      <c r="AN23" s="56">
        <f t="shared" si="34"/>
        <v>0</v>
      </c>
      <c r="AO23" s="65">
        <f t="shared" si="35"/>
        <v>0</v>
      </c>
      <c r="AP23" s="55">
        <f>VLOOKUP(A23,'Profit Loss-Amravati-25-26'!$A$9:$R$192,17,0)</f>
        <v>0</v>
      </c>
      <c r="AQ23" s="55"/>
      <c r="AR23" s="55"/>
      <c r="AS23" s="56">
        <f t="shared" si="36"/>
        <v>0</v>
      </c>
      <c r="AT23" s="65">
        <f t="shared" si="37"/>
        <v>0</v>
      </c>
      <c r="AU23" s="55">
        <f>VLOOKUP(A23,'Profit Loss-Amravati-25-26'!$A$9:$T$192,19,0)</f>
        <v>0</v>
      </c>
      <c r="AV23" s="55"/>
      <c r="AW23" s="55"/>
      <c r="AX23" s="56">
        <f t="shared" si="38"/>
        <v>0</v>
      </c>
      <c r="AY23" s="65">
        <f t="shared" si="39"/>
        <v>0</v>
      </c>
      <c r="AZ23" s="55">
        <f>VLOOKUP(A23,'Profit Loss-Amravati-25-26'!$A$9:$V$192,21,0)</f>
        <v>0</v>
      </c>
      <c r="BA23" s="55"/>
      <c r="BB23" s="55"/>
      <c r="BC23" s="56">
        <f t="shared" si="40"/>
        <v>0</v>
      </c>
      <c r="BD23" s="65">
        <f t="shared" si="41"/>
        <v>0</v>
      </c>
      <c r="BE23" s="55"/>
      <c r="BF23" s="55"/>
    </row>
    <row r="24" spans="1:58" hidden="1" x14ac:dyDescent="0.3">
      <c r="A24" s="10" t="s">
        <v>20</v>
      </c>
      <c r="B24" s="11"/>
      <c r="C24" s="11"/>
      <c r="D24" s="57"/>
      <c r="E24" s="57"/>
      <c r="F24" s="65">
        <f>+B24+C24+D24</f>
        <v>0</v>
      </c>
      <c r="G24" s="11"/>
      <c r="H24" s="57"/>
      <c r="I24" s="57"/>
      <c r="J24" s="56">
        <f t="shared" si="28"/>
        <v>0</v>
      </c>
      <c r="K24" s="65">
        <f t="shared" si="29"/>
        <v>0</v>
      </c>
      <c r="L24" s="55">
        <f>VLOOKUP(A24,'Profit Loss-Amravati-25-26'!$A$9:$F$190,5,0)*0</f>
        <v>0</v>
      </c>
      <c r="M24" s="55"/>
      <c r="N24" s="55"/>
      <c r="O24" s="56">
        <f t="shared" si="42"/>
        <v>0</v>
      </c>
      <c r="P24" s="65">
        <f t="shared" si="43"/>
        <v>0</v>
      </c>
      <c r="Q24" s="55">
        <f>VLOOKUP(A24,'Profit Loss-Amravati-25-26'!$A$9:$H$190,7,0)-256403</f>
        <v>0.22000000000116415</v>
      </c>
      <c r="R24" s="55"/>
      <c r="S24" s="55"/>
      <c r="T24" s="56">
        <f t="shared" si="46"/>
        <v>0.22000000000116415</v>
      </c>
      <c r="U24" s="65">
        <f t="shared" si="44"/>
        <v>0.22000000000116415</v>
      </c>
      <c r="V24" s="55">
        <f>VLOOKUP(A24,'Profit Loss-Amravati-25-26'!$A$9:$J$190,9,0)*0</f>
        <v>0</v>
      </c>
      <c r="W24" s="55"/>
      <c r="X24" s="55"/>
      <c r="Y24" s="56">
        <f t="shared" si="47"/>
        <v>0</v>
      </c>
      <c r="Z24" s="65">
        <f t="shared" si="45"/>
        <v>-0.22000000000116415</v>
      </c>
      <c r="AA24" s="55">
        <f>VLOOKUP(A24,'Profit Loss-Amravati-25-26'!$A$9:$L$192,11,0)-461456</f>
        <v>13498</v>
      </c>
      <c r="AB24" s="55"/>
      <c r="AC24" s="55"/>
      <c r="AD24" s="56">
        <f>+AA24+AB24-AC24-13498</f>
        <v>0</v>
      </c>
      <c r="AE24" s="65">
        <f t="shared" si="31"/>
        <v>0</v>
      </c>
      <c r="AF24" s="55">
        <f>VLOOKUP(A24,'Profit Loss-Amravati-25-26'!$A$9:$N$192,13,0)</f>
        <v>659088</v>
      </c>
      <c r="AG24" s="55"/>
      <c r="AH24" s="55"/>
      <c r="AI24" s="56"/>
      <c r="AJ24" s="65">
        <f t="shared" si="33"/>
        <v>0</v>
      </c>
      <c r="AK24" s="55">
        <f>VLOOKUP(A24,'Profit Loss-Amravati-25-26'!$A$9:$P$192,15,0)</f>
        <v>1150110.22</v>
      </c>
      <c r="AL24" s="55"/>
      <c r="AM24" s="55"/>
      <c r="AN24" s="56"/>
      <c r="AO24" s="65">
        <f t="shared" si="35"/>
        <v>0</v>
      </c>
      <c r="AP24" s="55">
        <f>VLOOKUP(A24,'Profit Loss-Amravati-25-26'!$A$9:$R$192,17,0)</f>
        <v>1796205.22</v>
      </c>
      <c r="AQ24" s="55"/>
      <c r="AR24" s="55"/>
      <c r="AS24" s="56"/>
      <c r="AT24" s="65">
        <f t="shared" si="37"/>
        <v>0</v>
      </c>
      <c r="AU24" s="55">
        <f>VLOOKUP(A24,'Profit Loss-Amravati-25-26'!$A$9:$T$192,19,0)</f>
        <v>1808425.02</v>
      </c>
      <c r="AV24" s="55"/>
      <c r="AW24" s="55"/>
      <c r="AX24" s="56"/>
      <c r="AY24" s="65">
        <f t="shared" si="39"/>
        <v>0</v>
      </c>
      <c r="AZ24" s="55">
        <f>VLOOKUP(A24,'Profit Loss-Amravati-25-26'!$A$9:$V$192,21,0)*0</f>
        <v>0</v>
      </c>
      <c r="BA24" s="55"/>
      <c r="BB24" s="55"/>
      <c r="BC24" s="56"/>
      <c r="BD24" s="65">
        <f t="shared" si="41"/>
        <v>0</v>
      </c>
      <c r="BE24" s="55"/>
      <c r="BF24" s="55"/>
    </row>
    <row r="25" spans="1:58" hidden="1" x14ac:dyDescent="0.3">
      <c r="A25" s="10" t="s">
        <v>15</v>
      </c>
      <c r="B25" s="11"/>
      <c r="C25" s="11"/>
      <c r="D25" s="57"/>
      <c r="E25" s="57"/>
      <c r="F25" s="65">
        <f>+B25+C25+D25</f>
        <v>0</v>
      </c>
      <c r="G25" s="11"/>
      <c r="H25" s="57"/>
      <c r="I25" s="57"/>
      <c r="J25" s="56">
        <f t="shared" si="28"/>
        <v>0</v>
      </c>
      <c r="K25" s="65">
        <f t="shared" si="29"/>
        <v>0</v>
      </c>
      <c r="L25" s="55">
        <f>VLOOKUP(A25,'Profit Loss-Amravati-25-26'!$A$9:$F$190,5,0)</f>
        <v>0</v>
      </c>
      <c r="M25" s="55"/>
      <c r="N25" s="55"/>
      <c r="O25" s="56">
        <f t="shared" si="42"/>
        <v>0</v>
      </c>
      <c r="P25" s="65">
        <f t="shared" si="43"/>
        <v>0</v>
      </c>
      <c r="Q25" s="55">
        <f>VLOOKUP(A25,'Profit Loss-Amravati-25-26'!$A$9:$H$190,7,0)</f>
        <v>0</v>
      </c>
      <c r="R25" s="55"/>
      <c r="S25" s="55"/>
      <c r="T25" s="56">
        <f t="shared" si="46"/>
        <v>0</v>
      </c>
      <c r="U25" s="65">
        <f t="shared" si="44"/>
        <v>0</v>
      </c>
      <c r="V25" s="55">
        <f>VLOOKUP(A25,'Profit Loss-Amravati-25-26'!$A$9:$J$190,9,0)</f>
        <v>0</v>
      </c>
      <c r="W25" s="55"/>
      <c r="X25" s="55"/>
      <c r="Y25" s="56">
        <f t="shared" si="47"/>
        <v>0</v>
      </c>
      <c r="Z25" s="65">
        <f t="shared" si="45"/>
        <v>0</v>
      </c>
      <c r="AA25" s="55">
        <f>VLOOKUP(A25,'Profit Loss-Amravati-25-26'!$A$9:$L$192,11,0)</f>
        <v>0</v>
      </c>
      <c r="AB25" s="55"/>
      <c r="AC25" s="55"/>
      <c r="AD25" s="56">
        <f t="shared" si="30"/>
        <v>0</v>
      </c>
      <c r="AE25" s="65">
        <f t="shared" si="31"/>
        <v>0</v>
      </c>
      <c r="AF25" s="55">
        <f>VLOOKUP(A25,'Profit Loss-Amravati-25-26'!$A$9:$N$192,13,0)</f>
        <v>0</v>
      </c>
      <c r="AG25" s="55"/>
      <c r="AH25" s="55"/>
      <c r="AI25" s="56">
        <f t="shared" si="32"/>
        <v>0</v>
      </c>
      <c r="AJ25" s="65">
        <f t="shared" si="33"/>
        <v>0</v>
      </c>
      <c r="AK25" s="55">
        <f>VLOOKUP(A25,'Profit Loss-Amravati-25-26'!$A$9:$P$192,15,0)</f>
        <v>0</v>
      </c>
      <c r="AL25" s="55"/>
      <c r="AM25" s="55"/>
      <c r="AN25" s="56">
        <f t="shared" ref="AN25:AN31" si="48">+AK25+AL25-AM25</f>
        <v>0</v>
      </c>
      <c r="AO25" s="65">
        <f t="shared" si="35"/>
        <v>0</v>
      </c>
      <c r="AP25" s="55"/>
      <c r="AQ25" s="55"/>
      <c r="AR25" s="55"/>
      <c r="AS25" s="56">
        <f t="shared" ref="AS25:AS31" si="49">+AP25+AQ25-AR25</f>
        <v>0</v>
      </c>
      <c r="AT25" s="65">
        <f t="shared" si="37"/>
        <v>0</v>
      </c>
      <c r="AU25" s="55">
        <f>VLOOKUP(A25,'Profit Loss-Amravati-25-26'!$A$9:$T$192,19,0)</f>
        <v>0</v>
      </c>
      <c r="AV25" s="55"/>
      <c r="AW25" s="55"/>
      <c r="AX25" s="56">
        <f t="shared" ref="AX25:AX31" si="50">+AU25+AV25-AW25</f>
        <v>0</v>
      </c>
      <c r="AY25" s="65">
        <f t="shared" si="39"/>
        <v>0</v>
      </c>
      <c r="AZ25" s="55">
        <f>VLOOKUP(A25,'Profit Loss-Amravati-25-26'!$A$9:$V$192,21,0)</f>
        <v>0</v>
      </c>
      <c r="BA25" s="55"/>
      <c r="BB25" s="55"/>
      <c r="BC25" s="56">
        <f t="shared" ref="BC25:BC31" si="51">+AZ25+BA25-BB25</f>
        <v>0</v>
      </c>
      <c r="BD25" s="65">
        <f t="shared" si="41"/>
        <v>0</v>
      </c>
      <c r="BE25" s="55"/>
      <c r="BF25" s="55"/>
    </row>
    <row r="26" spans="1:58" hidden="1" x14ac:dyDescent="0.3">
      <c r="A26" s="10" t="s">
        <v>180</v>
      </c>
      <c r="B26" s="11"/>
      <c r="C26" s="11"/>
      <c r="D26" s="57"/>
      <c r="E26" s="57"/>
      <c r="F26" s="65"/>
      <c r="G26" s="11"/>
      <c r="H26" s="57"/>
      <c r="I26" s="57"/>
      <c r="J26" s="56"/>
      <c r="K26" s="65"/>
      <c r="L26" s="55"/>
      <c r="M26" s="55"/>
      <c r="N26" s="55"/>
      <c r="O26" s="56"/>
      <c r="P26" s="65"/>
      <c r="Q26" s="55"/>
      <c r="R26" s="55"/>
      <c r="S26" s="55"/>
      <c r="T26" s="56"/>
      <c r="U26" s="65"/>
      <c r="V26" s="55">
        <f>VLOOKUP(A26,'Profit Loss-Amravati-25-26'!$A$9:$J$190,9,0)</f>
        <v>0</v>
      </c>
      <c r="W26" s="55"/>
      <c r="X26" s="55"/>
      <c r="Y26" s="56">
        <f t="shared" si="47"/>
        <v>0</v>
      </c>
      <c r="Z26" s="65">
        <f t="shared" si="45"/>
        <v>0</v>
      </c>
      <c r="AA26" s="55">
        <f>VLOOKUP(A26,'Profit Loss-Amravati-25-26'!$A$9:$L$192,11,0)</f>
        <v>0</v>
      </c>
      <c r="AB26" s="55"/>
      <c r="AC26" s="55"/>
      <c r="AD26" s="56">
        <f t="shared" si="30"/>
        <v>0</v>
      </c>
      <c r="AE26" s="65">
        <f t="shared" si="31"/>
        <v>0</v>
      </c>
      <c r="AF26" s="55">
        <f>VLOOKUP(A26,'Profit Loss-Amravati-25-26'!$A$9:$N$192,13,0)</f>
        <v>0</v>
      </c>
      <c r="AG26" s="55"/>
      <c r="AH26" s="55"/>
      <c r="AI26" s="56">
        <f t="shared" si="32"/>
        <v>0</v>
      </c>
      <c r="AJ26" s="65">
        <f t="shared" si="33"/>
        <v>0</v>
      </c>
      <c r="AK26" s="55">
        <f>VLOOKUP(A26,'Profit Loss-Amravati-25-26'!$A$9:$P$192,15,0)</f>
        <v>0</v>
      </c>
      <c r="AL26" s="55"/>
      <c r="AM26" s="55"/>
      <c r="AN26" s="56">
        <f t="shared" si="48"/>
        <v>0</v>
      </c>
      <c r="AO26" s="65">
        <f t="shared" si="35"/>
        <v>0</v>
      </c>
      <c r="AP26" s="55"/>
      <c r="AQ26" s="55"/>
      <c r="AR26" s="55"/>
      <c r="AS26" s="56">
        <f t="shared" si="49"/>
        <v>0</v>
      </c>
      <c r="AT26" s="65">
        <f t="shared" si="37"/>
        <v>0</v>
      </c>
      <c r="AU26" s="55">
        <f>VLOOKUP(A26,'Profit Loss-Amravati-25-26'!$A$9:$T$192,19,0)</f>
        <v>0</v>
      </c>
      <c r="AV26" s="55"/>
      <c r="AW26" s="55"/>
      <c r="AX26" s="56">
        <f t="shared" si="50"/>
        <v>0</v>
      </c>
      <c r="AY26" s="65">
        <f t="shared" si="39"/>
        <v>0</v>
      </c>
      <c r="AZ26" s="55">
        <f>VLOOKUP(A26,'Profit Loss-Amravati-25-26'!$A$9:$V$192,21,0)</f>
        <v>0</v>
      </c>
      <c r="BA26" s="55"/>
      <c r="BB26" s="55"/>
      <c r="BC26" s="56">
        <f t="shared" si="51"/>
        <v>0</v>
      </c>
      <c r="BD26" s="65">
        <f t="shared" si="41"/>
        <v>0</v>
      </c>
      <c r="BE26" s="55"/>
      <c r="BF26" s="55"/>
    </row>
    <row r="27" spans="1:58" hidden="1" x14ac:dyDescent="0.3">
      <c r="A27" s="10" t="s">
        <v>16</v>
      </c>
      <c r="B27" s="11"/>
      <c r="C27" s="11"/>
      <c r="D27" s="57"/>
      <c r="E27" s="57"/>
      <c r="F27" s="65">
        <f>+B27+C27+D27</f>
        <v>0</v>
      </c>
      <c r="G27" s="11"/>
      <c r="H27" s="57"/>
      <c r="I27" s="57"/>
      <c r="J27" s="56">
        <f t="shared" si="28"/>
        <v>0</v>
      </c>
      <c r="K27" s="65">
        <f t="shared" si="29"/>
        <v>0</v>
      </c>
      <c r="L27" s="55">
        <f>VLOOKUP(A27,'Profit Loss-Amravati-25-26'!$A$9:$F$190,5,0)</f>
        <v>0</v>
      </c>
      <c r="M27" s="55"/>
      <c r="N27" s="55"/>
      <c r="O27" s="56">
        <f t="shared" si="42"/>
        <v>0</v>
      </c>
      <c r="P27" s="65">
        <f t="shared" si="43"/>
        <v>0</v>
      </c>
      <c r="Q27" s="55">
        <f>VLOOKUP(A27,'Profit Loss-Amravati-25-26'!$A$9:$H$190,7,0)</f>
        <v>0</v>
      </c>
      <c r="R27" s="55"/>
      <c r="S27" s="55"/>
      <c r="T27" s="56">
        <f t="shared" si="46"/>
        <v>0</v>
      </c>
      <c r="U27" s="65">
        <f t="shared" si="44"/>
        <v>0</v>
      </c>
      <c r="V27" s="55">
        <f>VLOOKUP(A27,'Profit Loss-Amravati-25-26'!$A$9:$J$190,9,0)</f>
        <v>0</v>
      </c>
      <c r="W27" s="55"/>
      <c r="X27" s="55"/>
      <c r="Y27" s="56">
        <f t="shared" si="47"/>
        <v>0</v>
      </c>
      <c r="Z27" s="65">
        <f t="shared" si="45"/>
        <v>0</v>
      </c>
      <c r="AA27" s="55">
        <f>VLOOKUP(A27,'Profit Loss-Amravati-25-26'!$A$9:$L$192,11,0)</f>
        <v>0</v>
      </c>
      <c r="AB27" s="55"/>
      <c r="AC27" s="55"/>
      <c r="AD27" s="56">
        <f t="shared" si="30"/>
        <v>0</v>
      </c>
      <c r="AE27" s="65">
        <f t="shared" si="31"/>
        <v>0</v>
      </c>
      <c r="AF27" s="55">
        <f>VLOOKUP(A27,'Profit Loss-Amravati-25-26'!$A$9:$N$192,13,0)</f>
        <v>0</v>
      </c>
      <c r="AG27" s="55"/>
      <c r="AH27" s="55"/>
      <c r="AI27" s="56">
        <f t="shared" si="32"/>
        <v>0</v>
      </c>
      <c r="AJ27" s="65">
        <f t="shared" si="33"/>
        <v>0</v>
      </c>
      <c r="AK27" s="55">
        <f>VLOOKUP(A27,'Profit Loss-Amravati-25-26'!$A$9:$P$192,15,0)</f>
        <v>0</v>
      </c>
      <c r="AL27" s="55"/>
      <c r="AM27" s="55"/>
      <c r="AN27" s="56">
        <f t="shared" si="48"/>
        <v>0</v>
      </c>
      <c r="AO27" s="65">
        <f t="shared" si="35"/>
        <v>0</v>
      </c>
      <c r="AP27" s="55"/>
      <c r="AQ27" s="55"/>
      <c r="AR27" s="55"/>
      <c r="AS27" s="56">
        <f t="shared" si="49"/>
        <v>0</v>
      </c>
      <c r="AT27" s="65">
        <f t="shared" si="37"/>
        <v>0</v>
      </c>
      <c r="AU27" s="55">
        <f>VLOOKUP(A27,'Profit Loss-Amravati-25-26'!$A$9:$T$192,19,0)</f>
        <v>0</v>
      </c>
      <c r="AV27" s="55"/>
      <c r="AW27" s="55"/>
      <c r="AX27" s="56">
        <f t="shared" si="50"/>
        <v>0</v>
      </c>
      <c r="AY27" s="65">
        <f t="shared" si="39"/>
        <v>0</v>
      </c>
      <c r="AZ27" s="55">
        <f>VLOOKUP(A27,'Profit Loss-Amravati-25-26'!$A$9:$V$192,21,0)</f>
        <v>0</v>
      </c>
      <c r="BA27" s="55"/>
      <c r="BB27" s="55"/>
      <c r="BC27" s="56">
        <f t="shared" si="51"/>
        <v>0</v>
      </c>
      <c r="BD27" s="65">
        <f t="shared" si="41"/>
        <v>0</v>
      </c>
      <c r="BE27" s="55"/>
      <c r="BF27" s="55"/>
    </row>
    <row r="28" spans="1:58" hidden="1" x14ac:dyDescent="0.3">
      <c r="A28" t="s">
        <v>17</v>
      </c>
      <c r="B28" s="11"/>
      <c r="C28" s="11"/>
      <c r="D28" s="57"/>
      <c r="E28" s="57"/>
      <c r="F28" s="65">
        <f>+B28+C28+D28</f>
        <v>0</v>
      </c>
      <c r="G28" s="11"/>
      <c r="H28" s="57"/>
      <c r="I28" s="57"/>
      <c r="J28" s="56">
        <f t="shared" si="28"/>
        <v>0</v>
      </c>
      <c r="K28" s="65">
        <f t="shared" si="29"/>
        <v>0</v>
      </c>
      <c r="L28" s="55">
        <f>VLOOKUP(A28,'Profit Loss-Amravati-25-26'!$A$9:$F$190,5,0)</f>
        <v>0</v>
      </c>
      <c r="M28" s="55"/>
      <c r="N28" s="55"/>
      <c r="O28" s="56">
        <f t="shared" si="42"/>
        <v>0</v>
      </c>
      <c r="P28" s="65">
        <f t="shared" si="43"/>
        <v>0</v>
      </c>
      <c r="Q28" s="55">
        <f>VLOOKUP(A28,'Profit Loss-Amravati-25-26'!$A$9:$H$190,7,0)</f>
        <v>0</v>
      </c>
      <c r="R28" s="55"/>
      <c r="S28" s="55"/>
      <c r="T28" s="56">
        <f t="shared" si="46"/>
        <v>0</v>
      </c>
      <c r="U28" s="65">
        <f t="shared" si="44"/>
        <v>0</v>
      </c>
      <c r="V28" s="55">
        <f>VLOOKUP(A28,'Profit Loss-Amravati-25-26'!$A$9:$J$190,9,0)</f>
        <v>0</v>
      </c>
      <c r="W28" s="55"/>
      <c r="X28" s="55"/>
      <c r="Y28" s="56">
        <f t="shared" si="47"/>
        <v>0</v>
      </c>
      <c r="Z28" s="65">
        <f t="shared" si="45"/>
        <v>0</v>
      </c>
      <c r="AA28" s="55">
        <f>VLOOKUP(A28,'Profit Loss-Amravati-25-26'!$A$9:$L$192,11,0)</f>
        <v>0</v>
      </c>
      <c r="AB28" s="55"/>
      <c r="AC28" s="55"/>
      <c r="AD28" s="56">
        <f t="shared" si="30"/>
        <v>0</v>
      </c>
      <c r="AE28" s="65">
        <f t="shared" si="31"/>
        <v>0</v>
      </c>
      <c r="AF28" s="55">
        <f>VLOOKUP(A28,'Profit Loss-Amravati-25-26'!$A$9:$N$192,13,0)</f>
        <v>0</v>
      </c>
      <c r="AG28" s="55"/>
      <c r="AH28" s="55"/>
      <c r="AI28" s="56">
        <f t="shared" si="32"/>
        <v>0</v>
      </c>
      <c r="AJ28" s="65">
        <f t="shared" si="33"/>
        <v>0</v>
      </c>
      <c r="AK28" s="55">
        <f>VLOOKUP(A28,'Profit Loss-Amravati-25-26'!$A$9:$P$192,15,0)</f>
        <v>0</v>
      </c>
      <c r="AL28" s="55"/>
      <c r="AM28" s="55"/>
      <c r="AN28" s="56">
        <f t="shared" si="48"/>
        <v>0</v>
      </c>
      <c r="AO28" s="65">
        <f t="shared" si="35"/>
        <v>0</v>
      </c>
      <c r="AP28" s="55"/>
      <c r="AQ28" s="55"/>
      <c r="AR28" s="55"/>
      <c r="AS28" s="56">
        <f t="shared" si="49"/>
        <v>0</v>
      </c>
      <c r="AT28" s="65">
        <f t="shared" si="37"/>
        <v>0</v>
      </c>
      <c r="AU28" s="55">
        <f>VLOOKUP(A28,'Profit Loss-Amravati-25-26'!$A$9:$T$192,19,0)</f>
        <v>0</v>
      </c>
      <c r="AV28" s="55"/>
      <c r="AW28" s="55"/>
      <c r="AX28" s="56">
        <f t="shared" si="50"/>
        <v>0</v>
      </c>
      <c r="AY28" s="65">
        <f t="shared" si="39"/>
        <v>0</v>
      </c>
      <c r="AZ28" s="55">
        <f>VLOOKUP(A28,'Profit Loss-Amravati-25-26'!$A$9:$V$192,21,0)</f>
        <v>0</v>
      </c>
      <c r="BA28" s="55"/>
      <c r="BB28" s="55"/>
      <c r="BC28" s="56">
        <f t="shared" si="51"/>
        <v>0</v>
      </c>
      <c r="BD28" s="65">
        <f t="shared" si="41"/>
        <v>0</v>
      </c>
      <c r="BE28" s="55"/>
      <c r="BF28" s="55"/>
    </row>
    <row r="29" spans="1:58" hidden="1" x14ac:dyDescent="0.3">
      <c r="A29" s="10" t="s">
        <v>18</v>
      </c>
      <c r="B29" s="11"/>
      <c r="C29" s="11"/>
      <c r="D29" s="57"/>
      <c r="E29" s="57"/>
      <c r="F29" s="65">
        <f>+B29+C29+D29</f>
        <v>0</v>
      </c>
      <c r="G29" s="11"/>
      <c r="H29" s="57"/>
      <c r="I29" s="57"/>
      <c r="J29" s="56">
        <f t="shared" si="28"/>
        <v>0</v>
      </c>
      <c r="K29" s="65">
        <f t="shared" si="29"/>
        <v>0</v>
      </c>
      <c r="L29" s="55"/>
      <c r="M29" s="55"/>
      <c r="N29" s="55"/>
      <c r="O29" s="56">
        <f t="shared" si="42"/>
        <v>0</v>
      </c>
      <c r="P29" s="65">
        <f t="shared" si="43"/>
        <v>0</v>
      </c>
      <c r="Q29" s="55"/>
      <c r="R29" s="55"/>
      <c r="S29" s="55"/>
      <c r="T29" s="56">
        <f t="shared" si="46"/>
        <v>0</v>
      </c>
      <c r="U29" s="65">
        <f t="shared" si="44"/>
        <v>0</v>
      </c>
      <c r="V29" s="55"/>
      <c r="W29" s="55"/>
      <c r="X29" s="55"/>
      <c r="Y29" s="56">
        <f t="shared" si="47"/>
        <v>0</v>
      </c>
      <c r="Z29" s="65">
        <f t="shared" si="45"/>
        <v>0</v>
      </c>
      <c r="AA29" s="55"/>
      <c r="AB29" s="55"/>
      <c r="AC29" s="55"/>
      <c r="AD29" s="56">
        <f t="shared" si="30"/>
        <v>0</v>
      </c>
      <c r="AE29" s="65">
        <f t="shared" si="31"/>
        <v>0</v>
      </c>
      <c r="AF29" s="55"/>
      <c r="AG29" s="55"/>
      <c r="AH29" s="55"/>
      <c r="AI29" s="56">
        <f t="shared" si="32"/>
        <v>0</v>
      </c>
      <c r="AJ29" s="65">
        <f t="shared" si="33"/>
        <v>0</v>
      </c>
      <c r="AK29" s="55"/>
      <c r="AL29" s="55"/>
      <c r="AM29" s="55"/>
      <c r="AN29" s="56">
        <f t="shared" si="48"/>
        <v>0</v>
      </c>
      <c r="AO29" s="65">
        <f t="shared" si="35"/>
        <v>0</v>
      </c>
      <c r="AP29" s="55"/>
      <c r="AQ29" s="55"/>
      <c r="AR29" s="55"/>
      <c r="AS29" s="56">
        <f t="shared" si="49"/>
        <v>0</v>
      </c>
      <c r="AT29" s="65">
        <f t="shared" si="37"/>
        <v>0</v>
      </c>
      <c r="AU29" s="55">
        <f>VLOOKUP(A29,'Profit Loss-Amravati-25-26'!$A$9:$T$192,19,0)</f>
        <v>0</v>
      </c>
      <c r="AV29" s="55"/>
      <c r="AW29" s="55"/>
      <c r="AX29" s="56">
        <f t="shared" si="50"/>
        <v>0</v>
      </c>
      <c r="AY29" s="65">
        <f t="shared" si="39"/>
        <v>0</v>
      </c>
      <c r="AZ29" s="55">
        <f>VLOOKUP(A29,'Profit Loss-Amravati-25-26'!$A$9:$V$192,21,0)</f>
        <v>0</v>
      </c>
      <c r="BA29" s="55"/>
      <c r="BB29" s="55"/>
      <c r="BC29" s="56">
        <f t="shared" si="51"/>
        <v>0</v>
      </c>
      <c r="BD29" s="65">
        <f t="shared" si="41"/>
        <v>0</v>
      </c>
      <c r="BE29" s="55"/>
      <c r="BF29" s="55"/>
    </row>
    <row r="30" spans="1:58" hidden="1" x14ac:dyDescent="0.3">
      <c r="A30" s="10" t="s">
        <v>19</v>
      </c>
      <c r="B30" s="11"/>
      <c r="C30" s="11"/>
      <c r="D30" s="57"/>
      <c r="E30" s="57"/>
      <c r="F30" s="65">
        <f>+B30+C30+D30</f>
        <v>0</v>
      </c>
      <c r="G30" s="11"/>
      <c r="H30" s="57"/>
      <c r="I30" s="57"/>
      <c r="J30" s="56">
        <f t="shared" si="28"/>
        <v>0</v>
      </c>
      <c r="K30" s="65">
        <f t="shared" si="29"/>
        <v>0</v>
      </c>
      <c r="L30" s="55"/>
      <c r="M30" s="55"/>
      <c r="N30" s="55"/>
      <c r="O30" s="56">
        <f t="shared" si="42"/>
        <v>0</v>
      </c>
      <c r="P30" s="65">
        <f t="shared" si="43"/>
        <v>0</v>
      </c>
      <c r="Q30" s="55"/>
      <c r="R30" s="55"/>
      <c r="S30" s="55"/>
      <c r="T30" s="56">
        <f t="shared" si="46"/>
        <v>0</v>
      </c>
      <c r="U30" s="65">
        <f t="shared" si="44"/>
        <v>0</v>
      </c>
      <c r="V30" s="55"/>
      <c r="W30" s="55"/>
      <c r="X30" s="55"/>
      <c r="Y30" s="56">
        <f t="shared" si="47"/>
        <v>0</v>
      </c>
      <c r="Z30" s="65">
        <f t="shared" si="45"/>
        <v>0</v>
      </c>
      <c r="AA30" s="55"/>
      <c r="AB30" s="55"/>
      <c r="AC30" s="55"/>
      <c r="AD30" s="56">
        <f t="shared" si="30"/>
        <v>0</v>
      </c>
      <c r="AE30" s="65">
        <f t="shared" si="31"/>
        <v>0</v>
      </c>
      <c r="AF30" s="55"/>
      <c r="AG30" s="55"/>
      <c r="AH30" s="55"/>
      <c r="AI30" s="56">
        <f t="shared" si="32"/>
        <v>0</v>
      </c>
      <c r="AJ30" s="65">
        <f t="shared" si="33"/>
        <v>0</v>
      </c>
      <c r="AK30" s="55"/>
      <c r="AL30" s="55"/>
      <c r="AM30" s="55"/>
      <c r="AN30" s="56">
        <f t="shared" si="48"/>
        <v>0</v>
      </c>
      <c r="AO30" s="65">
        <f t="shared" si="35"/>
        <v>0</v>
      </c>
      <c r="AP30" s="55"/>
      <c r="AQ30" s="55"/>
      <c r="AR30" s="55"/>
      <c r="AS30" s="56">
        <f t="shared" si="49"/>
        <v>0</v>
      </c>
      <c r="AT30" s="65">
        <f t="shared" si="37"/>
        <v>0</v>
      </c>
      <c r="AU30" s="55"/>
      <c r="AV30" s="55"/>
      <c r="AW30" s="55"/>
      <c r="AX30" s="56">
        <f t="shared" si="50"/>
        <v>0</v>
      </c>
      <c r="AY30" s="65">
        <f t="shared" si="39"/>
        <v>0</v>
      </c>
      <c r="AZ30" s="55"/>
      <c r="BA30" s="55"/>
      <c r="BB30" s="55"/>
      <c r="BC30" s="56">
        <f t="shared" si="51"/>
        <v>0</v>
      </c>
      <c r="BD30" s="65">
        <f t="shared" si="41"/>
        <v>0</v>
      </c>
      <c r="BE30" s="55"/>
      <c r="BF30" s="55"/>
    </row>
    <row r="31" spans="1:58" hidden="1" x14ac:dyDescent="0.3">
      <c r="A31" t="s">
        <v>375</v>
      </c>
      <c r="B31" s="11"/>
      <c r="C31" s="11"/>
      <c r="D31" s="57"/>
      <c r="E31" s="57"/>
      <c r="F31" s="65"/>
      <c r="G31" s="57"/>
      <c r="H31" s="57"/>
      <c r="I31" s="57"/>
      <c r="J31" s="56"/>
      <c r="K31" s="65"/>
      <c r="L31" s="55"/>
      <c r="M31" s="55"/>
      <c r="N31" s="55"/>
      <c r="O31" s="56"/>
      <c r="P31" s="65"/>
      <c r="Q31" s="55"/>
      <c r="R31" s="55"/>
      <c r="S31" s="55"/>
      <c r="T31" s="56"/>
      <c r="U31" s="65"/>
      <c r="V31" s="55"/>
      <c r="W31" s="55"/>
      <c r="X31" s="55"/>
      <c r="Y31" s="56">
        <f t="shared" si="47"/>
        <v>0</v>
      </c>
      <c r="Z31" s="65">
        <f t="shared" si="45"/>
        <v>0</v>
      </c>
      <c r="AA31" s="55">
        <f>VLOOKUP(A31,'Profit Loss-Amravati-25-26'!$A$9:$L$192,11,0)</f>
        <v>0</v>
      </c>
      <c r="AB31" s="55"/>
      <c r="AC31" s="55"/>
      <c r="AD31" s="56">
        <f t="shared" si="30"/>
        <v>0</v>
      </c>
      <c r="AE31" s="65">
        <f t="shared" si="31"/>
        <v>0</v>
      </c>
      <c r="AF31" s="55">
        <f>VLOOKUP(A31,'Profit Loss-Amravati-25-26'!$A$9:$N$192,13,0)</f>
        <v>0</v>
      </c>
      <c r="AG31" s="55"/>
      <c r="AH31" s="55"/>
      <c r="AI31" s="56">
        <f t="shared" si="32"/>
        <v>0</v>
      </c>
      <c r="AJ31" s="65">
        <f t="shared" si="33"/>
        <v>0</v>
      </c>
      <c r="AK31" s="55">
        <f>VLOOKUP(A31,'Profit Loss-Amravati-25-26'!$A$9:$P$192,15,0)</f>
        <v>0</v>
      </c>
      <c r="AL31" s="55"/>
      <c r="AM31" s="55"/>
      <c r="AN31" s="56">
        <f t="shared" si="48"/>
        <v>0</v>
      </c>
      <c r="AO31" s="65">
        <f t="shared" si="35"/>
        <v>0</v>
      </c>
      <c r="AP31" s="55"/>
      <c r="AQ31" s="55"/>
      <c r="AR31" s="55"/>
      <c r="AS31" s="56">
        <f t="shared" si="49"/>
        <v>0</v>
      </c>
      <c r="AT31" s="65">
        <f t="shared" si="37"/>
        <v>0</v>
      </c>
      <c r="AU31" s="55">
        <f>VLOOKUP(A31,'Profit Loss-Amravati-25-26'!$A$9:$T$192,19,0)</f>
        <v>0</v>
      </c>
      <c r="AV31" s="55"/>
      <c r="AW31" s="55"/>
      <c r="AX31" s="56">
        <f t="shared" si="50"/>
        <v>0</v>
      </c>
      <c r="AY31" s="65">
        <f t="shared" si="39"/>
        <v>0</v>
      </c>
      <c r="AZ31" s="55">
        <f>VLOOKUP(A31,'Profit Loss-Amravati-25-26'!$A$9:$V$192,21,0)</f>
        <v>0</v>
      </c>
      <c r="BA31" s="55"/>
      <c r="BB31" s="55"/>
      <c r="BC31" s="56">
        <f t="shared" si="51"/>
        <v>0</v>
      </c>
      <c r="BD31" s="65">
        <f t="shared" si="41"/>
        <v>0</v>
      </c>
      <c r="BE31" s="55"/>
      <c r="BF31" s="55"/>
    </row>
    <row r="32" spans="1:58" x14ac:dyDescent="0.3">
      <c r="A32" s="81" t="s">
        <v>299</v>
      </c>
      <c r="B32" s="11"/>
      <c r="C32" s="11"/>
      <c r="D32" s="57"/>
      <c r="E32" s="57"/>
      <c r="F32" s="65">
        <v>0</v>
      </c>
      <c r="G32" s="56">
        <f>278950.22+8556</f>
        <v>287506.21999999997</v>
      </c>
      <c r="H32" s="57"/>
      <c r="I32" s="57"/>
      <c r="J32" s="56">
        <f>278950.22+8556</f>
        <v>287506.21999999997</v>
      </c>
      <c r="K32" s="44">
        <f>278950.22+8556</f>
        <v>287506.21999999997</v>
      </c>
      <c r="L32" s="55">
        <v>207710</v>
      </c>
      <c r="M32" s="55"/>
      <c r="N32" s="55"/>
      <c r="O32" s="56">
        <f>SUM(L32:M32)+79796</f>
        <v>287506</v>
      </c>
      <c r="P32" s="44">
        <f t="shared" si="43"/>
        <v>-0.21999999997206032</v>
      </c>
      <c r="Q32" s="55">
        <f>256403+31103</f>
        <v>287506</v>
      </c>
      <c r="R32" s="55"/>
      <c r="S32" s="55"/>
      <c r="T32" s="56">
        <f t="shared" si="46"/>
        <v>287506</v>
      </c>
      <c r="U32" s="44">
        <f t="shared" si="44"/>
        <v>0</v>
      </c>
      <c r="V32" s="55">
        <v>413637</v>
      </c>
      <c r="W32" s="55"/>
      <c r="X32" s="55"/>
      <c r="Y32" s="56">
        <f t="shared" si="47"/>
        <v>413637</v>
      </c>
      <c r="Z32" s="44">
        <f t="shared" si="45"/>
        <v>126131</v>
      </c>
      <c r="AA32" s="55">
        <v>461456</v>
      </c>
      <c r="AB32" s="55"/>
      <c r="AC32" s="55"/>
      <c r="AD32" s="56">
        <f>+AA32+AB32-AC32+13498</f>
        <v>474954</v>
      </c>
      <c r="AE32" s="65">
        <f t="shared" si="31"/>
        <v>61317</v>
      </c>
      <c r="AF32" s="55"/>
      <c r="AG32" s="55"/>
      <c r="AH32" s="55"/>
      <c r="AI32" s="56">
        <f>+AF32+AG32-AH32+AF24</f>
        <v>659088</v>
      </c>
      <c r="AJ32" s="65">
        <f t="shared" si="33"/>
        <v>184134</v>
      </c>
      <c r="AK32" s="55"/>
      <c r="AL32" s="55"/>
      <c r="AM32" s="55"/>
      <c r="AN32" s="56">
        <f>+AK32+AL32-AM32+AK24</f>
        <v>1150110.22</v>
      </c>
      <c r="AO32" s="65">
        <f t="shared" si="35"/>
        <v>491022.22</v>
      </c>
      <c r="AP32" s="55"/>
      <c r="AQ32" s="55"/>
      <c r="AR32" s="55"/>
      <c r="AS32" s="56">
        <f>+AP32+AQ32-AR32+AP24</f>
        <v>1796205.22</v>
      </c>
      <c r="AT32" s="65">
        <f t="shared" si="37"/>
        <v>646095</v>
      </c>
      <c r="AU32" s="55"/>
      <c r="AV32" s="55"/>
      <c r="AW32" s="55"/>
      <c r="AX32" s="56">
        <f>+AU32+AV32-AW32+AU24</f>
        <v>1808425.02</v>
      </c>
      <c r="AY32" s="65">
        <f t="shared" si="39"/>
        <v>12219.800000000047</v>
      </c>
      <c r="AZ32" s="55">
        <v>1974917</v>
      </c>
      <c r="BA32" s="55"/>
      <c r="BB32" s="55"/>
      <c r="BC32" s="56">
        <f>+AZ32+BA32-BB32+AZ24</f>
        <v>1974917</v>
      </c>
      <c r="BD32" s="65">
        <f t="shared" si="41"/>
        <v>166491.97999999998</v>
      </c>
      <c r="BE32" s="45"/>
      <c r="BF32" s="45"/>
    </row>
    <row r="33" spans="1:58" x14ac:dyDescent="0.3">
      <c r="A33" s="10" t="s">
        <v>21</v>
      </c>
      <c r="B33" s="11"/>
      <c r="C33" s="11">
        <f>VLOOKUP(A33,'Profit Loss-Amravati-25-26'!$A$13:$B$190,2,0)</f>
        <v>370</v>
      </c>
      <c r="D33" s="57"/>
      <c r="E33" s="57"/>
      <c r="F33" s="65">
        <f>+B33+C33+D33</f>
        <v>370</v>
      </c>
      <c r="G33" s="11">
        <f>VLOOKUP(A33,'Profit Loss-Amravati-25-26'!$A$9:$D$190,3,0)</f>
        <v>370</v>
      </c>
      <c r="H33" s="57"/>
      <c r="I33" s="57"/>
      <c r="J33" s="56">
        <f t="shared" si="28"/>
        <v>370</v>
      </c>
      <c r="K33" s="65">
        <f t="shared" si="29"/>
        <v>0</v>
      </c>
      <c r="L33" s="55">
        <f>VLOOKUP(A33,'Profit Loss-Amravati-25-26'!$A$9:$F$190,5,0)</f>
        <v>1170</v>
      </c>
      <c r="M33" s="55"/>
      <c r="N33" s="55"/>
      <c r="O33" s="56">
        <f t="shared" si="42"/>
        <v>1170</v>
      </c>
      <c r="P33" s="65">
        <f t="shared" si="43"/>
        <v>800</v>
      </c>
      <c r="Q33" s="55">
        <f>VLOOKUP(A33,'Profit Loss-Amravati-25-26'!$A$9:$H$190,7,0)</f>
        <v>1170</v>
      </c>
      <c r="R33" s="55"/>
      <c r="S33" s="55"/>
      <c r="T33" s="56">
        <f>+Q33+R33</f>
        <v>1170</v>
      </c>
      <c r="U33" s="65">
        <f t="shared" si="44"/>
        <v>0</v>
      </c>
      <c r="V33" s="55">
        <f>VLOOKUP(A33,'Profit Loss-Amravati-25-26'!$A$9:$J$190,9,0)</f>
        <v>1170</v>
      </c>
      <c r="W33" s="55"/>
      <c r="X33" s="55"/>
      <c r="Y33" s="56">
        <f>+V33+W33</f>
        <v>1170</v>
      </c>
      <c r="Z33" s="65">
        <f t="shared" si="45"/>
        <v>0</v>
      </c>
      <c r="AA33" s="55">
        <f>VLOOKUP(A33,'Profit Loss-Amravati-25-26'!$A$9:$L$192,11,0)</f>
        <v>1170</v>
      </c>
      <c r="AB33" s="55"/>
      <c r="AC33" s="55"/>
      <c r="AD33" s="56">
        <f t="shared" si="30"/>
        <v>1170</v>
      </c>
      <c r="AE33" s="65">
        <f t="shared" si="31"/>
        <v>0</v>
      </c>
      <c r="AF33" s="55">
        <f>VLOOKUP(A33,'Profit Loss-Amravati-25-26'!$A$9:$N$192,13,0)</f>
        <v>2270</v>
      </c>
      <c r="AG33" s="55"/>
      <c r="AH33" s="55"/>
      <c r="AI33" s="56">
        <f t="shared" si="32"/>
        <v>2270</v>
      </c>
      <c r="AJ33" s="65">
        <f t="shared" si="33"/>
        <v>1100</v>
      </c>
      <c r="AK33" s="55">
        <f>VLOOKUP(A33,'Profit Loss-Amravati-25-26'!$A$9:$P$192,15,0)</f>
        <v>2470</v>
      </c>
      <c r="AL33" s="55"/>
      <c r="AM33" s="55"/>
      <c r="AN33" s="56">
        <f t="shared" ref="AN33:AN36" si="52">+AK33+AL33-AM33</f>
        <v>2470</v>
      </c>
      <c r="AO33" s="65">
        <f t="shared" si="35"/>
        <v>200</v>
      </c>
      <c r="AP33" s="55">
        <f>VLOOKUP(A33,'Profit Loss-Amravati-25-26'!$A$9:$R$192,17,0)</f>
        <v>3275</v>
      </c>
      <c r="AQ33" s="55"/>
      <c r="AR33" s="55"/>
      <c r="AS33" s="56">
        <f t="shared" ref="AS33:AS36" si="53">+AP33+AQ33-AR33</f>
        <v>3275</v>
      </c>
      <c r="AT33" s="65">
        <f t="shared" si="37"/>
        <v>805</v>
      </c>
      <c r="AU33" s="55">
        <f>VLOOKUP(A33,'Profit Loss-Amravati-25-26'!$A$9:$T$192,19,0)</f>
        <v>3275</v>
      </c>
      <c r="AV33" s="55"/>
      <c r="AW33" s="55"/>
      <c r="AX33" s="56">
        <f t="shared" ref="AX33:AX36" si="54">+AU33+AV33-AW33</f>
        <v>3275</v>
      </c>
      <c r="AY33" s="65">
        <f t="shared" si="39"/>
        <v>0</v>
      </c>
      <c r="AZ33" s="55">
        <f>VLOOKUP(A33,'Profit Loss-Amravati-25-26'!$A$9:$V$192,21,0)</f>
        <v>3275</v>
      </c>
      <c r="BA33" s="55"/>
      <c r="BB33" s="55"/>
      <c r="BC33" s="56">
        <f t="shared" ref="BC33:BC36" si="55">+AZ33+BA33-BB33</f>
        <v>3275</v>
      </c>
      <c r="BD33" s="65">
        <f t="shared" si="41"/>
        <v>0</v>
      </c>
      <c r="BE33" s="55"/>
      <c r="BF33" s="55"/>
    </row>
    <row r="34" spans="1:58" x14ac:dyDescent="0.3">
      <c r="A34" s="10" t="s">
        <v>376</v>
      </c>
      <c r="B34" s="11"/>
      <c r="C34" s="11"/>
      <c r="D34" s="57"/>
      <c r="E34" s="57"/>
      <c r="F34" s="65"/>
      <c r="G34" s="11"/>
      <c r="H34" s="57"/>
      <c r="I34" s="57"/>
      <c r="J34" s="56"/>
      <c r="K34" s="65"/>
      <c r="L34" s="55"/>
      <c r="M34" s="55"/>
      <c r="N34" s="55"/>
      <c r="O34" s="56"/>
      <c r="P34" s="65"/>
      <c r="Q34" s="55"/>
      <c r="R34" s="55"/>
      <c r="S34" s="55"/>
      <c r="T34" s="56"/>
      <c r="U34" s="65"/>
      <c r="V34" s="55"/>
      <c r="W34" s="55"/>
      <c r="X34" s="55"/>
      <c r="Y34" s="56"/>
      <c r="Z34" s="65"/>
      <c r="AA34" s="55">
        <f>VLOOKUP(A34,'Profit Loss-Amravati-25-26'!$A$9:$L$192,11,0)</f>
        <v>88549</v>
      </c>
      <c r="AB34" s="55"/>
      <c r="AC34" s="55"/>
      <c r="AD34" s="56">
        <f t="shared" si="30"/>
        <v>88549</v>
      </c>
      <c r="AE34" s="65">
        <f t="shared" si="31"/>
        <v>88549</v>
      </c>
      <c r="AF34" s="55">
        <f>VLOOKUP(A34,'Profit Loss-Amravati-25-26'!$A$9:$N$192,13,0)</f>
        <v>88549</v>
      </c>
      <c r="AG34" s="55"/>
      <c r="AH34" s="55"/>
      <c r="AI34" s="56">
        <f t="shared" si="32"/>
        <v>88549</v>
      </c>
      <c r="AJ34" s="65">
        <f t="shared" si="33"/>
        <v>0</v>
      </c>
      <c r="AK34" s="55">
        <f>VLOOKUP(A34,'Profit Loss-Amravati-25-26'!$A$9:$P$192,15,0)</f>
        <v>88549</v>
      </c>
      <c r="AL34" s="55"/>
      <c r="AM34" s="55"/>
      <c r="AN34" s="56">
        <f t="shared" si="52"/>
        <v>88549</v>
      </c>
      <c r="AO34" s="65">
        <f t="shared" si="35"/>
        <v>0</v>
      </c>
      <c r="AP34" s="55">
        <f>VLOOKUP(A34,'Profit Loss-Amravati-25-26'!$A$9:$R$192,17,0)</f>
        <v>88549</v>
      </c>
      <c r="AQ34" s="55"/>
      <c r="AR34" s="55"/>
      <c r="AS34" s="56">
        <f t="shared" si="53"/>
        <v>88549</v>
      </c>
      <c r="AT34" s="65">
        <f t="shared" si="37"/>
        <v>0</v>
      </c>
      <c r="AU34" s="55">
        <f>VLOOKUP(A34,'Profit Loss-Amravati-25-26'!$A$9:$T$192,19,0)</f>
        <v>88549</v>
      </c>
      <c r="AV34" s="55"/>
      <c r="AW34" s="55"/>
      <c r="AX34" s="56">
        <f t="shared" si="54"/>
        <v>88549</v>
      </c>
      <c r="AY34" s="65">
        <f t="shared" si="39"/>
        <v>0</v>
      </c>
      <c r="AZ34" s="55">
        <f>VLOOKUP(A34,'Profit Loss-Amravati-25-26'!$A$9:$V$192,21,0)</f>
        <v>88549</v>
      </c>
      <c r="BA34" s="55"/>
      <c r="BB34" s="55"/>
      <c r="BC34" s="56">
        <f t="shared" si="55"/>
        <v>88549</v>
      </c>
      <c r="BD34" s="65">
        <f t="shared" si="41"/>
        <v>0</v>
      </c>
      <c r="BE34" s="55"/>
      <c r="BF34" s="55"/>
    </row>
    <row r="35" spans="1:58" x14ac:dyDescent="0.3">
      <c r="A35" t="s">
        <v>22</v>
      </c>
      <c r="B35" s="11"/>
      <c r="C35" s="11"/>
      <c r="D35" s="57"/>
      <c r="E35" s="57"/>
      <c r="F35" s="65">
        <f>+B35+C35+D35</f>
        <v>0</v>
      </c>
      <c r="G35" s="11">
        <f>VLOOKUP(A35,'Profit Loss-Amravati-25-26'!$A$9:$D$190,3,0)</f>
        <v>184166</v>
      </c>
      <c r="H35" s="57"/>
      <c r="I35" s="57"/>
      <c r="J35" s="56">
        <f t="shared" si="28"/>
        <v>184166</v>
      </c>
      <c r="K35" s="65">
        <f t="shared" si="29"/>
        <v>184166</v>
      </c>
      <c r="L35" s="55">
        <f>VLOOKUP(A35,'Profit Loss-Amravati-25-26'!$A$9:$F$190,5,0)</f>
        <v>183672</v>
      </c>
      <c r="M35" s="55"/>
      <c r="N35" s="55"/>
      <c r="O35" s="56">
        <f t="shared" si="42"/>
        <v>183672</v>
      </c>
      <c r="P35" s="65">
        <f t="shared" si="43"/>
        <v>-494</v>
      </c>
      <c r="Q35" s="55">
        <f>VLOOKUP(A35,'Profit Loss-Amravati-25-26'!$A$9:$H$190,7,0)</f>
        <v>183672</v>
      </c>
      <c r="R35" s="55"/>
      <c r="S35" s="55"/>
      <c r="T35" s="56">
        <f>+Q35+R35</f>
        <v>183672</v>
      </c>
      <c r="U35" s="65">
        <f t="shared" si="44"/>
        <v>0</v>
      </c>
      <c r="V35" s="55">
        <f>VLOOKUP(A35,'Profit Loss-Amravati-25-26'!$A$9:$J$190,9,0)</f>
        <v>183672</v>
      </c>
      <c r="W35" s="55"/>
      <c r="X35" s="55"/>
      <c r="Y35" s="56">
        <f>+V35+W35</f>
        <v>183672</v>
      </c>
      <c r="Z35" s="65">
        <f t="shared" si="45"/>
        <v>0</v>
      </c>
      <c r="AA35" s="55">
        <f>VLOOKUP(A35,'Profit Loss-Amravati-25-26'!$A$9:$L$192,11,0)</f>
        <v>190161</v>
      </c>
      <c r="AB35" s="55"/>
      <c r="AC35" s="55"/>
      <c r="AD35" s="56">
        <f t="shared" si="30"/>
        <v>190161</v>
      </c>
      <c r="AE35" s="65">
        <f t="shared" si="31"/>
        <v>6489</v>
      </c>
      <c r="AF35" s="55">
        <f>VLOOKUP(A35,'Profit Loss-Amravati-25-26'!$A$9:$N$192,13,0)</f>
        <v>190161</v>
      </c>
      <c r="AG35" s="55"/>
      <c r="AH35" s="55"/>
      <c r="AI35" s="56">
        <f t="shared" si="32"/>
        <v>190161</v>
      </c>
      <c r="AJ35" s="65">
        <f t="shared" si="33"/>
        <v>0</v>
      </c>
      <c r="AK35" s="55">
        <f>VLOOKUP(A35,'Profit Loss-Amravati-25-26'!$A$9:$P$192,15,0)</f>
        <v>3927287.7508</v>
      </c>
      <c r="AL35" s="55"/>
      <c r="AM35" s="55"/>
      <c r="AN35" s="56">
        <f t="shared" si="52"/>
        <v>3927287.7508</v>
      </c>
      <c r="AO35" s="65">
        <f t="shared" si="35"/>
        <v>3737126.7508</v>
      </c>
      <c r="AP35" s="55">
        <f>VLOOKUP(A35,'Profit Loss-Amravati-25-26'!$A$9:$R$192,17,0)</f>
        <v>7846069</v>
      </c>
      <c r="AQ35" s="55"/>
      <c r="AR35" s="55"/>
      <c r="AS35" s="56">
        <f t="shared" si="53"/>
        <v>7846069</v>
      </c>
      <c r="AT35" s="65">
        <f t="shared" si="37"/>
        <v>3918781.2492</v>
      </c>
      <c r="AU35" s="55">
        <f>VLOOKUP(A35,'Profit Loss-Amravati-25-26'!$A$9:$T$192,19,0)</f>
        <v>7846069</v>
      </c>
      <c r="AV35" s="55"/>
      <c r="AW35" s="55"/>
      <c r="AX35" s="56">
        <f t="shared" si="54"/>
        <v>7846069</v>
      </c>
      <c r="AY35" s="88">
        <f t="shared" si="39"/>
        <v>0</v>
      </c>
      <c r="AZ35" s="55">
        <f>VLOOKUP(A35,'Profit Loss-Amravati-25-26'!$A$9:$V$192,21,0)</f>
        <v>8387918.4299999997</v>
      </c>
      <c r="BA35" s="55"/>
      <c r="BB35" s="55"/>
      <c r="BC35" s="56">
        <f t="shared" si="55"/>
        <v>8387918.4299999997</v>
      </c>
      <c r="BD35" s="44">
        <f t="shared" si="41"/>
        <v>541849.4299999997</v>
      </c>
      <c r="BE35" s="55"/>
      <c r="BF35" s="55"/>
    </row>
    <row r="36" spans="1:58" x14ac:dyDescent="0.3">
      <c r="A36" s="10" t="s">
        <v>23</v>
      </c>
      <c r="B36" s="11"/>
      <c r="C36" s="11"/>
      <c r="D36" s="57"/>
      <c r="E36" s="57"/>
      <c r="F36" s="65">
        <f>+B36+C36+D36</f>
        <v>0</v>
      </c>
      <c r="G36" s="11"/>
      <c r="H36" s="57"/>
      <c r="I36" s="57"/>
      <c r="J36" s="56">
        <f t="shared" si="28"/>
        <v>0</v>
      </c>
      <c r="K36" s="65">
        <f t="shared" si="29"/>
        <v>0</v>
      </c>
      <c r="L36" s="55"/>
      <c r="M36" s="55"/>
      <c r="N36" s="55"/>
      <c r="O36" s="56">
        <f t="shared" si="42"/>
        <v>0</v>
      </c>
      <c r="P36" s="65">
        <f t="shared" si="43"/>
        <v>0</v>
      </c>
      <c r="Q36" s="55"/>
      <c r="R36" s="55"/>
      <c r="S36" s="55"/>
      <c r="T36" s="56">
        <f t="shared" ref="T36" si="56">SUM(Q36:R36)</f>
        <v>0</v>
      </c>
      <c r="U36" s="65">
        <f t="shared" si="44"/>
        <v>0</v>
      </c>
      <c r="V36" s="55"/>
      <c r="W36" s="55"/>
      <c r="X36" s="55"/>
      <c r="Y36" s="56">
        <f t="shared" ref="Y36" si="57">SUM(V36:W36)</f>
        <v>0</v>
      </c>
      <c r="Z36" s="65">
        <f t="shared" si="45"/>
        <v>0</v>
      </c>
      <c r="AA36" s="55"/>
      <c r="AB36" s="55"/>
      <c r="AC36" s="55"/>
      <c r="AD36" s="56">
        <f t="shared" si="30"/>
        <v>0</v>
      </c>
      <c r="AE36" s="65">
        <f t="shared" si="31"/>
        <v>0</v>
      </c>
      <c r="AF36" s="55"/>
      <c r="AG36" s="55"/>
      <c r="AH36" s="55"/>
      <c r="AI36" s="56">
        <f t="shared" si="32"/>
        <v>0</v>
      </c>
      <c r="AJ36" s="65">
        <f t="shared" si="33"/>
        <v>0</v>
      </c>
      <c r="AK36" s="55">
        <f>VLOOKUP(A36,'Profit Loss-Amravati-25-26'!$A$9:$P$192,15,0)</f>
        <v>70000</v>
      </c>
      <c r="AL36" s="55"/>
      <c r="AM36" s="55"/>
      <c r="AN36" s="56">
        <f t="shared" si="52"/>
        <v>70000</v>
      </c>
      <c r="AO36" s="65">
        <f t="shared" si="35"/>
        <v>70000</v>
      </c>
      <c r="AP36" s="55">
        <f>VLOOKUP(A36,'Profit Loss-Amravati-25-26'!$A$9:$R$192,17,0)</f>
        <v>70000</v>
      </c>
      <c r="AQ36" s="55"/>
      <c r="AR36" s="55"/>
      <c r="AS36" s="56">
        <f t="shared" si="53"/>
        <v>70000</v>
      </c>
      <c r="AT36" s="65">
        <f t="shared" si="37"/>
        <v>0</v>
      </c>
      <c r="AU36" s="55">
        <f>VLOOKUP(A36,'Profit Loss-Amravati-25-26'!$A$9:$T$192,19,0)</f>
        <v>70000</v>
      </c>
      <c r="AV36" s="55"/>
      <c r="AW36" s="55"/>
      <c r="AX36" s="56">
        <f t="shared" si="54"/>
        <v>70000</v>
      </c>
      <c r="AY36" s="65">
        <f t="shared" si="39"/>
        <v>0</v>
      </c>
      <c r="AZ36" s="55">
        <f>VLOOKUP(A36,'Profit Loss-Amravati-25-26'!$A$9:$V$192,21,0)</f>
        <v>70000</v>
      </c>
      <c r="BA36" s="55"/>
      <c r="BB36" s="55"/>
      <c r="BC36" s="56">
        <f t="shared" si="55"/>
        <v>70000</v>
      </c>
      <c r="BD36" s="65">
        <f t="shared" si="41"/>
        <v>0</v>
      </c>
      <c r="BF36" s="55"/>
    </row>
    <row r="37" spans="1:58" s="15" customFormat="1" x14ac:dyDescent="0.3">
      <c r="A37" s="13" t="s">
        <v>24</v>
      </c>
      <c r="B37" s="14">
        <f t="shared" ref="B37:C37" si="58">SUM(B21:B36)</f>
        <v>0</v>
      </c>
      <c r="C37" s="14">
        <f t="shared" si="58"/>
        <v>229146.3</v>
      </c>
      <c r="D37" s="58">
        <f t="shared" ref="D37:G37" si="59">SUM(D21:D36)</f>
        <v>0</v>
      </c>
      <c r="E37" s="58"/>
      <c r="F37" s="58">
        <f t="shared" si="59"/>
        <v>229146.3</v>
      </c>
      <c r="G37" s="14">
        <f t="shared" si="59"/>
        <v>1159100.3</v>
      </c>
      <c r="H37" s="58">
        <f t="shared" ref="H37" si="60">SUM(H21:H36)</f>
        <v>0</v>
      </c>
      <c r="I37" s="58"/>
      <c r="J37" s="14">
        <f t="shared" ref="J37:L37" si="61">SUM(J21:J36)</f>
        <v>1159100.3</v>
      </c>
      <c r="K37" s="14">
        <f t="shared" ref="K37" si="62">SUM(K21:K36)</f>
        <v>929954</v>
      </c>
      <c r="L37" s="14">
        <f t="shared" si="61"/>
        <v>2259807.08</v>
      </c>
      <c r="M37" s="14">
        <f t="shared" ref="M37" si="63">SUM(M21:M36)</f>
        <v>12500</v>
      </c>
      <c r="N37" s="14"/>
      <c r="O37" s="14">
        <f t="shared" ref="O37:R37" si="64">SUM(O21:O36)</f>
        <v>2272307.08</v>
      </c>
      <c r="P37" s="14">
        <f t="shared" si="64"/>
        <v>1113206.7799999998</v>
      </c>
      <c r="Q37" s="14">
        <f t="shared" si="64"/>
        <v>4368755.9000000004</v>
      </c>
      <c r="R37" s="14">
        <f t="shared" si="64"/>
        <v>12500</v>
      </c>
      <c r="S37" s="14"/>
      <c r="T37" s="14">
        <f t="shared" ref="T37:W37" si="65">SUM(T21:T36)</f>
        <v>4381255.9000000004</v>
      </c>
      <c r="U37" s="14">
        <f t="shared" si="65"/>
        <v>2108948.8200000008</v>
      </c>
      <c r="V37" s="14">
        <f t="shared" si="65"/>
        <v>4985012.66</v>
      </c>
      <c r="W37" s="14">
        <f t="shared" si="65"/>
        <v>12500</v>
      </c>
      <c r="X37" s="14"/>
      <c r="Y37" s="14">
        <f t="shared" ref="Y37:AB37" si="66">SUM(Y21:Y36)</f>
        <v>5297512.66</v>
      </c>
      <c r="Z37" s="14">
        <f t="shared" si="66"/>
        <v>916256.76</v>
      </c>
      <c r="AA37" s="14">
        <f t="shared" si="66"/>
        <v>6074350.4100000001</v>
      </c>
      <c r="AB37" s="14">
        <f t="shared" si="66"/>
        <v>12500</v>
      </c>
      <c r="AC37" s="14"/>
      <c r="AD37" s="14">
        <f t="shared" ref="AD37:AG37" si="67">SUM(AD21:AD36)</f>
        <v>6086850.4100000001</v>
      </c>
      <c r="AE37" s="14">
        <f t="shared" si="67"/>
        <v>789337.75</v>
      </c>
      <c r="AF37" s="14">
        <f t="shared" si="67"/>
        <v>7124421.2400000002</v>
      </c>
      <c r="AG37" s="14">
        <f t="shared" si="67"/>
        <v>30500</v>
      </c>
      <c r="AH37" s="14"/>
      <c r="AI37" s="14">
        <f t="shared" ref="AI37:AL37" si="68">SUM(AI21:AI36)</f>
        <v>7154921.2400000002</v>
      </c>
      <c r="AJ37" s="14">
        <f t="shared" si="68"/>
        <v>1068070.83</v>
      </c>
      <c r="AK37" s="14">
        <f t="shared" si="68"/>
        <v>12108828.9408</v>
      </c>
      <c r="AL37" s="14">
        <f t="shared" si="68"/>
        <v>18500</v>
      </c>
      <c r="AM37" s="14"/>
      <c r="AN37" s="14">
        <f t="shared" ref="AN37:AQ37" si="69">SUM(AN21:AN36)</f>
        <v>12127328.9408</v>
      </c>
      <c r="AO37" s="14">
        <f t="shared" si="69"/>
        <v>4972407.7007999998</v>
      </c>
      <c r="AP37" s="14">
        <f t="shared" si="69"/>
        <v>17905962.09</v>
      </c>
      <c r="AQ37" s="14">
        <f t="shared" si="69"/>
        <v>18500</v>
      </c>
      <c r="AR37" s="14"/>
      <c r="AS37" s="14">
        <f t="shared" ref="AS37:AV37" si="70">SUM(AS21:AS36)</f>
        <v>17924462.09</v>
      </c>
      <c r="AT37" s="14">
        <f t="shared" si="70"/>
        <v>5797133.1491999999</v>
      </c>
      <c r="AU37" s="14">
        <f t="shared" si="70"/>
        <v>18837921.240000002</v>
      </c>
      <c r="AV37" s="14">
        <f t="shared" si="70"/>
        <v>18500</v>
      </c>
      <c r="AW37" s="14"/>
      <c r="AX37" s="14">
        <f t="shared" ref="AX37:BA37" si="71">SUM(AX21:AX36)</f>
        <v>18856421.240000002</v>
      </c>
      <c r="AY37" s="14">
        <f t="shared" si="71"/>
        <v>931959.15000000014</v>
      </c>
      <c r="AZ37" s="14">
        <f t="shared" si="71"/>
        <v>20217957.34</v>
      </c>
      <c r="BA37" s="14">
        <f t="shared" si="71"/>
        <v>18500</v>
      </c>
      <c r="BB37" s="14"/>
      <c r="BC37" s="14">
        <f t="shared" ref="BC37:BD37" si="72">SUM(BC21:BC36)</f>
        <v>20236457.34</v>
      </c>
      <c r="BD37" s="14">
        <f t="shared" si="72"/>
        <v>1380036.0999999996</v>
      </c>
      <c r="BE37" s="71">
        <f>+BC37-AX37-BD37</f>
        <v>-1.862645149230957E-9</v>
      </c>
      <c r="BF37" s="71"/>
    </row>
    <row r="38" spans="1:58" s="15" customFormat="1" x14ac:dyDescent="0.3">
      <c r="A38" s="17" t="s">
        <v>25</v>
      </c>
      <c r="B38" s="18">
        <f t="shared" ref="B38:C38" si="73">B19-B37</f>
        <v>0</v>
      </c>
      <c r="C38" s="18">
        <f t="shared" si="73"/>
        <v>49362792.450000003</v>
      </c>
      <c r="D38" s="60">
        <f t="shared" ref="D38:G38" si="74">D19-D37</f>
        <v>1501872</v>
      </c>
      <c r="E38" s="60"/>
      <c r="F38" s="60">
        <f t="shared" si="74"/>
        <v>49362792.450000003</v>
      </c>
      <c r="G38" s="18">
        <f t="shared" si="74"/>
        <v>111474087.7</v>
      </c>
      <c r="H38" s="60">
        <f t="shared" ref="H38:J38" si="75">H19-H37</f>
        <v>2501098</v>
      </c>
      <c r="I38" s="60">
        <f t="shared" si="75"/>
        <v>-2501098</v>
      </c>
      <c r="J38" s="18">
        <f t="shared" si="75"/>
        <v>111474087.7</v>
      </c>
      <c r="K38" s="18">
        <f t="shared" ref="K38:N38" si="76">K19-K37</f>
        <v>62111295.25</v>
      </c>
      <c r="L38" s="18">
        <f t="shared" si="76"/>
        <v>167492244.26999998</v>
      </c>
      <c r="M38" s="18">
        <f t="shared" si="76"/>
        <v>5273679</v>
      </c>
      <c r="N38" s="18">
        <f t="shared" si="76"/>
        <v>-5286179</v>
      </c>
      <c r="O38" s="18">
        <f t="shared" ref="O38:S38" si="77">O19-O37</f>
        <v>167479744.26999998</v>
      </c>
      <c r="P38" s="18">
        <f t="shared" si="77"/>
        <v>56005656.569999993</v>
      </c>
      <c r="Q38" s="18">
        <f t="shared" si="77"/>
        <v>256474379.59</v>
      </c>
      <c r="R38" s="18">
        <f t="shared" si="77"/>
        <v>9014083.0099999998</v>
      </c>
      <c r="S38" s="18">
        <f t="shared" si="77"/>
        <v>-9026583.0099999998</v>
      </c>
      <c r="T38" s="18">
        <f t="shared" ref="T38:X38" si="78">T19-T37</f>
        <v>256109552.59</v>
      </c>
      <c r="U38" s="18">
        <f t="shared" si="78"/>
        <v>88629808.320000008</v>
      </c>
      <c r="V38" s="18">
        <f t="shared" si="78"/>
        <v>317870139.63</v>
      </c>
      <c r="W38" s="18">
        <f t="shared" si="78"/>
        <v>12181032.01</v>
      </c>
      <c r="X38" s="18">
        <f t="shared" si="78"/>
        <v>-12193532.01</v>
      </c>
      <c r="Y38" s="18">
        <f t="shared" ref="Y38:AC38" si="79">Y19-Y37</f>
        <v>307990276.63</v>
      </c>
      <c r="Z38" s="18">
        <f t="shared" si="79"/>
        <v>51880724.040000014</v>
      </c>
      <c r="AA38" s="18">
        <f t="shared" si="79"/>
        <v>394407396.92999995</v>
      </c>
      <c r="AB38" s="18">
        <f t="shared" si="79"/>
        <v>15370414.01</v>
      </c>
      <c r="AC38" s="18">
        <f t="shared" si="79"/>
        <v>-15382914.01</v>
      </c>
      <c r="AD38" s="18">
        <f t="shared" ref="AD38:AH38" si="80">AD19-AD37</f>
        <v>394394896.92999995</v>
      </c>
      <c r="AE38" s="18">
        <f t="shared" si="80"/>
        <v>86404620.299999952</v>
      </c>
      <c r="AF38" s="18">
        <f t="shared" si="80"/>
        <v>451546684.25</v>
      </c>
      <c r="AG38" s="18">
        <f t="shared" si="80"/>
        <v>16405208.01</v>
      </c>
      <c r="AH38" s="18">
        <f t="shared" si="80"/>
        <v>16435708.01</v>
      </c>
      <c r="AI38" s="18">
        <f t="shared" ref="AI38:AM38" si="81">AI19-AI37</f>
        <v>451516184.25</v>
      </c>
      <c r="AJ38" s="18">
        <f t="shared" si="81"/>
        <v>57121287.320000038</v>
      </c>
      <c r="AK38" s="18">
        <f t="shared" si="81"/>
        <v>580690795.05920005</v>
      </c>
      <c r="AL38" s="18">
        <f t="shared" si="81"/>
        <v>18506080.02</v>
      </c>
      <c r="AM38" s="18">
        <f t="shared" si="81"/>
        <v>18524580.02</v>
      </c>
      <c r="AN38" s="18">
        <f t="shared" ref="AN38:AR38" si="82">AN19-AN37</f>
        <v>580672295.05920005</v>
      </c>
      <c r="AO38" s="18">
        <f t="shared" si="82"/>
        <v>129156110.80919999</v>
      </c>
      <c r="AP38" s="18">
        <f t="shared" si="82"/>
        <v>746448050.25999987</v>
      </c>
      <c r="AQ38" s="18">
        <f t="shared" si="82"/>
        <v>21694331.010000002</v>
      </c>
      <c r="AR38" s="18">
        <f t="shared" si="82"/>
        <v>21712831.010000002</v>
      </c>
      <c r="AS38" s="18">
        <f t="shared" ref="AS38:AW38" si="83">AS19-AS37</f>
        <v>746429550.25999987</v>
      </c>
      <c r="AT38" s="18">
        <f t="shared" si="83"/>
        <v>165757255.20079997</v>
      </c>
      <c r="AU38" s="18">
        <f t="shared" si="83"/>
        <v>820984833.21000004</v>
      </c>
      <c r="AV38" s="18">
        <f t="shared" si="83"/>
        <v>24981888.010000002</v>
      </c>
      <c r="AW38" s="18">
        <f t="shared" si="83"/>
        <v>25000388.010000002</v>
      </c>
      <c r="AX38" s="18">
        <f t="shared" ref="AX38:BB38" si="84">AX19-AX37</f>
        <v>820966333.21000004</v>
      </c>
      <c r="AY38" s="18">
        <f t="shared" si="84"/>
        <v>74536782.950000077</v>
      </c>
      <c r="AZ38" s="18">
        <f t="shared" si="84"/>
        <v>908939102.05999994</v>
      </c>
      <c r="BA38" s="18">
        <f t="shared" si="84"/>
        <v>27015565.010000002</v>
      </c>
      <c r="BB38" s="18">
        <f t="shared" si="84"/>
        <v>27034065.010000002</v>
      </c>
      <c r="BC38" s="18">
        <f t="shared" ref="BC38:BD38" si="85">BC19-BC37</f>
        <v>908920602.05999994</v>
      </c>
      <c r="BD38" s="18">
        <f t="shared" si="85"/>
        <v>87954268.849999934</v>
      </c>
      <c r="BE38" s="71">
        <f>+BC38-AX38-BD38</f>
        <v>0</v>
      </c>
      <c r="BF38" s="71"/>
    </row>
    <row r="39" spans="1:58" s="15" customFormat="1" x14ac:dyDescent="0.3">
      <c r="A39" s="8" t="s">
        <v>26</v>
      </c>
      <c r="B39" s="16"/>
      <c r="C39" s="16"/>
      <c r="D39" s="59"/>
      <c r="E39" s="59"/>
      <c r="F39" s="8"/>
      <c r="G39" s="16"/>
      <c r="H39" s="59"/>
      <c r="I39" s="59"/>
      <c r="J39" s="59"/>
      <c r="K39" s="8"/>
      <c r="L39" s="55">
        <f>VLOOKUP(A39,'Profit Loss-Amravati-25-26'!$A$9:$F$190,5,0)</f>
        <v>0</v>
      </c>
      <c r="M39" s="55">
        <f>VLOOKUP(A39,'Profit Loss-Betul-25-26'!$A$9:$F$141,5,0)</f>
        <v>0</v>
      </c>
      <c r="N39" s="55"/>
      <c r="O39" s="59"/>
      <c r="P39" s="8"/>
      <c r="Q39" s="55"/>
      <c r="R39" s="55"/>
      <c r="S39" s="55"/>
      <c r="T39" s="59"/>
      <c r="U39" s="8"/>
      <c r="V39" s="55"/>
      <c r="W39" s="55"/>
      <c r="X39" s="55"/>
      <c r="Y39" s="59"/>
      <c r="Z39" s="8"/>
      <c r="AA39" s="55"/>
      <c r="AB39" s="55"/>
      <c r="AC39" s="55"/>
      <c r="AD39" s="59"/>
      <c r="AE39" s="8"/>
      <c r="AF39" s="55"/>
      <c r="AG39" s="55"/>
      <c r="AH39" s="55"/>
      <c r="AI39" s="59"/>
      <c r="AJ39" s="8"/>
      <c r="AK39" s="55"/>
      <c r="AL39" s="55"/>
      <c r="AM39" s="55"/>
      <c r="AN39" s="59"/>
      <c r="AO39" s="8"/>
      <c r="AP39" s="55"/>
      <c r="AQ39" s="55"/>
      <c r="AR39" s="55"/>
      <c r="AS39" s="59"/>
      <c r="AT39" s="8"/>
      <c r="AU39" s="55"/>
      <c r="AV39" s="55"/>
      <c r="AW39" s="55"/>
      <c r="AX39" s="59"/>
      <c r="AY39" s="8"/>
      <c r="AZ39" s="55"/>
      <c r="BA39" s="55"/>
      <c r="BB39" s="55"/>
      <c r="BC39" s="59"/>
      <c r="BD39" s="8"/>
    </row>
    <row r="40" spans="1:58" s="15" customFormat="1" x14ac:dyDescent="0.3">
      <c r="A40" s="10" t="s">
        <v>28</v>
      </c>
      <c r="B40" s="11"/>
      <c r="C40" s="11"/>
      <c r="D40" s="57"/>
      <c r="E40" s="57"/>
      <c r="F40" s="8"/>
      <c r="G40" s="11">
        <f>VLOOKUP(A40,'Profit Loss-Amravati-25-26'!$A$9:$D$190,3,0)</f>
        <v>316074</v>
      </c>
      <c r="H40" s="57"/>
      <c r="I40" s="57"/>
      <c r="J40" s="56">
        <f t="shared" ref="J40:J45" si="86">SUM(G40:I40)</f>
        <v>316074</v>
      </c>
      <c r="K40" s="65">
        <f t="shared" ref="K40:K45" si="87">+H40+G40-F40</f>
        <v>316074</v>
      </c>
      <c r="L40" s="55">
        <f>VLOOKUP(A40,'Profit Loss-Amravati-25-26'!$A$9:$F$190,5,0)</f>
        <v>316074</v>
      </c>
      <c r="M40" s="55"/>
      <c r="N40" s="55"/>
      <c r="O40" s="56">
        <f t="shared" ref="O40:O45" si="88">SUM(L40:M40)</f>
        <v>316074</v>
      </c>
      <c r="P40" s="65">
        <f t="shared" ref="P40:P45" si="89">+O40-J40</f>
        <v>0</v>
      </c>
      <c r="Q40" s="55">
        <f>VLOOKUP(A40,'Profit Loss-Amravati-25-26'!$A$9:$H$190,7,0)</f>
        <v>316074</v>
      </c>
      <c r="R40" s="55"/>
      <c r="S40" s="55"/>
      <c r="T40" s="56">
        <f t="shared" ref="T40:T45" si="90">SUM(Q40:R40)</f>
        <v>316074</v>
      </c>
      <c r="U40" s="65">
        <f t="shared" ref="U40:U45" si="91">+T40-O40</f>
        <v>0</v>
      </c>
      <c r="V40" s="55">
        <f>VLOOKUP(A40,'Profit Loss-Amravati-25-26'!$A$9:$J$190,9,0)</f>
        <v>316074</v>
      </c>
      <c r="W40" s="55"/>
      <c r="X40" s="55"/>
      <c r="Y40" s="56">
        <f t="shared" ref="Y40:Y45" si="92">SUM(V40:W40)</f>
        <v>316074</v>
      </c>
      <c r="Z40" s="65">
        <f t="shared" ref="Z40:Z45" si="93">+Y40-T40</f>
        <v>0</v>
      </c>
      <c r="AA40" s="55">
        <f>VLOOKUP(A40,'Profit Loss-Amravati-25-26'!$A$9:$L$192,11,0)</f>
        <v>6259301</v>
      </c>
      <c r="AB40" s="55"/>
      <c r="AC40" s="55"/>
      <c r="AD40" s="56">
        <f t="shared" ref="AD40:AD45" si="94">+AA40+AB40-AC40</f>
        <v>6259301</v>
      </c>
      <c r="AE40" s="65">
        <f t="shared" ref="AE40:AE45" si="95">+AD40-Y40</f>
        <v>5943227</v>
      </c>
      <c r="AF40" s="55">
        <f>VLOOKUP(A40,'Profit Loss-Amravati-25-26'!$A$9:$N$192,13,0)</f>
        <v>6259301</v>
      </c>
      <c r="AG40" s="55"/>
      <c r="AH40" s="55"/>
      <c r="AI40" s="56">
        <f t="shared" ref="AI40:AI45" si="96">+AF40+AG40-AH40</f>
        <v>6259301</v>
      </c>
      <c r="AJ40" s="65">
        <f t="shared" ref="AJ40:AJ45" si="97">+AI40-AD40</f>
        <v>0</v>
      </c>
      <c r="AK40" s="55">
        <f>VLOOKUP(A40,'Profit Loss-Amravati-25-26'!$A$9:$P$192,15,0)</f>
        <v>6259301</v>
      </c>
      <c r="AL40" s="55"/>
      <c r="AM40" s="55"/>
      <c r="AN40" s="56">
        <f t="shared" ref="AN40:AN45" si="98">+AK40+AL40-AM40</f>
        <v>6259301</v>
      </c>
      <c r="AO40" s="65">
        <f t="shared" ref="AO40:AO45" si="99">+AN40-AI40</f>
        <v>0</v>
      </c>
      <c r="AP40" s="55">
        <f>VLOOKUP(A40,'Profit Loss-Amravati-25-26'!$A$9:$R$192,17,0)</f>
        <v>6259301</v>
      </c>
      <c r="AQ40" s="55"/>
      <c r="AR40" s="55"/>
      <c r="AS40" s="56">
        <f t="shared" ref="AS40:AS45" si="100">+AP40+AQ40-AR40</f>
        <v>6259301</v>
      </c>
      <c r="AT40" s="65">
        <f t="shared" ref="AT40:AT45" si="101">+AS40-AN40</f>
        <v>0</v>
      </c>
      <c r="AU40" s="55">
        <f>VLOOKUP(A40,'Profit Loss-Amravati-25-26'!$A$9:$T$192,19,0)</f>
        <v>7320935</v>
      </c>
      <c r="AV40" s="55"/>
      <c r="AW40" s="55"/>
      <c r="AX40" s="56">
        <f t="shared" ref="AX40:AX45" si="102">+AU40+AV40-AW40</f>
        <v>7320935</v>
      </c>
      <c r="AY40" s="65">
        <f t="shared" ref="AY40:AY45" si="103">+AX40-AS40</f>
        <v>1061634</v>
      </c>
      <c r="AZ40" s="55">
        <f>VLOOKUP(A40,'Profit Loss-Amravati-25-26'!$A$9:$V$192,21,0)</f>
        <v>7320935</v>
      </c>
      <c r="BA40" s="55"/>
      <c r="BB40" s="55"/>
      <c r="BC40" s="56">
        <f t="shared" ref="BC40:BC45" si="104">+AZ40+BA40-BB40</f>
        <v>7320935</v>
      </c>
      <c r="BD40" s="65">
        <f t="shared" ref="BD40:BD45" si="105">+BC40-AX40</f>
        <v>0</v>
      </c>
      <c r="BE40" s="55"/>
      <c r="BF40" s="55"/>
    </row>
    <row r="41" spans="1:58" s="15" customFormat="1" x14ac:dyDescent="0.3">
      <c r="A41" s="20" t="s">
        <v>183</v>
      </c>
      <c r="B41" s="11"/>
      <c r="C41" s="11"/>
      <c r="D41" s="57"/>
      <c r="E41" s="57"/>
      <c r="F41" s="8"/>
      <c r="G41" s="11">
        <f>VLOOKUP(A41,'Profit Loss-Amravati-25-26'!$A$9:$D$190,3,0)</f>
        <v>-316074</v>
      </c>
      <c r="H41" s="57"/>
      <c r="I41" s="57"/>
      <c r="J41" s="56">
        <f t="shared" si="86"/>
        <v>-316074</v>
      </c>
      <c r="K41" s="65">
        <f t="shared" si="87"/>
        <v>-316074</v>
      </c>
      <c r="L41" s="55">
        <f>VLOOKUP(A41,'Profit Loss-Amravati-25-26'!$A$9:$F$190,5,0)</f>
        <v>-316074</v>
      </c>
      <c r="M41" s="55"/>
      <c r="N41" s="55"/>
      <c r="O41" s="56">
        <f t="shared" si="88"/>
        <v>-316074</v>
      </c>
      <c r="P41" s="65">
        <f t="shared" si="89"/>
        <v>0</v>
      </c>
      <c r="Q41" s="55">
        <f>VLOOKUP(A41,'Profit Loss-Amravati-25-26'!$A$9:$H$190,7,0)</f>
        <v>-316074</v>
      </c>
      <c r="R41" s="55"/>
      <c r="S41" s="55"/>
      <c r="T41" s="56">
        <f t="shared" si="90"/>
        <v>-316074</v>
      </c>
      <c r="U41" s="65">
        <f t="shared" si="91"/>
        <v>0</v>
      </c>
      <c r="V41" s="55">
        <f>VLOOKUP(A41,'Profit Loss-Amravati-25-26'!$A$9:$J$190,9,0)</f>
        <v>-316074</v>
      </c>
      <c r="W41" s="55"/>
      <c r="X41" s="55"/>
      <c r="Y41" s="56">
        <f t="shared" si="92"/>
        <v>-316074</v>
      </c>
      <c r="Z41" s="65">
        <f t="shared" si="93"/>
        <v>0</v>
      </c>
      <c r="AA41" s="55">
        <f>VLOOKUP(A41,'Profit Loss-Amravati-25-26'!$A$9:$L$192,11,0)</f>
        <v>-6259301</v>
      </c>
      <c r="AB41" s="55"/>
      <c r="AC41" s="55"/>
      <c r="AD41" s="56">
        <f t="shared" si="94"/>
        <v>-6259301</v>
      </c>
      <c r="AE41" s="65">
        <f t="shared" si="95"/>
        <v>-5943227</v>
      </c>
      <c r="AF41" s="55">
        <f>VLOOKUP(A41,'Profit Loss-Amravati-25-26'!$A$9:$N$192,13,0)</f>
        <v>-6259301</v>
      </c>
      <c r="AG41" s="55"/>
      <c r="AH41" s="55"/>
      <c r="AI41" s="56">
        <f t="shared" si="96"/>
        <v>-6259301</v>
      </c>
      <c r="AJ41" s="65">
        <f t="shared" si="97"/>
        <v>0</v>
      </c>
      <c r="AK41" s="55">
        <f>VLOOKUP(A41,'Profit Loss-Amravati-25-26'!$A$9:$P$192,15,0)</f>
        <v>-6259301</v>
      </c>
      <c r="AL41" s="55"/>
      <c r="AM41" s="55"/>
      <c r="AN41" s="56">
        <f t="shared" si="98"/>
        <v>-6259301</v>
      </c>
      <c r="AO41" s="65">
        <f t="shared" si="99"/>
        <v>0</v>
      </c>
      <c r="AP41" s="55">
        <f>VLOOKUP(A41,'Profit Loss-Amravati-25-26'!$A$9:$R$192,17,0)</f>
        <v>-6259301</v>
      </c>
      <c r="AQ41" s="55"/>
      <c r="AR41" s="55"/>
      <c r="AS41" s="56">
        <f t="shared" si="100"/>
        <v>-6259301</v>
      </c>
      <c r="AT41" s="65">
        <f t="shared" si="101"/>
        <v>0</v>
      </c>
      <c r="AU41" s="55">
        <f>VLOOKUP(A41,'Profit Loss-Amravati-25-26'!$A$9:$T$192,19,0)</f>
        <v>-7320935</v>
      </c>
      <c r="AV41" s="55"/>
      <c r="AW41" s="55"/>
      <c r="AX41" s="56">
        <f t="shared" si="102"/>
        <v>-7320935</v>
      </c>
      <c r="AY41" s="65">
        <f t="shared" si="103"/>
        <v>-1061634</v>
      </c>
      <c r="AZ41" s="55">
        <f>VLOOKUP(A41,'Profit Loss-Amravati-25-26'!$A$9:$V$192,21,0)</f>
        <v>-7320935</v>
      </c>
      <c r="BA41" s="55"/>
      <c r="BB41" s="55"/>
      <c r="BC41" s="56">
        <f t="shared" si="104"/>
        <v>-7320935</v>
      </c>
      <c r="BD41" s="65">
        <f t="shared" si="105"/>
        <v>0</v>
      </c>
      <c r="BE41" s="55"/>
      <c r="BF41" s="55"/>
    </row>
    <row r="42" spans="1:58" s="15" customFormat="1" x14ac:dyDescent="0.3">
      <c r="A42" s="20" t="s">
        <v>184</v>
      </c>
      <c r="B42" s="11"/>
      <c r="C42" s="11"/>
      <c r="D42" s="57"/>
      <c r="E42" s="57"/>
      <c r="F42" s="8"/>
      <c r="G42" s="11">
        <f>VLOOKUP(A42,'Profit Loss-Amravati-25-26'!$A$9:$D$190,3,0)</f>
        <v>859887</v>
      </c>
      <c r="H42" s="57"/>
      <c r="I42" s="57"/>
      <c r="J42" s="56">
        <f t="shared" si="86"/>
        <v>859887</v>
      </c>
      <c r="K42" s="65">
        <f t="shared" si="87"/>
        <v>859887</v>
      </c>
      <c r="L42" s="55">
        <f>VLOOKUP(A42,'Profit Loss-Amravati-25-26'!$A$9:$F$190,5,0)</f>
        <v>859887</v>
      </c>
      <c r="M42" s="55">
        <f>VLOOKUP(A42,'Profit Loss-Betul-25-26'!$A$9:$F$141,5,0)</f>
        <v>0</v>
      </c>
      <c r="N42" s="55"/>
      <c r="O42" s="56">
        <f t="shared" si="88"/>
        <v>859887</v>
      </c>
      <c r="P42" s="65">
        <f t="shared" si="89"/>
        <v>0</v>
      </c>
      <c r="Q42" s="55">
        <f>VLOOKUP(A42,'Profit Loss-Amravati-25-26'!$A$9:$H$190,7,0)</f>
        <v>1347177</v>
      </c>
      <c r="R42" s="55"/>
      <c r="S42" s="55"/>
      <c r="T42" s="56">
        <f t="shared" si="90"/>
        <v>1347177</v>
      </c>
      <c r="U42" s="65">
        <f t="shared" si="91"/>
        <v>487290</v>
      </c>
      <c r="V42" s="55">
        <f>VLOOKUP(A42,'Profit Loss-Amravati-25-26'!$A$9:$J$190,9,0)</f>
        <v>1755145</v>
      </c>
      <c r="W42" s="55">
        <f>VLOOKUP(A42,'Profit Loss-Betul-25-26'!$A$9:$J$141,9,0)</f>
        <v>0</v>
      </c>
      <c r="X42" s="55"/>
      <c r="Y42" s="56">
        <f t="shared" si="92"/>
        <v>1755145</v>
      </c>
      <c r="Z42" s="65">
        <f t="shared" si="93"/>
        <v>407968</v>
      </c>
      <c r="AA42" s="55">
        <f>VLOOKUP(A42,'Profit Loss-Amravati-25-26'!$A$9:$L$192,11,0)</f>
        <v>1849897</v>
      </c>
      <c r="AB42" s="55">
        <f>VLOOKUP(A42,'Profit Loss-Betul-25-26'!$A$9:$L$141,11,0)</f>
        <v>0</v>
      </c>
      <c r="AC42" s="55"/>
      <c r="AD42" s="56">
        <f t="shared" si="94"/>
        <v>1849897</v>
      </c>
      <c r="AE42" s="65">
        <f t="shared" si="95"/>
        <v>94752</v>
      </c>
      <c r="AF42" s="55">
        <f>VLOOKUP(A42,'Profit Loss-Amravati-25-26'!$A$9:$N$192,13,0)</f>
        <v>2694207</v>
      </c>
      <c r="AG42" s="55"/>
      <c r="AH42" s="55"/>
      <c r="AI42" s="56">
        <f t="shared" si="96"/>
        <v>2694207</v>
      </c>
      <c r="AJ42" s="65">
        <f t="shared" si="97"/>
        <v>844310</v>
      </c>
      <c r="AK42" s="55">
        <f>VLOOKUP(A42,'Profit Loss-Amravati-25-26'!$A$9:$P$192,15,0)</f>
        <v>5431594</v>
      </c>
      <c r="AL42" s="55"/>
      <c r="AM42" s="55"/>
      <c r="AN42" s="56">
        <f t="shared" si="98"/>
        <v>5431594</v>
      </c>
      <c r="AO42" s="65">
        <f t="shared" si="99"/>
        <v>2737387</v>
      </c>
      <c r="AP42" s="55">
        <f>VLOOKUP(A42,'Profit Loss-Amravati-25-26'!$A$9:$R$192,17,0)</f>
        <v>8136195</v>
      </c>
      <c r="AQ42" s="55">
        <f>VLOOKUP(A42,'Profit Loss-Betul-25-26'!$A$9:$R$141,17,0)</f>
        <v>0</v>
      </c>
      <c r="AR42" s="55"/>
      <c r="AS42" s="56">
        <f t="shared" si="100"/>
        <v>8136195</v>
      </c>
      <c r="AT42" s="65">
        <f t="shared" si="101"/>
        <v>2704601</v>
      </c>
      <c r="AU42" s="55">
        <f>VLOOKUP(A42,'Profit Loss-Amravati-25-26'!$A$9:$T$192,19,0)</f>
        <v>8137208</v>
      </c>
      <c r="AV42" s="55"/>
      <c r="AW42" s="55"/>
      <c r="AX42" s="56">
        <f t="shared" si="102"/>
        <v>8137208</v>
      </c>
      <c r="AY42" s="65">
        <f t="shared" si="103"/>
        <v>1013</v>
      </c>
      <c r="AZ42" s="55">
        <f>VLOOKUP(A42,'Profit Loss-Amravati-25-26'!$A$9:$V$192,21,0)</f>
        <v>8978541</v>
      </c>
      <c r="BA42" s="55"/>
      <c r="BB42" s="55"/>
      <c r="BC42" s="56">
        <f t="shared" si="104"/>
        <v>8978541</v>
      </c>
      <c r="BD42" s="65">
        <f t="shared" si="105"/>
        <v>841333</v>
      </c>
      <c r="BE42" s="55"/>
      <c r="BF42" s="55"/>
    </row>
    <row r="43" spans="1:58" s="15" customFormat="1" x14ac:dyDescent="0.3">
      <c r="A43" s="10" t="s">
        <v>30</v>
      </c>
      <c r="B43" s="11"/>
      <c r="C43" s="11"/>
      <c r="D43" s="57"/>
      <c r="E43" s="57"/>
      <c r="F43" s="65">
        <f>+B43+C43+D43</f>
        <v>0</v>
      </c>
      <c r="G43" s="11">
        <f>VLOOKUP(A43,'Profit Loss-Amravati-25-26'!$A$9:$D$190,3,0)</f>
        <v>517983</v>
      </c>
      <c r="H43" s="57"/>
      <c r="I43" s="57"/>
      <c r="J43" s="56">
        <f t="shared" si="86"/>
        <v>517983</v>
      </c>
      <c r="K43" s="65">
        <f t="shared" si="87"/>
        <v>517983</v>
      </c>
      <c r="L43" s="55">
        <f>VLOOKUP(A43,'Profit Loss-Amravati-25-26'!$A$9:$F$190,5,0)</f>
        <v>517983</v>
      </c>
      <c r="M43" s="55"/>
      <c r="N43" s="55"/>
      <c r="O43" s="56">
        <f t="shared" si="88"/>
        <v>517983</v>
      </c>
      <c r="P43" s="88">
        <f t="shared" si="89"/>
        <v>0</v>
      </c>
      <c r="Q43" s="55">
        <f>VLOOKUP(A43,'Profit Loss-Amravati-25-26'!$A$9:$H$190,7,0)</f>
        <v>836371</v>
      </c>
      <c r="R43" s="55"/>
      <c r="S43" s="55"/>
      <c r="T43" s="56">
        <f t="shared" si="90"/>
        <v>836371</v>
      </c>
      <c r="U43" s="44">
        <f t="shared" si="91"/>
        <v>318388</v>
      </c>
      <c r="V43" s="55">
        <f>VLOOKUP(A43,'Profit Loss-Amravati-25-26'!$A$9:$J$190,9,0)</f>
        <v>1163782</v>
      </c>
      <c r="W43" s="55"/>
      <c r="X43" s="55"/>
      <c r="Y43" s="56">
        <f t="shared" si="92"/>
        <v>1163782</v>
      </c>
      <c r="Z43" s="44">
        <f t="shared" si="93"/>
        <v>327411</v>
      </c>
      <c r="AA43" s="55">
        <f>VLOOKUP(A43,'Profit Loss-Amravati-25-26'!$A$9:$L$192,11,0)</f>
        <v>1248612</v>
      </c>
      <c r="AB43" s="55"/>
      <c r="AC43" s="55"/>
      <c r="AD43" s="56">
        <f t="shared" si="94"/>
        <v>1248612</v>
      </c>
      <c r="AE43" s="65">
        <f t="shared" si="95"/>
        <v>84830</v>
      </c>
      <c r="AF43" s="55">
        <f>VLOOKUP(A43,'Profit Loss-Amravati-25-26'!$A$9:$N$192,13,0)</f>
        <v>1751367</v>
      </c>
      <c r="AG43" s="55"/>
      <c r="AH43" s="55"/>
      <c r="AI43" s="56">
        <f t="shared" si="96"/>
        <v>1751367</v>
      </c>
      <c r="AJ43" s="65">
        <f t="shared" si="97"/>
        <v>502755</v>
      </c>
      <c r="AK43" s="55">
        <f>VLOOKUP(A43,'Profit Loss-Amravati-25-26'!$A$9:$P$192,15,0)</f>
        <v>3861478</v>
      </c>
      <c r="AL43" s="55"/>
      <c r="AM43" s="55"/>
      <c r="AN43" s="56">
        <f t="shared" si="98"/>
        <v>3861478</v>
      </c>
      <c r="AO43" s="65">
        <f t="shared" si="99"/>
        <v>2110111</v>
      </c>
      <c r="AP43" s="55">
        <f>VLOOKUP(A43,'Profit Loss-Amravati-25-26'!$A$9:$R$192,17,0)</f>
        <v>6018309</v>
      </c>
      <c r="AQ43" s="55"/>
      <c r="AR43" s="55"/>
      <c r="AS43" s="56">
        <f t="shared" si="100"/>
        <v>6018309</v>
      </c>
      <c r="AT43" s="65">
        <f t="shared" si="101"/>
        <v>2156831</v>
      </c>
      <c r="AU43" s="55">
        <f>VLOOKUP(A43,'Profit Loss-Amravati-25-26'!$A$9:$T$192,19,0)</f>
        <v>6018905</v>
      </c>
      <c r="AV43" s="55"/>
      <c r="AW43" s="55"/>
      <c r="AX43" s="56">
        <f t="shared" si="102"/>
        <v>6018905</v>
      </c>
      <c r="AY43" s="65">
        <f t="shared" si="103"/>
        <v>596</v>
      </c>
      <c r="AZ43" s="55">
        <f>VLOOKUP(A43,'Profit Loss-Amravati-25-26'!$A$9:$V$192,21,0)</f>
        <v>6655556</v>
      </c>
      <c r="BA43" s="55"/>
      <c r="BB43" s="55"/>
      <c r="BC43" s="56">
        <f t="shared" si="104"/>
        <v>6655556</v>
      </c>
      <c r="BD43" s="65">
        <f t="shared" si="105"/>
        <v>636651</v>
      </c>
      <c r="BE43" s="90"/>
      <c r="BF43" s="90"/>
    </row>
    <row r="44" spans="1:58" s="15" customFormat="1" x14ac:dyDescent="0.3">
      <c r="A44" s="10" t="s">
        <v>181</v>
      </c>
      <c r="B44" s="11"/>
      <c r="C44" s="11">
        <f>VLOOKUP(A44,'Profit Loss-Amravati-25-26'!$A$13:$B$190,2,0)</f>
        <v>21100</v>
      </c>
      <c r="D44" s="57"/>
      <c r="E44" s="57"/>
      <c r="F44" s="65">
        <f>+B44+C44+D44</f>
        <v>21100</v>
      </c>
      <c r="G44" s="11">
        <f>VLOOKUP(A44,'Profit Loss-Amravati-25-26'!$A$9:$D$190,3,0)</f>
        <v>75856</v>
      </c>
      <c r="H44" s="57"/>
      <c r="I44" s="57"/>
      <c r="J44" s="56">
        <f t="shared" si="86"/>
        <v>75856</v>
      </c>
      <c r="K44" s="65">
        <f t="shared" si="87"/>
        <v>54756</v>
      </c>
      <c r="L44" s="55">
        <f>VLOOKUP(A44,'Profit Loss-Amravati-25-26'!$A$9:$F$190,5,0)</f>
        <v>122094</v>
      </c>
      <c r="M44" s="55"/>
      <c r="N44" s="55"/>
      <c r="O44" s="56">
        <f t="shared" si="88"/>
        <v>122094</v>
      </c>
      <c r="P44" s="65">
        <f t="shared" si="89"/>
        <v>46238</v>
      </c>
      <c r="Q44" s="55">
        <f>VLOOKUP(A44,'Profit Loss-Amravati-25-26'!$A$9:$H$190,7,0)</f>
        <v>155784</v>
      </c>
      <c r="R44" s="55"/>
      <c r="S44" s="55"/>
      <c r="T44" s="56">
        <f t="shared" si="90"/>
        <v>155784</v>
      </c>
      <c r="U44" s="65">
        <f t="shared" si="91"/>
        <v>33690</v>
      </c>
      <c r="V44" s="55">
        <f>VLOOKUP(A44,'Profit Loss-Amravati-25-26'!$A$9:$J$190,9,0)</f>
        <v>510434</v>
      </c>
      <c r="W44" s="55"/>
      <c r="X44" s="55"/>
      <c r="Y44" s="56">
        <f t="shared" si="92"/>
        <v>510434</v>
      </c>
      <c r="Z44" s="65">
        <f t="shared" si="93"/>
        <v>354650</v>
      </c>
      <c r="AA44" s="55">
        <f>VLOOKUP(A44,'Profit Loss-Amravati-25-26'!$A$9:$L$192,11,0)</f>
        <v>533514</v>
      </c>
      <c r="AB44" s="55"/>
      <c r="AC44" s="55"/>
      <c r="AD44" s="56">
        <f t="shared" si="94"/>
        <v>533514</v>
      </c>
      <c r="AE44" s="65">
        <f t="shared" si="95"/>
        <v>23080</v>
      </c>
      <c r="AF44" s="55">
        <f>VLOOKUP(A44,'Profit Loss-Amravati-25-26'!$A$9:$N$192,13,0)</f>
        <v>533514</v>
      </c>
      <c r="AG44" s="55"/>
      <c r="AH44" s="55"/>
      <c r="AI44" s="56">
        <f t="shared" si="96"/>
        <v>533514</v>
      </c>
      <c r="AJ44" s="65">
        <f t="shared" si="97"/>
        <v>0</v>
      </c>
      <c r="AK44" s="55">
        <f>VLOOKUP(A44,'Profit Loss-Amravati-25-26'!$A$9:$P$192,15,0)</f>
        <v>575364</v>
      </c>
      <c r="AL44" s="55"/>
      <c r="AM44" s="55"/>
      <c r="AN44" s="56">
        <f t="shared" si="98"/>
        <v>575364</v>
      </c>
      <c r="AO44" s="65">
        <f t="shared" si="99"/>
        <v>41850</v>
      </c>
      <c r="AP44" s="55">
        <f>VLOOKUP(A44,'Profit Loss-Amravati-25-26'!$A$9:$R$192,17,0)</f>
        <v>627514</v>
      </c>
      <c r="AQ44" s="55"/>
      <c r="AR44" s="55"/>
      <c r="AS44" s="56">
        <f t="shared" si="100"/>
        <v>627514</v>
      </c>
      <c r="AT44" s="65">
        <f t="shared" si="101"/>
        <v>52150</v>
      </c>
      <c r="AU44" s="55">
        <f>VLOOKUP(A44,'Profit Loss-Amravati-25-26'!$A$9:$T$192,19,0)</f>
        <v>644564</v>
      </c>
      <c r="AV44" s="55"/>
      <c r="AW44" s="55"/>
      <c r="AX44" s="56">
        <f t="shared" si="102"/>
        <v>644564</v>
      </c>
      <c r="AY44" s="65">
        <f t="shared" si="103"/>
        <v>17050</v>
      </c>
      <c r="AZ44" s="55">
        <f>VLOOKUP(A44,'Profit Loss-Amravati-25-26'!$A$9:$V$192,21,0)</f>
        <v>682214</v>
      </c>
      <c r="BA44" s="55"/>
      <c r="BB44" s="55"/>
      <c r="BC44" s="56">
        <f t="shared" si="104"/>
        <v>682214</v>
      </c>
      <c r="BD44" s="65">
        <f t="shared" si="105"/>
        <v>37650</v>
      </c>
      <c r="BE44" s="55"/>
      <c r="BF44" s="55"/>
    </row>
    <row r="45" spans="1:58" s="15" customFormat="1" x14ac:dyDescent="0.3">
      <c r="A45" t="s">
        <v>182</v>
      </c>
      <c r="B45" s="11"/>
      <c r="C45" s="11">
        <f>VLOOKUP(A45,'Profit Loss-Amravati-25-26'!$A$13:$B$190,2,0)</f>
        <v>235670</v>
      </c>
      <c r="D45" s="57"/>
      <c r="E45" s="57"/>
      <c r="F45" s="65">
        <f>+B45+C45+D45</f>
        <v>235670</v>
      </c>
      <c r="G45" s="11">
        <f>VLOOKUP(A45,'Profit Loss-Amravati-25-26'!$A$9:$D$190,3,0)</f>
        <v>864560</v>
      </c>
      <c r="H45" s="57"/>
      <c r="I45" s="57"/>
      <c r="J45" s="56">
        <f t="shared" si="86"/>
        <v>864560</v>
      </c>
      <c r="K45" s="65">
        <f t="shared" si="87"/>
        <v>628890</v>
      </c>
      <c r="L45" s="55">
        <f>VLOOKUP(A45,'Profit Loss-Amravati-25-26'!$A$9:$F$190,5,0)</f>
        <v>1524524</v>
      </c>
      <c r="M45" s="55"/>
      <c r="N45" s="55"/>
      <c r="O45" s="56">
        <f t="shared" si="88"/>
        <v>1524524</v>
      </c>
      <c r="P45" s="65">
        <f t="shared" si="89"/>
        <v>659964</v>
      </c>
      <c r="Q45" s="55">
        <f>VLOOKUP(A45,'Profit Loss-Amravati-25-26'!$A$9:$H$190,7,0)</f>
        <v>2117005</v>
      </c>
      <c r="R45" s="55"/>
      <c r="S45" s="55"/>
      <c r="T45" s="56">
        <f t="shared" si="90"/>
        <v>2117005</v>
      </c>
      <c r="U45" s="65">
        <f t="shared" si="91"/>
        <v>592481</v>
      </c>
      <c r="V45" s="55">
        <f>VLOOKUP(A45,'Profit Loss-Amravati-25-26'!$A$9:$J$190,9,0)</f>
        <v>2839665</v>
      </c>
      <c r="W45" s="55"/>
      <c r="X45" s="55"/>
      <c r="Y45" s="56">
        <f t="shared" si="92"/>
        <v>2839665</v>
      </c>
      <c r="Z45" s="65">
        <f t="shared" si="93"/>
        <v>722660</v>
      </c>
      <c r="AA45" s="55">
        <f>VLOOKUP(A45,'Profit Loss-Amravati-25-26'!$A$9:$L$192,11,0)</f>
        <v>3196865</v>
      </c>
      <c r="AB45" s="55"/>
      <c r="AC45" s="55"/>
      <c r="AD45" s="56">
        <f t="shared" si="94"/>
        <v>3196865</v>
      </c>
      <c r="AE45" s="65">
        <f t="shared" si="95"/>
        <v>357200</v>
      </c>
      <c r="AF45" s="55">
        <f>VLOOKUP(A45,'Profit Loss-Amravati-25-26'!$A$9:$N$192,13,0)</f>
        <v>3839855</v>
      </c>
      <c r="AG45" s="55"/>
      <c r="AH45" s="55"/>
      <c r="AI45" s="56">
        <f t="shared" si="96"/>
        <v>3839855</v>
      </c>
      <c r="AJ45" s="65">
        <f t="shared" si="97"/>
        <v>642990</v>
      </c>
      <c r="AK45" s="55">
        <f>VLOOKUP(A45,'Profit Loss-Amravati-25-26'!$A$9:$P$192,15,0)</f>
        <v>4155695</v>
      </c>
      <c r="AL45" s="55"/>
      <c r="AM45" s="55"/>
      <c r="AN45" s="56">
        <f t="shared" si="98"/>
        <v>4155695</v>
      </c>
      <c r="AO45" s="65">
        <f t="shared" si="99"/>
        <v>315840</v>
      </c>
      <c r="AP45" s="55">
        <f>VLOOKUP(A45,'Profit Loss-Amravati-25-26'!$A$9:$R$192,17,0)</f>
        <v>5026115</v>
      </c>
      <c r="AQ45" s="55"/>
      <c r="AR45" s="55"/>
      <c r="AS45" s="56">
        <f t="shared" si="100"/>
        <v>5026115</v>
      </c>
      <c r="AT45" s="65">
        <f t="shared" si="101"/>
        <v>870420</v>
      </c>
      <c r="AU45" s="55">
        <f>VLOOKUP(A45,'Profit Loss-Amravati-25-26'!$A$9:$T$192,19,0)</f>
        <v>5800745</v>
      </c>
      <c r="AV45" s="55"/>
      <c r="AW45" s="55"/>
      <c r="AX45" s="56">
        <f t="shared" si="102"/>
        <v>5800745</v>
      </c>
      <c r="AY45" s="65">
        <f t="shared" si="103"/>
        <v>774630</v>
      </c>
      <c r="AZ45" s="55">
        <f>VLOOKUP(A45,'Profit Loss-Amravati-25-26'!$A$9:$V$192,21,0)</f>
        <v>6318995</v>
      </c>
      <c r="BA45" s="55"/>
      <c r="BB45" s="55"/>
      <c r="BC45" s="56">
        <f t="shared" si="104"/>
        <v>6318995</v>
      </c>
      <c r="BD45" s="65">
        <f t="shared" si="105"/>
        <v>518250</v>
      </c>
      <c r="BE45" s="55"/>
      <c r="BF45" s="55"/>
    </row>
    <row r="46" spans="1:58" x14ac:dyDescent="0.3">
      <c r="A46" s="13" t="s">
        <v>31</v>
      </c>
      <c r="B46" s="14">
        <f>SUM(B40:B45)</f>
        <v>0</v>
      </c>
      <c r="C46" s="14">
        <f>SUM(C40:C45)</f>
        <v>256770</v>
      </c>
      <c r="D46" s="58">
        <f>SUM(D40:D45)</f>
        <v>0</v>
      </c>
      <c r="E46" s="58"/>
      <c r="F46" s="58">
        <f>SUM(F40:F45)</f>
        <v>256770</v>
      </c>
      <c r="G46" s="14">
        <f>SUM(G40:G45)</f>
        <v>2318286</v>
      </c>
      <c r="H46" s="58">
        <f>SUM(H40:H45)</f>
        <v>0</v>
      </c>
      <c r="I46" s="58"/>
      <c r="J46" s="14">
        <f>SUM(J40:J45)</f>
        <v>2318286</v>
      </c>
      <c r="K46" s="14">
        <f>SUM(K40:K45)</f>
        <v>2061516</v>
      </c>
      <c r="L46" s="14">
        <f>SUM(L40:L45)</f>
        <v>3024488</v>
      </c>
      <c r="M46" s="14">
        <f>SUM(M40:M45)</f>
        <v>0</v>
      </c>
      <c r="N46" s="14"/>
      <c r="O46" s="14">
        <f>SUM(O40:O45)</f>
        <v>3024488</v>
      </c>
      <c r="P46" s="14">
        <f>SUM(P40:P45)</f>
        <v>706202</v>
      </c>
      <c r="Q46" s="14">
        <f>SUM(Q40:Q45)</f>
        <v>4456337</v>
      </c>
      <c r="R46" s="14">
        <f>SUM(R40:R45)</f>
        <v>0</v>
      </c>
      <c r="S46" s="14"/>
      <c r="T46" s="14">
        <f>SUM(T40:T45)</f>
        <v>4456337</v>
      </c>
      <c r="U46" s="14">
        <f>SUM(U40:U45)</f>
        <v>1431849</v>
      </c>
      <c r="V46" s="14">
        <f>SUM(V40:V45)</f>
        <v>6269026</v>
      </c>
      <c r="W46" s="14">
        <f>SUM(W40:W45)</f>
        <v>0</v>
      </c>
      <c r="X46" s="14"/>
      <c r="Y46" s="14">
        <f>SUM(Y40:Y45)</f>
        <v>6269026</v>
      </c>
      <c r="Z46" s="14">
        <f>SUM(Z40:Z45)</f>
        <v>1812689</v>
      </c>
      <c r="AA46" s="14">
        <f>SUM(AA40:AA45)</f>
        <v>6828888</v>
      </c>
      <c r="AB46" s="14">
        <f>SUM(AB40:AB45)</f>
        <v>0</v>
      </c>
      <c r="AC46" s="14"/>
      <c r="AD46" s="14">
        <f>SUM(AD40:AD45)</f>
        <v>6828888</v>
      </c>
      <c r="AE46" s="14">
        <f>SUM(AE40:AE45)</f>
        <v>559862</v>
      </c>
      <c r="AF46" s="14">
        <f>SUM(AF40:AF45)</f>
        <v>8818943</v>
      </c>
      <c r="AG46" s="14">
        <f>SUM(AG40:AG45)</f>
        <v>0</v>
      </c>
      <c r="AH46" s="14"/>
      <c r="AI46" s="14">
        <f>SUM(AI40:AI45)</f>
        <v>8818943</v>
      </c>
      <c r="AJ46" s="14">
        <f>SUM(AJ40:AJ45)</f>
        <v>1990055</v>
      </c>
      <c r="AK46" s="14">
        <f>SUM(AK40:AK45)</f>
        <v>14024131</v>
      </c>
      <c r="AL46" s="14">
        <f>SUM(AL40:AL45)</f>
        <v>0</v>
      </c>
      <c r="AM46" s="14"/>
      <c r="AN46" s="14">
        <f>SUM(AN40:AN45)</f>
        <v>14024131</v>
      </c>
      <c r="AO46" s="14">
        <f>SUM(AO40:AO45)</f>
        <v>5205188</v>
      </c>
      <c r="AP46" s="14">
        <f>SUM(AP40:AP45)</f>
        <v>19808133</v>
      </c>
      <c r="AQ46" s="14">
        <f>SUM(AQ40:AQ45)</f>
        <v>0</v>
      </c>
      <c r="AR46" s="14"/>
      <c r="AS46" s="14">
        <f>SUM(AS40:AS45)</f>
        <v>19808133</v>
      </c>
      <c r="AT46" s="14">
        <f>SUM(AT40:AT45)</f>
        <v>5784002</v>
      </c>
      <c r="AU46" s="14">
        <f>SUM(AU40:AU45)</f>
        <v>20601422</v>
      </c>
      <c r="AV46" s="14">
        <f>SUM(AV40:AV45)</f>
        <v>0</v>
      </c>
      <c r="AW46" s="14"/>
      <c r="AX46" s="14">
        <f>SUM(AX40:AX45)</f>
        <v>20601422</v>
      </c>
      <c r="AY46" s="14">
        <f>SUM(AY40:AY45)</f>
        <v>793289</v>
      </c>
      <c r="AZ46" s="14">
        <f>SUM(AZ40:AZ45)</f>
        <v>22635306</v>
      </c>
      <c r="BA46" s="14">
        <f>SUM(BA40:BA45)</f>
        <v>0</v>
      </c>
      <c r="BB46" s="14"/>
      <c r="BC46" s="14">
        <f>SUM(BC40:BC45)</f>
        <v>22635306</v>
      </c>
      <c r="BD46" s="14">
        <f>SUM(BD40:BD45)</f>
        <v>2033884</v>
      </c>
      <c r="BE46" s="71">
        <f>+BC46-AX46-BD46</f>
        <v>0</v>
      </c>
      <c r="BF46" s="71"/>
    </row>
    <row r="47" spans="1:58" x14ac:dyDescent="0.3">
      <c r="A47" s="17" t="s">
        <v>32</v>
      </c>
      <c r="B47" s="18">
        <f>B38+B46</f>
        <v>0</v>
      </c>
      <c r="C47" s="18">
        <f>C38+C46</f>
        <v>49619562.450000003</v>
      </c>
      <c r="D47" s="60">
        <f>D38+D46</f>
        <v>1501872</v>
      </c>
      <c r="E47" s="60"/>
      <c r="F47" s="60">
        <f t="shared" ref="F47:O47" si="106">F38+F46</f>
        <v>49619562.450000003</v>
      </c>
      <c r="G47" s="18">
        <f t="shared" si="106"/>
        <v>113792373.7</v>
      </c>
      <c r="H47" s="60">
        <f t="shared" si="106"/>
        <v>2501098</v>
      </c>
      <c r="I47" s="60">
        <f t="shared" si="106"/>
        <v>-2501098</v>
      </c>
      <c r="J47" s="18">
        <f t="shared" si="106"/>
        <v>113792373.7</v>
      </c>
      <c r="K47" s="18">
        <f t="shared" si="106"/>
        <v>64172811.25</v>
      </c>
      <c r="L47" s="18">
        <f t="shared" si="106"/>
        <v>170516732.26999998</v>
      </c>
      <c r="M47" s="18">
        <f t="shared" si="106"/>
        <v>5273679</v>
      </c>
      <c r="N47" s="18"/>
      <c r="O47" s="18">
        <f t="shared" si="106"/>
        <v>170504232.26999998</v>
      </c>
      <c r="P47" s="18">
        <f t="shared" ref="P47:R47" si="107">P38+P46</f>
        <v>56711858.569999993</v>
      </c>
      <c r="Q47" s="18">
        <f t="shared" si="107"/>
        <v>260930716.59</v>
      </c>
      <c r="R47" s="18">
        <f t="shared" si="107"/>
        <v>9014083.0099999998</v>
      </c>
      <c r="S47" s="18"/>
      <c r="T47" s="18">
        <f t="shared" ref="T47:W47" si="108">T38+T46</f>
        <v>260565889.59</v>
      </c>
      <c r="U47" s="18">
        <f t="shared" si="108"/>
        <v>90061657.320000008</v>
      </c>
      <c r="V47" s="18">
        <f t="shared" si="108"/>
        <v>324139165.63</v>
      </c>
      <c r="W47" s="18">
        <f t="shared" si="108"/>
        <v>12181032.01</v>
      </c>
      <c r="X47" s="18"/>
      <c r="Y47" s="18">
        <f t="shared" ref="Y47:AB47" si="109">Y38+Y46</f>
        <v>314259302.63</v>
      </c>
      <c r="Z47" s="18">
        <f t="shared" si="109"/>
        <v>53693413.040000014</v>
      </c>
      <c r="AA47" s="18">
        <f t="shared" si="109"/>
        <v>401236284.92999995</v>
      </c>
      <c r="AB47" s="18">
        <f t="shared" si="109"/>
        <v>15370414.01</v>
      </c>
      <c r="AC47" s="18"/>
      <c r="AD47" s="18">
        <f t="shared" ref="AD47:AG47" si="110">AD38+AD46</f>
        <v>401223784.92999995</v>
      </c>
      <c r="AE47" s="18">
        <f t="shared" si="110"/>
        <v>86964482.299999952</v>
      </c>
      <c r="AF47" s="18">
        <f t="shared" si="110"/>
        <v>460365627.25</v>
      </c>
      <c r="AG47" s="18">
        <f t="shared" si="110"/>
        <v>16405208.01</v>
      </c>
      <c r="AH47" s="18"/>
      <c r="AI47" s="18">
        <f t="shared" ref="AI47:AM47" si="111">AI38+AI46</f>
        <v>460335127.25</v>
      </c>
      <c r="AJ47" s="18">
        <f t="shared" si="111"/>
        <v>59111342.320000038</v>
      </c>
      <c r="AK47" s="18">
        <f t="shared" si="111"/>
        <v>594714926.05920005</v>
      </c>
      <c r="AL47" s="18">
        <f t="shared" si="111"/>
        <v>18506080.02</v>
      </c>
      <c r="AM47" s="18">
        <f t="shared" si="111"/>
        <v>18524580.02</v>
      </c>
      <c r="AN47" s="18">
        <f t="shared" ref="AN47:AR47" si="112">AN38+AN46</f>
        <v>594696426.05920005</v>
      </c>
      <c r="AO47" s="18">
        <f t="shared" si="112"/>
        <v>134361298.80919999</v>
      </c>
      <c r="AP47" s="18">
        <f t="shared" si="112"/>
        <v>766256183.25999987</v>
      </c>
      <c r="AQ47" s="18">
        <f t="shared" si="112"/>
        <v>21694331.010000002</v>
      </c>
      <c r="AR47" s="18">
        <f t="shared" si="112"/>
        <v>21712831.010000002</v>
      </c>
      <c r="AS47" s="18">
        <f t="shared" ref="AS47:AW47" si="113">AS38+AS46</f>
        <v>766237683.25999987</v>
      </c>
      <c r="AT47" s="18">
        <f t="shared" si="113"/>
        <v>171541257.20079997</v>
      </c>
      <c r="AU47" s="18">
        <f t="shared" si="113"/>
        <v>841586255.21000004</v>
      </c>
      <c r="AV47" s="18">
        <f t="shared" si="113"/>
        <v>24981888.010000002</v>
      </c>
      <c r="AW47" s="18">
        <f t="shared" si="113"/>
        <v>25000388.010000002</v>
      </c>
      <c r="AX47" s="18">
        <f t="shared" ref="AX47:BB47" si="114">AX38+AX46</f>
        <v>841567755.21000004</v>
      </c>
      <c r="AY47" s="18">
        <f t="shared" si="114"/>
        <v>75330071.950000077</v>
      </c>
      <c r="AZ47" s="18">
        <f t="shared" si="114"/>
        <v>931574408.05999994</v>
      </c>
      <c r="BA47" s="18">
        <f t="shared" si="114"/>
        <v>27015565.010000002</v>
      </c>
      <c r="BB47" s="18">
        <f t="shared" si="114"/>
        <v>27034065.010000002</v>
      </c>
      <c r="BC47" s="18">
        <f t="shared" ref="BC47:BD47" si="115">BC38+BC46</f>
        <v>931555908.05999994</v>
      </c>
      <c r="BD47" s="18">
        <f t="shared" si="115"/>
        <v>89988152.849999934</v>
      </c>
      <c r="BE47" s="71">
        <f>+BC47-AX47-BD47</f>
        <v>0</v>
      </c>
      <c r="BF47" s="71"/>
    </row>
    <row r="48" spans="1:58" x14ac:dyDescent="0.3">
      <c r="A48" s="8"/>
      <c r="B48" s="16"/>
      <c r="C48" s="16"/>
      <c r="D48" s="59"/>
      <c r="E48" s="59"/>
      <c r="F48" s="10"/>
      <c r="G48" s="16"/>
      <c r="H48" s="59"/>
      <c r="I48" s="59"/>
      <c r="J48" s="59"/>
      <c r="K48" s="10"/>
      <c r="L48" s="55"/>
      <c r="M48" s="55"/>
      <c r="N48" s="55"/>
      <c r="O48" s="59"/>
      <c r="P48" s="10"/>
      <c r="Q48" s="55"/>
      <c r="R48" s="55"/>
      <c r="S48" s="55"/>
      <c r="T48" s="59"/>
      <c r="U48" s="10"/>
      <c r="V48" s="55"/>
      <c r="W48" s="55"/>
      <c r="X48" s="55"/>
      <c r="Y48" s="59"/>
      <c r="Z48" s="10"/>
      <c r="AA48" s="55"/>
      <c r="AB48" s="55"/>
      <c r="AC48" s="55"/>
      <c r="AD48" s="59"/>
      <c r="AE48" s="10"/>
      <c r="AF48" s="55"/>
      <c r="AG48" s="55"/>
      <c r="AH48" s="55"/>
      <c r="AI48" s="59"/>
      <c r="AJ48" s="10"/>
      <c r="AK48" s="55"/>
      <c r="AL48" s="55"/>
      <c r="AM48" s="55"/>
      <c r="AN48" s="59"/>
      <c r="AO48" s="10"/>
      <c r="AP48" s="55"/>
      <c r="AQ48" s="55"/>
      <c r="AR48" s="55"/>
      <c r="AS48" s="59"/>
      <c r="AT48" s="10"/>
      <c r="AU48" s="55"/>
      <c r="AV48" s="55"/>
      <c r="AW48" s="55"/>
      <c r="AX48" s="59"/>
      <c r="AY48" s="10"/>
      <c r="AZ48" s="55"/>
      <c r="BA48" s="55"/>
      <c r="BB48" s="55"/>
      <c r="BC48" s="59"/>
      <c r="BD48" s="10"/>
    </row>
    <row r="49" spans="1:58" x14ac:dyDescent="0.3">
      <c r="A49" s="8" t="s">
        <v>33</v>
      </c>
      <c r="B49" s="16"/>
      <c r="C49" s="16"/>
      <c r="D49" s="59"/>
      <c r="E49" s="59"/>
      <c r="F49" s="10"/>
      <c r="G49" s="16"/>
      <c r="H49" s="59"/>
      <c r="I49" s="59"/>
      <c r="J49" s="59"/>
      <c r="K49" s="10"/>
      <c r="L49" s="55">
        <f>VLOOKUP(A49,'Profit Loss-Amravati-25-26'!$A$9:$F$190,5,0)</f>
        <v>0</v>
      </c>
      <c r="M49" s="55">
        <f>VLOOKUP(A49,'Profit Loss-Betul-25-26'!$A$9:$F$141,5,0)</f>
        <v>0</v>
      </c>
      <c r="N49" s="55"/>
      <c r="O49" s="59"/>
      <c r="P49" s="10"/>
      <c r="Q49" s="55"/>
      <c r="R49" s="55"/>
      <c r="S49" s="55"/>
      <c r="T49" s="59"/>
      <c r="U49" s="10"/>
      <c r="V49" s="55"/>
      <c r="W49" s="55"/>
      <c r="X49" s="55"/>
      <c r="Y49" s="59"/>
      <c r="Z49" s="10"/>
      <c r="AA49" s="55"/>
      <c r="AB49" s="55"/>
      <c r="AC49" s="55"/>
      <c r="AD49" s="59"/>
      <c r="AE49" s="10"/>
      <c r="AF49" s="55"/>
      <c r="AG49" s="55"/>
      <c r="AH49" s="55"/>
      <c r="AI49" s="59"/>
      <c r="AJ49" s="10"/>
      <c r="AK49" s="55"/>
      <c r="AL49" s="55"/>
      <c r="AM49" s="55"/>
      <c r="AN49" s="59"/>
      <c r="AO49" s="10"/>
      <c r="AP49" s="55"/>
      <c r="AQ49" s="55"/>
      <c r="AR49" s="55"/>
      <c r="AS49" s="59"/>
      <c r="AT49" s="10"/>
      <c r="AU49" s="55"/>
      <c r="AV49" s="55"/>
      <c r="AW49" s="55"/>
      <c r="AX49" s="59"/>
      <c r="AY49" s="10"/>
      <c r="AZ49" s="55"/>
      <c r="BA49" s="55"/>
      <c r="BB49" s="55"/>
      <c r="BC49" s="59"/>
      <c r="BD49" s="10"/>
    </row>
    <row r="50" spans="1:58" x14ac:dyDescent="0.3">
      <c r="A50" s="13" t="s">
        <v>34</v>
      </c>
      <c r="B50" s="14"/>
      <c r="C50" s="14"/>
      <c r="D50" s="58"/>
      <c r="E50" s="58"/>
      <c r="F50" s="58"/>
      <c r="G50" s="14"/>
      <c r="H50" s="58"/>
      <c r="I50" s="58"/>
      <c r="J50" s="58"/>
      <c r="K50" s="58"/>
      <c r="L50" s="87">
        <f>VLOOKUP(A50,'Profit Loss-Amravati-25-26'!$A$9:$F$190,5,0)</f>
        <v>0</v>
      </c>
      <c r="M50" s="87">
        <f>VLOOKUP(A50,'Profit Loss-Betul-25-26'!$A$9:$F$141,5,0)</f>
        <v>0</v>
      </c>
      <c r="N50" s="87"/>
      <c r="O50" s="58"/>
      <c r="P50" s="58"/>
      <c r="Q50" s="87"/>
      <c r="R50" s="87"/>
      <c r="S50" s="87"/>
      <c r="T50" s="58"/>
      <c r="U50" s="58"/>
      <c r="V50" s="87"/>
      <c r="W50" s="87"/>
      <c r="X50" s="87"/>
      <c r="Y50" s="58"/>
      <c r="Z50" s="58"/>
      <c r="AA50" s="87"/>
      <c r="AB50" s="87"/>
      <c r="AC50" s="87"/>
      <c r="AD50" s="58"/>
      <c r="AE50" s="58"/>
      <c r="AF50" s="87"/>
      <c r="AG50" s="87"/>
      <c r="AH50" s="87"/>
      <c r="AI50" s="58"/>
      <c r="AJ50" s="58"/>
      <c r="AK50" s="87"/>
      <c r="AL50" s="87"/>
      <c r="AM50" s="87"/>
      <c r="AN50" s="58"/>
      <c r="AO50" s="58"/>
      <c r="AP50" s="87"/>
      <c r="AQ50" s="87"/>
      <c r="AR50" s="87"/>
      <c r="AS50" s="58"/>
      <c r="AT50" s="58"/>
      <c r="AU50" s="87"/>
      <c r="AV50" s="87"/>
      <c r="AW50" s="87"/>
      <c r="AX50" s="58"/>
      <c r="AY50" s="58"/>
      <c r="AZ50" s="87"/>
      <c r="BA50" s="87"/>
      <c r="BB50" s="87"/>
      <c r="BC50" s="58"/>
      <c r="BD50" s="58"/>
      <c r="BE50" s="71"/>
      <c r="BF50" s="71"/>
    </row>
    <row r="51" spans="1:58" x14ac:dyDescent="0.3">
      <c r="A51" s="10" t="s">
        <v>35</v>
      </c>
      <c r="B51" s="11"/>
      <c r="C51" s="11">
        <f>VLOOKUP(A51,'Profit Loss-Amravati-25-26'!$A$13:$B$190,2,0)</f>
        <v>161491723</v>
      </c>
      <c r="D51" s="57"/>
      <c r="E51" s="57"/>
      <c r="F51" s="65">
        <f>+B51+C51+D51</f>
        <v>161491723</v>
      </c>
      <c r="G51" s="11">
        <f>VLOOKUP(A51,'Profit Loss-Amravati-25-26'!$A$9:$D$190,3,0)</f>
        <v>161491723</v>
      </c>
      <c r="H51" s="57"/>
      <c r="I51" s="57"/>
      <c r="J51" s="56">
        <f t="shared" ref="J51" si="116">SUM(G51:I51)</f>
        <v>161491723</v>
      </c>
      <c r="K51" s="65">
        <f t="shared" ref="K51:K71" si="117">+H51+G51-F51</f>
        <v>0</v>
      </c>
      <c r="L51" s="55">
        <f>VLOOKUP(A51,'Profit Loss-Amravati-25-26'!$A$9:$F$190,5,0)</f>
        <v>161491723</v>
      </c>
      <c r="M51" s="55">
        <f>VLOOKUP(A51,'Profit Loss-Betul-25-26'!$A$9:$F$141,5,0)</f>
        <v>0</v>
      </c>
      <c r="N51" s="55"/>
      <c r="O51" s="56">
        <f>SUM(L51:M51)</f>
        <v>161491723</v>
      </c>
      <c r="P51" s="65">
        <f t="shared" ref="P51:P71" si="118">+O51-J51</f>
        <v>0</v>
      </c>
      <c r="Q51" s="55">
        <f>VLOOKUP(A51,'Profit Loss-Amravati-25-26'!$A$9:$H$190,7,0)</f>
        <v>161491723</v>
      </c>
      <c r="R51" s="55"/>
      <c r="S51" s="55"/>
      <c r="T51" s="56">
        <f>SUM(Q51:R51)</f>
        <v>161491723</v>
      </c>
      <c r="U51" s="65">
        <f>+T51-O51</f>
        <v>0</v>
      </c>
      <c r="V51" s="55">
        <f>VLOOKUP(A51,'Profit Loss-Amravati-25-26'!$A$9:$J$190,9,0)</f>
        <v>161491723</v>
      </c>
      <c r="W51" s="55">
        <f>VLOOKUP(A51,'Profit Loss-Betul-25-26'!$A$9:$J$141,9,0)</f>
        <v>0</v>
      </c>
      <c r="X51" s="55"/>
      <c r="Y51" s="56">
        <f>SUM(V51:W51)</f>
        <v>161491723</v>
      </c>
      <c r="Z51" s="65">
        <f>+Y51-T51</f>
        <v>0</v>
      </c>
      <c r="AA51" s="55">
        <f>VLOOKUP(A51,'Profit Loss-Amravati-25-26'!$A$9:$L$192,11,0)</f>
        <v>161491723</v>
      </c>
      <c r="AB51" s="55"/>
      <c r="AC51" s="55"/>
      <c r="AD51" s="56">
        <f>+AA51+AB51</f>
        <v>161491723</v>
      </c>
      <c r="AE51" s="65">
        <f t="shared" ref="AE51:AE71" si="119">+AD51-Y51</f>
        <v>0</v>
      </c>
      <c r="AF51" s="55">
        <f>VLOOKUP(A51,'Profit Loss-Amravati-25-26'!$A$9:$N$192,13,0)</f>
        <v>161491723</v>
      </c>
      <c r="AG51" s="55">
        <f>VLOOKUP(A51,'Profit Loss-Betul-25-26'!$A$9:$N$141,13,0)</f>
        <v>0</v>
      </c>
      <c r="AH51" s="55"/>
      <c r="AI51" s="56">
        <f>+AF51+AG51</f>
        <v>161491723</v>
      </c>
      <c r="AJ51" s="65">
        <f t="shared" ref="AJ51:AJ71" si="120">+AI51-AD51</f>
        <v>0</v>
      </c>
      <c r="AK51" s="55">
        <f>VLOOKUP(A51,'Profit Loss-Amravati-25-26'!$A$9:$P$192,15,0)</f>
        <v>161491723</v>
      </c>
      <c r="AL51" s="55">
        <f>VLOOKUP(A51,'Profit Loss-Betul-25-26'!$A$9:$P$141,15,0)</f>
        <v>0</v>
      </c>
      <c r="AM51" s="55"/>
      <c r="AN51" s="56">
        <f>+AK51+AL51</f>
        <v>161491723</v>
      </c>
      <c r="AO51" s="65">
        <f t="shared" ref="AO51:AO71" si="121">+AN51-AI51</f>
        <v>0</v>
      </c>
      <c r="AP51" s="55">
        <f>VLOOKUP(A51,'Profit Loss-Amravati-25-26'!$A$9:$R$192,17,0)</f>
        <v>161491723</v>
      </c>
      <c r="AQ51" s="55">
        <f>VLOOKUP(A51,'Profit Loss-Betul-25-26'!$A$9:$R$141,17,0)</f>
        <v>0</v>
      </c>
      <c r="AR51" s="55"/>
      <c r="AS51" s="56">
        <f>+AP51+AQ51</f>
        <v>161491723</v>
      </c>
      <c r="AT51" s="65">
        <f t="shared" ref="AT51:AT71" si="122">+AS51-AN51</f>
        <v>0</v>
      </c>
      <c r="AU51" s="98">
        <f>VLOOKUP(A51,'Profit Loss-Amravati-25-26'!$A$9:$T$192,19,0)</f>
        <v>161491723</v>
      </c>
      <c r="AV51" s="55">
        <f>VLOOKUP(A51,'Profit Loss-Betul-25-26'!$A$9:$T$141,19,0)</f>
        <v>0</v>
      </c>
      <c r="AW51" s="55"/>
      <c r="AX51" s="56">
        <f>+AU51+AV51</f>
        <v>161491723</v>
      </c>
      <c r="AY51" s="65">
        <f t="shared" ref="AY51:AY62" si="123">+AX51-AS51</f>
        <v>0</v>
      </c>
      <c r="AZ51" s="55">
        <f>VLOOKUP(A51,'Profit Loss-Amravati-25-26'!$A$9:$V$192,21,0)</f>
        <v>161491723</v>
      </c>
      <c r="BA51" s="55">
        <f>VLOOKUP(A51,'Profit Loss-Betul-25-26'!$A$9:$V$141,21,0)</f>
        <v>0</v>
      </c>
      <c r="BB51" s="55"/>
      <c r="BC51" s="56">
        <f>+AZ51+BA51</f>
        <v>161491723</v>
      </c>
      <c r="BD51" s="65">
        <f t="shared" ref="BD51:BD62" si="124">+BC51-AX51</f>
        <v>0</v>
      </c>
      <c r="BE51" s="55"/>
      <c r="BF51" s="55"/>
    </row>
    <row r="52" spans="1:58" x14ac:dyDescent="0.3">
      <c r="A52" t="s">
        <v>38</v>
      </c>
      <c r="B52" s="11">
        <f>VLOOKUP(A52,'Profit Loss-Textile'!$A$8:$B$135,2,0)</f>
        <v>0</v>
      </c>
      <c r="C52" s="11">
        <f>VLOOKUP(A52,'Profit Loss-Amravati-25-26'!$A$13:$B$190,2,0)</f>
        <v>0</v>
      </c>
      <c r="D52" s="57"/>
      <c r="E52" s="57"/>
      <c r="F52" s="65">
        <f>+B52+C52+D52</f>
        <v>0</v>
      </c>
      <c r="G52" s="11">
        <f>VLOOKUP(A52,'Profit Loss-Amravati-25-26'!$A$9:$D$190,3,0)</f>
        <v>4363200</v>
      </c>
      <c r="H52" s="57"/>
      <c r="I52" s="57"/>
      <c r="J52" s="56">
        <f t="shared" ref="J52:J71" si="125">SUM(G52:I52)</f>
        <v>4363200</v>
      </c>
      <c r="K52" s="65">
        <f t="shared" si="117"/>
        <v>4363200</v>
      </c>
      <c r="L52" s="55">
        <f>VLOOKUP(A52,'Profit Loss-Amravati-25-26'!$A$9:$F$190,5,0)</f>
        <v>15711171.23</v>
      </c>
      <c r="M52" s="55"/>
      <c r="N52" s="55"/>
      <c r="O52" s="56">
        <f t="shared" ref="O52:O71" si="126">SUM(L52:M52)</f>
        <v>15711171.23</v>
      </c>
      <c r="P52" s="65">
        <f t="shared" si="118"/>
        <v>11347971.23</v>
      </c>
      <c r="Q52" s="55">
        <f>VLOOKUP(A52,'Profit Loss-Amravati-25-26'!$A$9:$H$190,7,0)</f>
        <v>16255569.41</v>
      </c>
      <c r="R52" s="55"/>
      <c r="S52" s="55"/>
      <c r="T52" s="56">
        <f t="shared" ref="T52" si="127">SUM(Q52:R52)</f>
        <v>16255569.41</v>
      </c>
      <c r="U52" s="65">
        <f t="shared" ref="U52:U71" si="128">+T52-O52</f>
        <v>544398.1799999997</v>
      </c>
      <c r="V52" s="55">
        <f>VLOOKUP(A52,'Profit Loss-Amravati-25-26'!$A$9:$J$190,9,0)</f>
        <v>16255569.41</v>
      </c>
      <c r="W52" s="55"/>
      <c r="X52" s="55"/>
      <c r="Y52" s="56">
        <f t="shared" ref="Y52" si="129">SUM(V52:W52)</f>
        <v>16255569.41</v>
      </c>
      <c r="Z52" s="65">
        <f t="shared" ref="Z52:Z71" si="130">+Y52-T52</f>
        <v>0</v>
      </c>
      <c r="AA52" s="55">
        <f>VLOOKUP(A52,'Profit Loss-Amravati-25-26'!$A$9:$L$192,11,0)</f>
        <v>21505900.390000001</v>
      </c>
      <c r="AB52" s="55"/>
      <c r="AC52" s="55"/>
      <c r="AD52" s="56">
        <f t="shared" ref="AD52:AD71" si="131">+AA52+AB52</f>
        <v>21505900.390000001</v>
      </c>
      <c r="AE52" s="65">
        <f t="shared" si="119"/>
        <v>5250330.9800000004</v>
      </c>
      <c r="AF52" s="55">
        <f>VLOOKUP(A52,'Profit Loss-Amravati-25-26'!$A$9:$N$192,13,0)</f>
        <v>21505900.390000001</v>
      </c>
      <c r="AG52" s="55"/>
      <c r="AH52" s="55"/>
      <c r="AI52" s="56">
        <f t="shared" ref="AI52:AI71" si="132">+AF52+AG52-AH52</f>
        <v>21505900.390000001</v>
      </c>
      <c r="AJ52" s="65">
        <f t="shared" si="120"/>
        <v>0</v>
      </c>
      <c r="AK52" s="55">
        <f>VLOOKUP(A52,'Profit Loss-Amravati-25-26'!$A$9:$P$192,15,0)</f>
        <v>21505900.390000001</v>
      </c>
      <c r="AL52" s="55"/>
      <c r="AM52" s="55"/>
      <c r="AN52" s="56">
        <f t="shared" ref="AN52" si="133">+AK52+AL52-AM52</f>
        <v>21505900.390000001</v>
      </c>
      <c r="AO52" s="65">
        <f t="shared" si="121"/>
        <v>0</v>
      </c>
      <c r="AP52" s="55">
        <f>VLOOKUP(A52,'Profit Loss-Amravati-25-26'!$A$9:$R$192,17,0)</f>
        <v>21505900.390000001</v>
      </c>
      <c r="AQ52" s="55"/>
      <c r="AR52" s="55"/>
      <c r="AS52" s="56">
        <f t="shared" ref="AS52" si="134">+AP52+AQ52-AR52</f>
        <v>21505900.390000001</v>
      </c>
      <c r="AT52" s="65">
        <f t="shared" si="122"/>
        <v>0</v>
      </c>
      <c r="AU52" s="112">
        <f>VLOOKUP(A52,'Profit Loss-Amravati-25-26'!$A$9:$T$192,19,0)</f>
        <v>21505900.390000001</v>
      </c>
      <c r="AV52" s="55"/>
      <c r="AW52" s="55"/>
      <c r="AX52" s="56">
        <f t="shared" ref="AX52" si="135">+AU52+AV52-AW52</f>
        <v>21505900.390000001</v>
      </c>
      <c r="AY52" s="65">
        <f t="shared" si="123"/>
        <v>0</v>
      </c>
      <c r="AZ52" s="55">
        <f>VLOOKUP(A52,'Profit Loss-Amravati-25-26'!$A$9:$V$192,21,0)</f>
        <v>21505900.390000001</v>
      </c>
      <c r="BA52" s="55"/>
      <c r="BB52" s="55"/>
      <c r="BC52" s="56">
        <f t="shared" ref="BC52" si="136">+AZ52+BA52-BB52</f>
        <v>21505900.390000001</v>
      </c>
      <c r="BD52" s="65">
        <f t="shared" si="124"/>
        <v>0</v>
      </c>
      <c r="BE52" s="55"/>
      <c r="BF52" s="55"/>
    </row>
    <row r="53" spans="1:58" hidden="1" x14ac:dyDescent="0.3">
      <c r="A53" s="10" t="s">
        <v>195</v>
      </c>
      <c r="B53" s="11"/>
      <c r="C53" s="11">
        <v>1501872</v>
      </c>
      <c r="D53" s="57"/>
      <c r="E53" s="57">
        <v>1501872</v>
      </c>
      <c r="F53" s="65">
        <f>+C53+D53-E53</f>
        <v>0</v>
      </c>
      <c r="G53" s="11">
        <f>VLOOKUP(A53,'Profit Loss-Amravati-25-26'!$A$9:$D$190,3,0)</f>
        <v>2501098</v>
      </c>
      <c r="H53" s="57"/>
      <c r="I53" s="57">
        <f>-G53</f>
        <v>-2501098</v>
      </c>
      <c r="J53" s="56">
        <f t="shared" si="125"/>
        <v>0</v>
      </c>
      <c r="K53" s="65">
        <f>+H53+G53-F53+I53</f>
        <v>0</v>
      </c>
      <c r="L53" s="55">
        <f>VLOOKUP(A53,'Profit Loss-Amravati-25-26'!$A$9:$F$190,5,0)</f>
        <v>5286179</v>
      </c>
      <c r="M53" s="55"/>
      <c r="N53" s="55">
        <f>-L53</f>
        <v>-5286179</v>
      </c>
      <c r="O53" s="56">
        <f>SUM(L53:N53)</f>
        <v>0</v>
      </c>
      <c r="P53" s="65">
        <f t="shared" si="118"/>
        <v>0</v>
      </c>
      <c r="Q53" s="55">
        <f>VLOOKUP(A53,'Profit Loss-Amravati-25-26'!$A$9:$H$190,7,0)</f>
        <v>9026583</v>
      </c>
      <c r="R53" s="55"/>
      <c r="S53" s="55">
        <f>-Q53</f>
        <v>-9026583</v>
      </c>
      <c r="T53" s="56">
        <f>SUM(Q53:S53)</f>
        <v>0</v>
      </c>
      <c r="U53" s="65">
        <f t="shared" si="128"/>
        <v>0</v>
      </c>
      <c r="V53" s="55">
        <f>VLOOKUP(A53,'Profit Loss-Amravati-25-26'!$A$9:$J$190,9,0)</f>
        <v>12193532</v>
      </c>
      <c r="W53" s="55"/>
      <c r="X53" s="55">
        <f>-V53</f>
        <v>-12193532</v>
      </c>
      <c r="Y53" s="56">
        <f>SUM(V53:X53)</f>
        <v>0</v>
      </c>
      <c r="Z53" s="65">
        <f t="shared" si="130"/>
        <v>0</v>
      </c>
      <c r="AA53" s="55">
        <f>VLOOKUP(A53,'Profit Loss-Amravati-25-26'!$A$9:$L$192,11,0)</f>
        <v>15382914</v>
      </c>
      <c r="AB53" s="55"/>
      <c r="AC53" s="55">
        <f>-AA53</f>
        <v>-15382914</v>
      </c>
      <c r="AD53" s="56">
        <f>+AA53+AB53+AC53</f>
        <v>0</v>
      </c>
      <c r="AE53" s="65">
        <f t="shared" si="119"/>
        <v>0</v>
      </c>
      <c r="AF53" s="55">
        <f>VLOOKUP(A53,'Profit Loss-Amravati-25-26'!$A$9:$N$192,13,0)</f>
        <v>16435708</v>
      </c>
      <c r="AG53" s="55"/>
      <c r="AH53" s="55">
        <f>+AF53</f>
        <v>16435708</v>
      </c>
      <c r="AI53" s="56"/>
      <c r="AJ53" s="65">
        <f t="shared" si="120"/>
        <v>0</v>
      </c>
      <c r="AK53" s="55">
        <f>VLOOKUP(A53,'Profit Loss-Amravati-25-26'!$A$9:$P$192,15,0)</f>
        <v>18524580</v>
      </c>
      <c r="AL53" s="55"/>
      <c r="AM53" s="55">
        <f>+AK53</f>
        <v>18524580</v>
      </c>
      <c r="AN53" s="56"/>
      <c r="AO53" s="65">
        <f t="shared" si="121"/>
        <v>0</v>
      </c>
      <c r="AP53" s="55">
        <f>VLOOKUP(A53,'Profit Loss-Amravati-25-26'!$A$9:$R$192,17,0)</f>
        <v>21712831</v>
      </c>
      <c r="AQ53" s="55"/>
      <c r="AR53" s="55">
        <f>+AP53</f>
        <v>21712831</v>
      </c>
      <c r="AS53" s="56"/>
      <c r="AT53" s="65">
        <f t="shared" si="122"/>
        <v>0</v>
      </c>
      <c r="AU53" s="98">
        <f>VLOOKUP(A53,'Profit Loss-Amravati-25-26'!$A$9:$T$192,19,0)</f>
        <v>25000388</v>
      </c>
      <c r="AV53" s="55"/>
      <c r="AW53" s="55">
        <f>+AU53</f>
        <v>25000388</v>
      </c>
      <c r="AX53" s="56"/>
      <c r="AY53" s="65">
        <f t="shared" si="123"/>
        <v>0</v>
      </c>
      <c r="AZ53" s="55">
        <f>VLOOKUP(A53,'Profit Loss-Amravati-25-26'!$A$9:$V$192,21,0)</f>
        <v>27034065</v>
      </c>
      <c r="BA53" s="55"/>
      <c r="BB53" s="55">
        <f>+AZ53</f>
        <v>27034065</v>
      </c>
      <c r="BC53" s="56"/>
      <c r="BD53" s="65">
        <f t="shared" si="124"/>
        <v>0</v>
      </c>
      <c r="BE53" s="55"/>
      <c r="BF53" s="55"/>
    </row>
    <row r="54" spans="1:58" ht="15.75" customHeight="1" x14ac:dyDescent="0.3">
      <c r="A54" s="20" t="s">
        <v>39</v>
      </c>
      <c r="B54" s="11">
        <f>VLOOKUP(A54,'Profit Loss-Textile'!$A$8:$B$135,2,0)</f>
        <v>0</v>
      </c>
      <c r="C54" s="11">
        <f>VLOOKUP(A54,'Profit Loss-Amravati-25-26'!$A$13:$B$190,2,0)</f>
        <v>49560</v>
      </c>
      <c r="D54" s="57"/>
      <c r="E54" s="57"/>
      <c r="F54" s="65">
        <f>+B54+C54+D54</f>
        <v>49560</v>
      </c>
      <c r="G54" s="11">
        <f>VLOOKUP(A54,'Profit Loss-Amravati-25-26'!$A$9:$D$190,3,0)</f>
        <v>130704</v>
      </c>
      <c r="H54" s="57"/>
      <c r="I54" s="57"/>
      <c r="J54" s="56">
        <f t="shared" si="125"/>
        <v>130704</v>
      </c>
      <c r="K54" s="65">
        <f t="shared" si="117"/>
        <v>81144</v>
      </c>
      <c r="L54" s="55">
        <f>VLOOKUP(A54,'Profit Loss-Amravati-25-26'!$A$9:$F$190,5,0)</f>
        <v>151414</v>
      </c>
      <c r="M54" s="55"/>
      <c r="N54" s="55"/>
      <c r="O54" s="56">
        <f t="shared" si="126"/>
        <v>151414</v>
      </c>
      <c r="P54" s="65">
        <f t="shared" si="118"/>
        <v>20710</v>
      </c>
      <c r="Q54" s="55">
        <f>VLOOKUP(A54,'Profit Loss-Amravati-25-26'!$A$9:$H$190,7,0)</f>
        <v>246584</v>
      </c>
      <c r="R54" s="55">
        <f>VLOOKUP(A54,'Profit Loss-Betul-25-26'!$A$9:$H$141,7,0)</f>
        <v>400</v>
      </c>
      <c r="S54" s="55"/>
      <c r="T54" s="56">
        <f t="shared" ref="T54:T71" si="137">SUM(Q54:R54)</f>
        <v>246984</v>
      </c>
      <c r="U54" s="65">
        <f t="shared" si="128"/>
        <v>95570</v>
      </c>
      <c r="V54" s="55">
        <f>VLOOKUP(A54,'Profit Loss-Amravati-25-26'!$A$9:$J$190,9,0)</f>
        <v>279664</v>
      </c>
      <c r="W54" s="55">
        <f>VLOOKUP(A54,'Profit Loss-Betul-25-26'!$A$9:$J$141,9,0)</f>
        <v>400</v>
      </c>
      <c r="X54" s="55"/>
      <c r="Y54" s="56">
        <f t="shared" ref="Y54:Y71" si="138">SUM(V54:W54)</f>
        <v>280064</v>
      </c>
      <c r="Z54" s="65">
        <f t="shared" si="130"/>
        <v>33080</v>
      </c>
      <c r="AA54" s="55">
        <f>VLOOKUP(A54,'Profit Loss-Amravati-25-26'!$A$9:$L$192,11,0)</f>
        <v>333003</v>
      </c>
      <c r="AB54" s="55">
        <f>VLOOKUP(A54,'Profit Loss-Betul-25-26'!$A$9:$L$141,11,0)</f>
        <v>400</v>
      </c>
      <c r="AC54" s="55"/>
      <c r="AD54" s="56">
        <f t="shared" si="131"/>
        <v>333403</v>
      </c>
      <c r="AE54" s="65">
        <f t="shared" si="119"/>
        <v>53339</v>
      </c>
      <c r="AF54" s="55">
        <f>VLOOKUP(A54,'Profit Loss-Amravati-25-26'!$A$9:$N$192,13,0)</f>
        <v>359828</v>
      </c>
      <c r="AG54" s="55">
        <f>VLOOKUP(A54,'Profit Loss-Betul-25-26'!$A$9:$N$141,13,0)</f>
        <v>1470</v>
      </c>
      <c r="AH54" s="55"/>
      <c r="AI54" s="56">
        <f t="shared" si="132"/>
        <v>361298</v>
      </c>
      <c r="AJ54" s="65">
        <f t="shared" si="120"/>
        <v>27895</v>
      </c>
      <c r="AK54" s="55">
        <f>VLOOKUP(A54,'Profit Loss-Amravati-25-26'!$A$9:$P$192,15,0)</f>
        <v>525972</v>
      </c>
      <c r="AL54" s="55">
        <f>VLOOKUP(A54,'Profit Loss-Betul-25-26'!$A$9:$P$141,15,0)</f>
        <v>13190</v>
      </c>
      <c r="AM54" s="55"/>
      <c r="AN54" s="56">
        <f t="shared" ref="AN54:AN71" si="139">+AK54+AL54-AM54</f>
        <v>539162</v>
      </c>
      <c r="AO54" s="65">
        <f t="shared" si="121"/>
        <v>177864</v>
      </c>
      <c r="AP54" s="55">
        <f>VLOOKUP(A54,'Profit Loss-Amravati-25-26'!$A$9:$R$192,17,0)</f>
        <v>805876</v>
      </c>
      <c r="AQ54" s="55">
        <f>VLOOKUP(A54,'Profit Loss-Betul-25-26'!$A$9:$R$141,17,0)</f>
        <v>2370</v>
      </c>
      <c r="AR54" s="55"/>
      <c r="AS54" s="56">
        <f t="shared" ref="AS54:AS71" si="140">+AP54+AQ54-AR54</f>
        <v>808246</v>
      </c>
      <c r="AT54" s="65">
        <f t="shared" si="122"/>
        <v>269084</v>
      </c>
      <c r="AU54" s="98">
        <f>VLOOKUP(A54,'Profit Loss-Amravati-25-26'!$A$9:$T$192,19,0)</f>
        <v>1474114</v>
      </c>
      <c r="AV54" s="55">
        <f>VLOOKUP(A54,'Profit Loss-Betul-25-26'!$A$9:$T$141,19,0)</f>
        <v>2370</v>
      </c>
      <c r="AW54" s="55"/>
      <c r="AX54" s="56">
        <f t="shared" ref="AX54:AX62" si="141">+AU54+AV54-AW54</f>
        <v>1476484</v>
      </c>
      <c r="AY54" s="65">
        <f t="shared" si="123"/>
        <v>668238</v>
      </c>
      <c r="AZ54" s="55">
        <f>VLOOKUP(A54,'Profit Loss-Amravati-25-26'!$A$9:$V$192,21,0)</f>
        <v>1577814</v>
      </c>
      <c r="BA54" s="55">
        <f>VLOOKUP(A54,'Profit Loss-Betul-25-26'!$A$9:$V$141,21,0)</f>
        <v>2370</v>
      </c>
      <c r="BB54" s="55"/>
      <c r="BC54" s="56">
        <f t="shared" ref="BC54:BC62" si="142">+AZ54+BA54-BB54</f>
        <v>1580184</v>
      </c>
      <c r="BD54" s="65">
        <f t="shared" si="124"/>
        <v>103700</v>
      </c>
      <c r="BE54" s="55"/>
      <c r="BF54" s="55"/>
    </row>
    <row r="55" spans="1:58" ht="15.75" customHeight="1" x14ac:dyDescent="0.3">
      <c r="A55" s="10" t="s">
        <v>187</v>
      </c>
      <c r="B55" s="11"/>
      <c r="C55" s="11"/>
      <c r="D55" s="57"/>
      <c r="E55" s="57"/>
      <c r="F55" s="65"/>
      <c r="G55" s="11">
        <f>VLOOKUP(A55,'Profit Loss-Amravati-25-26'!$A$9:$D$190,3,0)</f>
        <v>422014</v>
      </c>
      <c r="H55" s="57"/>
      <c r="I55" s="57"/>
      <c r="J55" s="56">
        <f t="shared" si="125"/>
        <v>422014</v>
      </c>
      <c r="K55" s="65">
        <f t="shared" si="117"/>
        <v>422014</v>
      </c>
      <c r="L55" s="55">
        <f>VLOOKUP(A55,'Profit Loss-Amravati-25-26'!$A$9:$F$190,5,0)</f>
        <v>472710</v>
      </c>
      <c r="M55" s="55"/>
      <c r="N55" s="55"/>
      <c r="O55" s="56">
        <f t="shared" si="126"/>
        <v>472710</v>
      </c>
      <c r="P55" s="65">
        <f t="shared" si="118"/>
        <v>50696</v>
      </c>
      <c r="Q55" s="55">
        <f>VLOOKUP(A55,'Profit Loss-Amravati-25-26'!$A$9:$H$190,7,0)</f>
        <v>1060184.4099999999</v>
      </c>
      <c r="R55" s="55"/>
      <c r="S55" s="55"/>
      <c r="T55" s="56">
        <f t="shared" si="137"/>
        <v>1060184.4099999999</v>
      </c>
      <c r="U55" s="65">
        <f t="shared" si="128"/>
        <v>587474.40999999992</v>
      </c>
      <c r="V55" s="55">
        <f>VLOOKUP(A55,'Profit Loss-Amravati-25-26'!$A$9:$J$190,9,0)</f>
        <v>1784563.43</v>
      </c>
      <c r="W55" s="55"/>
      <c r="X55" s="55"/>
      <c r="Y55" s="56">
        <f t="shared" si="138"/>
        <v>1784563.43</v>
      </c>
      <c r="Z55" s="65">
        <f t="shared" si="130"/>
        <v>724379.02</v>
      </c>
      <c r="AA55" s="55">
        <f>VLOOKUP(A55,'Profit Loss-Amravati-25-26'!$A$9:$L$192,11,0)</f>
        <v>2217544.6800000002</v>
      </c>
      <c r="AB55" s="55"/>
      <c r="AC55" s="55"/>
      <c r="AD55" s="56">
        <f t="shared" si="131"/>
        <v>2217544.6800000002</v>
      </c>
      <c r="AE55" s="65">
        <f t="shared" si="119"/>
        <v>432981.25000000023</v>
      </c>
      <c r="AF55" s="55">
        <f>VLOOKUP(A55,'Profit Loss-Amravati-25-26'!$A$9:$N$192,13,0)</f>
        <v>2561544.6800000002</v>
      </c>
      <c r="AG55" s="55"/>
      <c r="AH55" s="55"/>
      <c r="AI55" s="56">
        <f t="shared" si="132"/>
        <v>2561544.6800000002</v>
      </c>
      <c r="AJ55" s="65">
        <f t="shared" si="120"/>
        <v>344000</v>
      </c>
      <c r="AK55" s="55">
        <f>VLOOKUP(A55,'Profit Loss-Amravati-25-26'!$A$9:$P$192,15,0)</f>
        <v>2786461.14</v>
      </c>
      <c r="AL55" s="55"/>
      <c r="AM55" s="55"/>
      <c r="AN55" s="56">
        <f t="shared" si="139"/>
        <v>2786461.14</v>
      </c>
      <c r="AO55" s="65">
        <f t="shared" si="121"/>
        <v>224916.45999999996</v>
      </c>
      <c r="AP55" s="55">
        <f>VLOOKUP(A55,'Profit Loss-Amravati-25-26'!$A$9:$R$192,17,0)</f>
        <v>2949461.14</v>
      </c>
      <c r="AQ55" s="55"/>
      <c r="AR55" s="55"/>
      <c r="AS55" s="56">
        <f t="shared" si="140"/>
        <v>2949461.14</v>
      </c>
      <c r="AT55" s="65">
        <f t="shared" si="122"/>
        <v>163000</v>
      </c>
      <c r="AU55" s="98">
        <f>VLOOKUP(A55,'Profit Loss-Amravati-25-26'!$A$9:$T$192,19,0)</f>
        <v>2949461.14</v>
      </c>
      <c r="AV55" s="55"/>
      <c r="AW55" s="55"/>
      <c r="AX55" s="56">
        <f t="shared" si="141"/>
        <v>2949461.14</v>
      </c>
      <c r="AY55" s="65">
        <f t="shared" si="123"/>
        <v>0</v>
      </c>
      <c r="AZ55" s="55">
        <f>VLOOKUP(A55,'Profit Loss-Amravati-25-26'!$A$9:$V$192,21,0)</f>
        <v>3127405.77</v>
      </c>
      <c r="BA55" s="55"/>
      <c r="BB55" s="55"/>
      <c r="BC55" s="56">
        <f t="shared" si="142"/>
        <v>3127405.77</v>
      </c>
      <c r="BD55" s="65">
        <f t="shared" si="124"/>
        <v>177944.62999999989</v>
      </c>
      <c r="BE55" s="55"/>
      <c r="BF55" s="55"/>
    </row>
    <row r="56" spans="1:58" ht="15.75" hidden="1" customHeight="1" x14ac:dyDescent="0.3">
      <c r="A56" s="113" t="s">
        <v>188</v>
      </c>
      <c r="B56" s="114"/>
      <c r="C56" s="114"/>
      <c r="D56" s="115"/>
      <c r="E56" s="115"/>
      <c r="F56" s="116"/>
      <c r="G56" s="114"/>
      <c r="H56" s="115"/>
      <c r="I56" s="115"/>
      <c r="J56" s="117"/>
      <c r="K56" s="116"/>
      <c r="L56" s="118"/>
      <c r="M56" s="118"/>
      <c r="N56" s="118"/>
      <c r="O56" s="117"/>
      <c r="P56" s="116"/>
      <c r="Q56" s="118"/>
      <c r="R56" s="118"/>
      <c r="S56" s="118"/>
      <c r="T56" s="117"/>
      <c r="U56" s="116"/>
      <c r="V56" s="118"/>
      <c r="W56" s="118"/>
      <c r="X56" s="118"/>
      <c r="Y56" s="117"/>
      <c r="Z56" s="116"/>
      <c r="AA56" s="118"/>
      <c r="AB56" s="118"/>
      <c r="AC56" s="118"/>
      <c r="AD56" s="117"/>
      <c r="AE56" s="116"/>
      <c r="AF56" s="118"/>
      <c r="AG56" s="118"/>
      <c r="AH56" s="118"/>
      <c r="AI56" s="117"/>
      <c r="AJ56" s="116"/>
      <c r="AK56" s="118"/>
      <c r="AL56" s="118"/>
      <c r="AM56" s="118"/>
      <c r="AN56" s="117"/>
      <c r="AO56" s="116"/>
      <c r="AP56" s="118"/>
      <c r="AQ56" s="118"/>
      <c r="AR56" s="118"/>
      <c r="AS56" s="117">
        <f t="shared" si="140"/>
        <v>0</v>
      </c>
      <c r="AT56" s="116">
        <f t="shared" si="122"/>
        <v>0</v>
      </c>
      <c r="AU56" s="118"/>
      <c r="AV56" s="118"/>
      <c r="AW56" s="118"/>
      <c r="AX56" s="117">
        <f t="shared" si="141"/>
        <v>0</v>
      </c>
      <c r="AY56" s="116">
        <f t="shared" si="123"/>
        <v>0</v>
      </c>
      <c r="AZ56" s="118"/>
      <c r="BA56" s="118"/>
      <c r="BB56" s="118"/>
      <c r="BC56" s="117">
        <f t="shared" si="142"/>
        <v>0</v>
      </c>
      <c r="BD56" s="116">
        <f t="shared" si="124"/>
        <v>0</v>
      </c>
      <c r="BE56" s="55"/>
      <c r="BF56" s="55"/>
    </row>
    <row r="57" spans="1:58" ht="15.75" customHeight="1" x14ac:dyDescent="0.3">
      <c r="A57" s="10" t="s">
        <v>278</v>
      </c>
      <c r="B57" s="11"/>
      <c r="C57" s="11"/>
      <c r="D57" s="57"/>
      <c r="E57" s="57"/>
      <c r="F57" s="65"/>
      <c r="G57" s="11">
        <f>VLOOKUP(A57,'Profit Loss-Amravati-25-26'!$A$9:$D$190,3,0)</f>
        <v>8460079</v>
      </c>
      <c r="H57" s="57"/>
      <c r="I57" s="57"/>
      <c r="J57" s="56">
        <f t="shared" si="125"/>
        <v>8460079</v>
      </c>
      <c r="K57" s="65">
        <f t="shared" si="117"/>
        <v>8460079</v>
      </c>
      <c r="L57" s="55">
        <f>VLOOKUP(A57,'Profit Loss-Amravati-25-26'!$A$9:$F$190,5,0)</f>
        <v>8460079</v>
      </c>
      <c r="M57" s="55"/>
      <c r="N57" s="55"/>
      <c r="O57" s="56">
        <f t="shared" si="126"/>
        <v>8460079</v>
      </c>
      <c r="P57" s="65">
        <f t="shared" si="118"/>
        <v>0</v>
      </c>
      <c r="Q57" s="55">
        <f>VLOOKUP(A57,'Profit Loss-Amravati-25-26'!$A$9:$H$190,7,0)</f>
        <v>8460079</v>
      </c>
      <c r="R57" s="55"/>
      <c r="S57" s="55"/>
      <c r="T57" s="56">
        <f t="shared" si="137"/>
        <v>8460079</v>
      </c>
      <c r="U57" s="65">
        <f t="shared" si="128"/>
        <v>0</v>
      </c>
      <c r="V57" s="55">
        <f>VLOOKUP(A57,'Profit Loss-Amravati-25-26'!$A$9:$J$190,9,0)</f>
        <v>8460079</v>
      </c>
      <c r="W57" s="55"/>
      <c r="X57" s="55"/>
      <c r="Y57" s="56">
        <f t="shared" si="138"/>
        <v>8460079</v>
      </c>
      <c r="Z57" s="65">
        <f t="shared" si="130"/>
        <v>0</v>
      </c>
      <c r="AA57" s="55">
        <f>VLOOKUP(A57,'Profit Loss-Amravati-25-26'!$A$9:$L$192,11,0)</f>
        <v>8460079</v>
      </c>
      <c r="AB57" s="55"/>
      <c r="AC57" s="55"/>
      <c r="AD57" s="56">
        <f t="shared" si="131"/>
        <v>8460079</v>
      </c>
      <c r="AE57" s="65">
        <f t="shared" si="119"/>
        <v>0</v>
      </c>
      <c r="AF57" s="55">
        <f>VLOOKUP(A57,'Profit Loss-Amravati-25-26'!$A$9:$N$192,13,0)</f>
        <v>8460079</v>
      </c>
      <c r="AG57" s="55"/>
      <c r="AH57" s="55"/>
      <c r="AI57" s="56">
        <f t="shared" si="132"/>
        <v>8460079</v>
      </c>
      <c r="AJ57" s="65">
        <f t="shared" si="120"/>
        <v>0</v>
      </c>
      <c r="AK57" s="55">
        <f>VLOOKUP(A57,'Profit Loss-Amravati-25-26'!$A$9:$P$192,15,0)</f>
        <v>8460079</v>
      </c>
      <c r="AL57" s="55"/>
      <c r="AM57" s="55"/>
      <c r="AN57" s="56">
        <f t="shared" si="139"/>
        <v>8460079</v>
      </c>
      <c r="AO57" s="65">
        <f t="shared" si="121"/>
        <v>0</v>
      </c>
      <c r="AP57" s="55">
        <f>VLOOKUP(A57,'Profit Loss-Amravati-25-26'!$A$9:$R$192,17,0)</f>
        <v>8460079</v>
      </c>
      <c r="AQ57" s="55"/>
      <c r="AR57" s="55"/>
      <c r="AS57" s="56">
        <f t="shared" si="140"/>
        <v>8460079</v>
      </c>
      <c r="AT57" s="65">
        <f t="shared" si="122"/>
        <v>0</v>
      </c>
      <c r="AU57" s="98">
        <f>VLOOKUP(A57,'Profit Loss-Amravati-25-26'!$A$9:$T$192,19,0)</f>
        <v>8460079</v>
      </c>
      <c r="AV57" s="55"/>
      <c r="AW57" s="55"/>
      <c r="AX57" s="56">
        <f t="shared" si="141"/>
        <v>8460079</v>
      </c>
      <c r="AY57" s="65">
        <f t="shared" si="123"/>
        <v>0</v>
      </c>
      <c r="AZ57" s="55">
        <f>VLOOKUP(A57,'Profit Loss-Amravati-25-26'!$A$9:$V$192,21,0)</f>
        <v>8460079</v>
      </c>
      <c r="BA57" s="55"/>
      <c r="BB57" s="55"/>
      <c r="BC57" s="56">
        <f t="shared" si="142"/>
        <v>8460079</v>
      </c>
      <c r="BD57" s="65">
        <f t="shared" si="124"/>
        <v>0</v>
      </c>
      <c r="BE57" s="55"/>
      <c r="BF57" s="55"/>
    </row>
    <row r="58" spans="1:58" ht="15.75" hidden="1" customHeight="1" x14ac:dyDescent="0.3">
      <c r="A58" s="10" t="s">
        <v>346</v>
      </c>
      <c r="B58" s="11"/>
      <c r="C58" s="11"/>
      <c r="D58" s="57"/>
      <c r="E58" s="57"/>
      <c r="F58" s="65"/>
      <c r="G58" s="11"/>
      <c r="H58" s="57"/>
      <c r="I58" s="57"/>
      <c r="J58" s="56"/>
      <c r="K58" s="65"/>
      <c r="L58" s="55"/>
      <c r="M58" s="55"/>
      <c r="N58" s="55"/>
      <c r="O58" s="56"/>
      <c r="P58" s="65"/>
      <c r="Q58" s="55">
        <f>VLOOKUP(A58,'Profit Loss-Amravati-25-26'!$A$9:$H$190,7,0)</f>
        <v>0</v>
      </c>
      <c r="R58" s="55"/>
      <c r="S58" s="55"/>
      <c r="T58" s="56">
        <f t="shared" si="137"/>
        <v>0</v>
      </c>
      <c r="U58" s="65">
        <f t="shared" si="128"/>
        <v>0</v>
      </c>
      <c r="V58" s="55">
        <f>VLOOKUP(A58,'Profit Loss-Amravati-25-26'!$A$9:$J$190,9,0)</f>
        <v>0</v>
      </c>
      <c r="W58" s="55"/>
      <c r="X58" s="55"/>
      <c r="Y58" s="56">
        <f t="shared" si="138"/>
        <v>0</v>
      </c>
      <c r="Z58" s="65">
        <f t="shared" si="130"/>
        <v>0</v>
      </c>
      <c r="AA58" s="55">
        <f>VLOOKUP(A58,'Profit Loss-Amravati-25-26'!$A$9:$L$192,11,0)</f>
        <v>0</v>
      </c>
      <c r="AB58" s="55"/>
      <c r="AC58" s="55"/>
      <c r="AD58" s="56">
        <f t="shared" si="131"/>
        <v>0</v>
      </c>
      <c r="AE58" s="65">
        <f t="shared" si="119"/>
        <v>0</v>
      </c>
      <c r="AF58" s="55">
        <f>VLOOKUP(A58,'Profit Loss-Amravati-25-26'!$A$9:$N$192,13,0)</f>
        <v>0</v>
      </c>
      <c r="AG58" s="55"/>
      <c r="AH58" s="55"/>
      <c r="AI58" s="56">
        <f t="shared" si="132"/>
        <v>0</v>
      </c>
      <c r="AJ58" s="65">
        <f t="shared" si="120"/>
        <v>0</v>
      </c>
      <c r="AK58" s="55">
        <f>VLOOKUP(A58,'Profit Loss-Amravati-25-26'!$A$9:$P$192,15,0)</f>
        <v>0</v>
      </c>
      <c r="AL58" s="55"/>
      <c r="AM58" s="55"/>
      <c r="AN58" s="56">
        <f t="shared" si="139"/>
        <v>0</v>
      </c>
      <c r="AO58" s="65">
        <f t="shared" si="121"/>
        <v>0</v>
      </c>
      <c r="AP58" s="55">
        <f>VLOOKUP(A58,'Profit Loss-Amravati-25-26'!$A$9:$R$192,17,0)</f>
        <v>0</v>
      </c>
      <c r="AQ58" s="55"/>
      <c r="AR58" s="55"/>
      <c r="AS58" s="56">
        <f t="shared" si="140"/>
        <v>0</v>
      </c>
      <c r="AT58" s="65">
        <f t="shared" si="122"/>
        <v>0</v>
      </c>
      <c r="AU58" s="55">
        <f>VLOOKUP(A58,'Profit Loss-Amravati-25-26'!$A$9:$T$192,19,0)</f>
        <v>0</v>
      </c>
      <c r="AV58" s="55"/>
      <c r="AW58" s="55"/>
      <c r="AX58" s="56">
        <f t="shared" si="141"/>
        <v>0</v>
      </c>
      <c r="AY58" s="65">
        <f t="shared" si="123"/>
        <v>0</v>
      </c>
      <c r="AZ58" s="55">
        <f>VLOOKUP(A58,'Profit Loss-Amravati-25-26'!$A$9:$V$192,21,0)</f>
        <v>0</v>
      </c>
      <c r="BA58" s="55"/>
      <c r="BB58" s="55"/>
      <c r="BC58" s="56">
        <f t="shared" si="142"/>
        <v>0</v>
      </c>
      <c r="BD58" s="65">
        <f t="shared" si="124"/>
        <v>0</v>
      </c>
      <c r="BE58" s="55"/>
      <c r="BF58" s="55"/>
    </row>
    <row r="59" spans="1:58" x14ac:dyDescent="0.3">
      <c r="A59" s="10" t="s">
        <v>42</v>
      </c>
      <c r="B59" s="11"/>
      <c r="C59" s="11">
        <f>VLOOKUP(A59,'Profit Loss-Amravati-25-26'!$A$13:$B$190,2,0)</f>
        <v>3621747.58</v>
      </c>
      <c r="D59" s="57"/>
      <c r="E59" s="57"/>
      <c r="F59" s="65">
        <f>+B59+C59+D59</f>
        <v>3621747.58</v>
      </c>
      <c r="G59" s="11">
        <f>VLOOKUP(A59,'Profit Loss-Amravati-25-26'!$A$9:$D$190,3,0)</f>
        <v>9323779.6199999992</v>
      </c>
      <c r="H59" s="57"/>
      <c r="I59" s="57"/>
      <c r="J59" s="56">
        <f t="shared" si="125"/>
        <v>9323779.6199999992</v>
      </c>
      <c r="K59" s="65">
        <f t="shared" si="117"/>
        <v>5702032.0399999991</v>
      </c>
      <c r="L59" s="55">
        <f>VLOOKUP(A59,'Profit Loss-Amravati-25-26'!$A$9:$F$190,5,0)</f>
        <v>12981156.24</v>
      </c>
      <c r="M59" s="55"/>
      <c r="N59" s="55"/>
      <c r="O59" s="56">
        <f t="shared" si="126"/>
        <v>12981156.24</v>
      </c>
      <c r="P59" s="65">
        <f t="shared" si="118"/>
        <v>3657376.620000001</v>
      </c>
      <c r="Q59" s="55">
        <f>VLOOKUP(A59,'Profit Loss-Amravati-25-26'!$A$9:$H$190,7,0)</f>
        <v>18489486.260000002</v>
      </c>
      <c r="R59" s="55"/>
      <c r="S59" s="55"/>
      <c r="T59" s="56">
        <f t="shared" si="137"/>
        <v>18489486.260000002</v>
      </c>
      <c r="U59" s="65">
        <f t="shared" si="128"/>
        <v>5508330.0200000014</v>
      </c>
      <c r="V59" s="55">
        <f>VLOOKUP(A59,'Profit Loss-Amravati-25-26'!$A$9:$J$190,9,0)</f>
        <v>24958004.379999999</v>
      </c>
      <c r="W59" s="55"/>
      <c r="X59" s="55"/>
      <c r="Y59" s="56">
        <f t="shared" si="138"/>
        <v>24958004.379999999</v>
      </c>
      <c r="Z59" s="65">
        <f t="shared" si="130"/>
        <v>6468518.1199999973</v>
      </c>
      <c r="AA59" s="55">
        <f>VLOOKUP(A59,'Profit Loss-Amravati-25-26'!$A$9:$L$192,11,0)</f>
        <v>30061662.809999999</v>
      </c>
      <c r="AB59" s="55"/>
      <c r="AC59" s="55"/>
      <c r="AD59" s="56">
        <f t="shared" si="131"/>
        <v>30061662.809999999</v>
      </c>
      <c r="AE59" s="65">
        <f t="shared" si="119"/>
        <v>5103658.43</v>
      </c>
      <c r="AF59" s="55">
        <f>VLOOKUP(A59,'Profit Loss-Amravati-25-26'!$A$9:$N$192,13,0)</f>
        <v>35530936.439999998</v>
      </c>
      <c r="AG59" s="55"/>
      <c r="AH59" s="55"/>
      <c r="AI59" s="56">
        <f t="shared" si="132"/>
        <v>35530936.439999998</v>
      </c>
      <c r="AJ59" s="65">
        <f t="shared" si="120"/>
        <v>5469273.629999999</v>
      </c>
      <c r="AK59" s="55">
        <f>VLOOKUP(A59,'Profit Loss-Amravati-25-26'!$A$9:$P$192,15,0)</f>
        <v>38947941.460000001</v>
      </c>
      <c r="AL59" s="55"/>
      <c r="AM59" s="55"/>
      <c r="AN59" s="56">
        <f t="shared" si="139"/>
        <v>38947941.460000001</v>
      </c>
      <c r="AO59" s="65">
        <f t="shared" si="121"/>
        <v>3417005.0200000033</v>
      </c>
      <c r="AP59" s="55">
        <f>VLOOKUP(A59,'Profit Loss-Amravati-25-26'!$A$9:$R$192,17,0)</f>
        <v>42673334.960000001</v>
      </c>
      <c r="AQ59" s="55"/>
      <c r="AR59" s="55"/>
      <c r="AS59" s="56">
        <f t="shared" si="140"/>
        <v>42673334.960000001</v>
      </c>
      <c r="AT59" s="65">
        <f t="shared" si="122"/>
        <v>3725393.5</v>
      </c>
      <c r="AU59" s="112">
        <f>VLOOKUP(A59,'Profit Loss-Amravati-25-26'!$A$9:$T$192,19,0)</f>
        <v>47951381.539999999</v>
      </c>
      <c r="AV59" s="55"/>
      <c r="AW59" s="55"/>
      <c r="AX59" s="56">
        <f t="shared" si="141"/>
        <v>47951381.539999999</v>
      </c>
      <c r="AY59" s="65">
        <f t="shared" si="123"/>
        <v>5278046.5799999982</v>
      </c>
      <c r="AZ59" s="55">
        <f>VLOOKUP(A59,'Profit Loss-Amravati-25-26'!$A$9:$V$192,21,0)</f>
        <v>51707465.18</v>
      </c>
      <c r="BA59" s="55"/>
      <c r="BB59" s="55"/>
      <c r="BC59" s="56">
        <f t="shared" si="142"/>
        <v>51707465.18</v>
      </c>
      <c r="BD59" s="65">
        <f t="shared" si="124"/>
        <v>3756083.6400000006</v>
      </c>
      <c r="BE59" s="55"/>
      <c r="BF59" s="55"/>
    </row>
    <row r="60" spans="1:58" x14ac:dyDescent="0.3">
      <c r="A60" t="s">
        <v>43</v>
      </c>
      <c r="B60" s="11"/>
      <c r="C60" s="11"/>
      <c r="D60" s="57"/>
      <c r="E60" s="57"/>
      <c r="F60" s="65"/>
      <c r="G60" s="11"/>
      <c r="H60" s="57"/>
      <c r="I60" s="57"/>
      <c r="J60" s="56"/>
      <c r="K60" s="65"/>
      <c r="L60" s="55"/>
      <c r="M60" s="55"/>
      <c r="N60" s="55"/>
      <c r="O60" s="56"/>
      <c r="P60" s="65"/>
      <c r="Q60" s="55"/>
      <c r="R60" s="55"/>
      <c r="S60" s="55"/>
      <c r="T60" s="56"/>
      <c r="U60" s="65"/>
      <c r="V60" s="55"/>
      <c r="W60" s="55"/>
      <c r="X60" s="55"/>
      <c r="Y60" s="56"/>
      <c r="Z60" s="65"/>
      <c r="AA60" s="55">
        <f>VLOOKUP(A60,'Profit Loss-Amravati-25-26'!$A$9:$L$192,11,0)</f>
        <v>40306.78</v>
      </c>
      <c r="AB60" s="55"/>
      <c r="AC60" s="55"/>
      <c r="AD60" s="56">
        <f t="shared" si="131"/>
        <v>40306.78</v>
      </c>
      <c r="AE60" s="65">
        <f t="shared" si="119"/>
        <v>40306.78</v>
      </c>
      <c r="AF60" s="55">
        <f>VLOOKUP(A60,'Profit Loss-Amravati-25-26'!$A$9:$N$192,13,0)</f>
        <v>254494.78</v>
      </c>
      <c r="AG60" s="55"/>
      <c r="AH60" s="55"/>
      <c r="AI60" s="56">
        <f t="shared" si="132"/>
        <v>254494.78</v>
      </c>
      <c r="AJ60" s="65">
        <f t="shared" si="120"/>
        <v>214188</v>
      </c>
      <c r="AK60" s="55">
        <f>VLOOKUP(A60,'Profit Loss-Amravati-25-26'!$A$9:$P$192,15,0)</f>
        <v>479841.78</v>
      </c>
      <c r="AL60" s="55"/>
      <c r="AM60" s="55"/>
      <c r="AN60" s="56">
        <f t="shared" si="139"/>
        <v>479841.78</v>
      </c>
      <c r="AO60" s="65">
        <f t="shared" si="121"/>
        <v>225347.00000000003</v>
      </c>
      <c r="AP60" s="55">
        <f>VLOOKUP(A60,'Profit Loss-Amravati-25-26'!$A$9:$R$192,17,0)</f>
        <v>867193.78</v>
      </c>
      <c r="AQ60" s="55"/>
      <c r="AR60" s="55"/>
      <c r="AS60" s="56">
        <f t="shared" si="140"/>
        <v>867193.78</v>
      </c>
      <c r="AT60" s="65">
        <f t="shared" si="122"/>
        <v>387352</v>
      </c>
      <c r="AU60" s="98">
        <f>VLOOKUP(A60,'Profit Loss-Amravati-25-26'!$A$9:$T$192,19,0)</f>
        <v>867193.78</v>
      </c>
      <c r="AV60" s="55"/>
      <c r="AW60" s="55"/>
      <c r="AX60" s="56">
        <f t="shared" si="141"/>
        <v>867193.78</v>
      </c>
      <c r="AY60" s="65">
        <f t="shared" si="123"/>
        <v>0</v>
      </c>
      <c r="AZ60" s="55">
        <f>VLOOKUP(A60,'Profit Loss-Amravati-25-26'!$A$9:$V$192,21,0)</f>
        <v>2022689.78</v>
      </c>
      <c r="BA60" s="55"/>
      <c r="BB60" s="55"/>
      <c r="BC60" s="56">
        <f t="shared" si="142"/>
        <v>2022689.78</v>
      </c>
      <c r="BD60" s="65">
        <f t="shared" si="124"/>
        <v>1155496</v>
      </c>
      <c r="BE60" s="55"/>
      <c r="BF60" s="55"/>
    </row>
    <row r="61" spans="1:58" x14ac:dyDescent="0.3">
      <c r="A61" s="10" t="s">
        <v>44</v>
      </c>
      <c r="B61" s="11"/>
      <c r="C61" s="11">
        <f>VLOOKUP(A61,'Profit Loss-Amravati-25-26'!$A$13:$B$190,2,0)</f>
        <v>1857</v>
      </c>
      <c r="D61" s="57"/>
      <c r="E61" s="57"/>
      <c r="F61" s="65">
        <f t="shared" ref="F61:F71" si="143">+B61+C61+D61</f>
        <v>1857</v>
      </c>
      <c r="G61" s="11">
        <f>VLOOKUP(A61,'Profit Loss-Amravati-25-26'!$A$9:$D$190,3,0)</f>
        <v>6454</v>
      </c>
      <c r="H61" s="57"/>
      <c r="I61" s="57"/>
      <c r="J61" s="56">
        <f t="shared" si="125"/>
        <v>6454</v>
      </c>
      <c r="K61" s="65">
        <f t="shared" si="117"/>
        <v>4597</v>
      </c>
      <c r="L61" s="55">
        <f>VLOOKUP(A61,'Profit Loss-Amravati-25-26'!$A$9:$F$190,5,0)</f>
        <v>7937</v>
      </c>
      <c r="M61" s="55"/>
      <c r="N61" s="55"/>
      <c r="O61" s="56">
        <f t="shared" si="126"/>
        <v>7937</v>
      </c>
      <c r="P61" s="65">
        <f t="shared" si="118"/>
        <v>1483</v>
      </c>
      <c r="Q61" s="55">
        <f>VLOOKUP(A61,'Profit Loss-Amravati-25-26'!$A$9:$H$190,7,0)</f>
        <v>28237</v>
      </c>
      <c r="R61" s="55"/>
      <c r="S61" s="55"/>
      <c r="T61" s="56">
        <f t="shared" si="137"/>
        <v>28237</v>
      </c>
      <c r="U61" s="65">
        <f t="shared" si="128"/>
        <v>20300</v>
      </c>
      <c r="V61" s="55">
        <f>VLOOKUP(A61,'Profit Loss-Amravati-25-26'!$A$9:$J$190,9,0)</f>
        <v>110359</v>
      </c>
      <c r="W61" s="55"/>
      <c r="X61" s="55"/>
      <c r="Y61" s="56">
        <f t="shared" si="138"/>
        <v>110359</v>
      </c>
      <c r="Z61" s="65">
        <f t="shared" si="130"/>
        <v>82122</v>
      </c>
      <c r="AA61" s="55">
        <f>VLOOKUP(A61,'Profit Loss-Amravati-25-26'!$A$9:$L$192,11,0)</f>
        <v>112239</v>
      </c>
      <c r="AB61" s="55"/>
      <c r="AC61" s="55"/>
      <c r="AD61" s="56">
        <f t="shared" si="131"/>
        <v>112239</v>
      </c>
      <c r="AE61" s="65">
        <f t="shared" si="119"/>
        <v>1880</v>
      </c>
      <c r="AF61" s="55">
        <f>VLOOKUP(A61,'Profit Loss-Amravati-25-26'!$A$9:$N$192,13,0)</f>
        <v>118941</v>
      </c>
      <c r="AG61" s="55"/>
      <c r="AH61" s="55"/>
      <c r="AI61" s="56">
        <f t="shared" si="132"/>
        <v>118941</v>
      </c>
      <c r="AJ61" s="65">
        <f t="shared" si="120"/>
        <v>6702</v>
      </c>
      <c r="AK61" s="55">
        <f>VLOOKUP(A61,'Profit Loss-Amravati-25-26'!$A$9:$P$192,15,0)</f>
        <v>152321</v>
      </c>
      <c r="AL61" s="55"/>
      <c r="AM61" s="55"/>
      <c r="AN61" s="56">
        <f t="shared" si="139"/>
        <v>152321</v>
      </c>
      <c r="AO61" s="65">
        <f t="shared" si="121"/>
        <v>33380</v>
      </c>
      <c r="AP61" s="55">
        <f>VLOOKUP(A61,'Profit Loss-Amravati-25-26'!$A$9:$R$192,17,0)</f>
        <v>209507</v>
      </c>
      <c r="AQ61" s="55"/>
      <c r="AR61" s="55"/>
      <c r="AS61" s="56">
        <f t="shared" si="140"/>
        <v>209507</v>
      </c>
      <c r="AT61" s="65">
        <f t="shared" si="122"/>
        <v>57186</v>
      </c>
      <c r="AU61" s="112">
        <f>VLOOKUP(A61,'Profit Loss-Amravati-25-26'!$A$9:$T$192,19,0)</f>
        <v>459679.5</v>
      </c>
      <c r="AV61" s="55"/>
      <c r="AW61" s="55"/>
      <c r="AX61" s="56">
        <f t="shared" si="141"/>
        <v>459679.5</v>
      </c>
      <c r="AY61" s="65">
        <f t="shared" si="123"/>
        <v>250172.5</v>
      </c>
      <c r="AZ61" s="55">
        <f>VLOOKUP(A61,'Profit Loss-Amravati-25-26'!$A$9:$V$192,21,0)</f>
        <v>472048.5</v>
      </c>
      <c r="BA61" s="55"/>
      <c r="BB61" s="55"/>
      <c r="BC61" s="56">
        <f t="shared" si="142"/>
        <v>472048.5</v>
      </c>
      <c r="BD61" s="65">
        <f t="shared" si="124"/>
        <v>12369</v>
      </c>
      <c r="BE61" s="55"/>
      <c r="BF61" s="55"/>
    </row>
    <row r="62" spans="1:58" x14ac:dyDescent="0.3">
      <c r="A62" s="10" t="s">
        <v>186</v>
      </c>
      <c r="B62" s="11"/>
      <c r="C62" s="11">
        <f>VLOOKUP(A62,'Profit Loss-Amravati-25-26'!$A$13:$B$190,2,0)</f>
        <v>21624068.130000003</v>
      </c>
      <c r="D62" s="57"/>
      <c r="E62" s="57"/>
      <c r="F62" s="65">
        <f t="shared" si="143"/>
        <v>21624068.130000003</v>
      </c>
      <c r="G62" s="11">
        <f>VLOOKUP(A62,'Profit Loss-Amravati-25-26'!$A$9:$D$190,3,0)</f>
        <v>56514482.850000001</v>
      </c>
      <c r="H62" s="57"/>
      <c r="I62" s="57"/>
      <c r="J62" s="56">
        <f t="shared" si="125"/>
        <v>56514482.850000001</v>
      </c>
      <c r="K62" s="65">
        <f t="shared" si="117"/>
        <v>34890414.719999999</v>
      </c>
      <c r="L62" s="55">
        <f>VLOOKUP(A62,'Profit Loss-Amravati-25-26'!$A$9:$F$190,5,0)</f>
        <v>92339270.299999997</v>
      </c>
      <c r="M62" s="55"/>
      <c r="N62" s="55"/>
      <c r="O62" s="56">
        <f t="shared" si="126"/>
        <v>92339270.299999997</v>
      </c>
      <c r="P62" s="65">
        <f t="shared" si="118"/>
        <v>35824787.449999996</v>
      </c>
      <c r="Q62" s="55">
        <f>VLOOKUP(A62,'Profit Loss-Amravati-25-26'!$A$9:$H$190,7,0)</f>
        <v>134044395.42</v>
      </c>
      <c r="R62" s="55"/>
      <c r="S62" s="55"/>
      <c r="T62" s="56">
        <f t="shared" si="137"/>
        <v>134044395.42</v>
      </c>
      <c r="U62" s="65">
        <f t="shared" si="128"/>
        <v>41705125.120000005</v>
      </c>
      <c r="V62" s="55">
        <f>VLOOKUP(A62,'Profit Loss-Amravati-25-26'!$A$9:$J$190,9,0)</f>
        <v>173165801.16</v>
      </c>
      <c r="W62" s="55"/>
      <c r="X62" s="55"/>
      <c r="Y62" s="56">
        <f t="shared" si="138"/>
        <v>173165801.16</v>
      </c>
      <c r="Z62" s="65">
        <f t="shared" si="130"/>
        <v>39121405.739999995</v>
      </c>
      <c r="AA62" s="55">
        <f>VLOOKUP(A62,'Profit Loss-Amravati-25-26'!$A$9:$L$192,11,0)</f>
        <v>224781173.44999999</v>
      </c>
      <c r="AB62" s="55"/>
      <c r="AC62" s="55"/>
      <c r="AD62" s="56">
        <f t="shared" si="131"/>
        <v>224781173.44999999</v>
      </c>
      <c r="AE62" s="65">
        <f t="shared" si="119"/>
        <v>51615372.289999992</v>
      </c>
      <c r="AF62" s="55">
        <f>VLOOKUP(A62,'Profit Loss-Amravati-25-26'!$A$9:$N$192,13,0)</f>
        <v>269472591.01999998</v>
      </c>
      <c r="AG62" s="55"/>
      <c r="AH62" s="55"/>
      <c r="AI62" s="56">
        <f t="shared" si="132"/>
        <v>269472591.01999998</v>
      </c>
      <c r="AJ62" s="65">
        <f t="shared" si="120"/>
        <v>44691417.569999993</v>
      </c>
      <c r="AK62" s="55">
        <f>VLOOKUP(A62,'Profit Loss-Amravati-25-26'!$A$9:$P$192,15,0)</f>
        <v>372647428.66000003</v>
      </c>
      <c r="AL62" s="55"/>
      <c r="AM62" s="55"/>
      <c r="AN62" s="56">
        <f t="shared" si="139"/>
        <v>372647428.66000003</v>
      </c>
      <c r="AO62" s="65">
        <f t="shared" si="121"/>
        <v>103174837.64000005</v>
      </c>
      <c r="AP62" s="55">
        <f>VLOOKUP(A62,'Profit Loss-Amravati-25-26'!$A$9:$R$192,17,0)</f>
        <v>486936896.32999998</v>
      </c>
      <c r="AQ62" s="55"/>
      <c r="AR62" s="55"/>
      <c r="AS62" s="56">
        <f t="shared" si="140"/>
        <v>486936896.32999998</v>
      </c>
      <c r="AT62" s="65">
        <f t="shared" si="122"/>
        <v>114289467.66999996</v>
      </c>
      <c r="AU62" s="55">
        <f>VLOOKUP(A62,'Profit Loss-Amravati-25-26'!$A$9:$T$192,19,0)</f>
        <v>558958287.71000004</v>
      </c>
      <c r="AV62" s="55"/>
      <c r="AW62" s="55"/>
      <c r="AX62" s="56">
        <f t="shared" si="141"/>
        <v>558958287.71000004</v>
      </c>
      <c r="AY62" s="65">
        <f t="shared" si="123"/>
        <v>72021391.380000055</v>
      </c>
      <c r="AZ62" s="55">
        <f>VLOOKUP(A62,'Profit Loss-Amravati-25-26'!$A$9:$V$192,21,0)</f>
        <v>613423124.91999996</v>
      </c>
      <c r="BA62" s="55"/>
      <c r="BB62" s="55"/>
      <c r="BC62" s="56">
        <f t="shared" si="142"/>
        <v>613423124.91999996</v>
      </c>
      <c r="BD62" s="65">
        <f t="shared" si="124"/>
        <v>54464837.209999919</v>
      </c>
      <c r="BE62" s="55"/>
      <c r="BF62" s="55"/>
    </row>
    <row r="63" spans="1:58" hidden="1" x14ac:dyDescent="0.3">
      <c r="A63" s="121" t="s">
        <v>195</v>
      </c>
      <c r="B63" s="114"/>
      <c r="C63" s="114"/>
      <c r="D63" s="115"/>
      <c r="E63" s="115"/>
      <c r="F63" s="116"/>
      <c r="G63" s="114"/>
      <c r="H63" s="115"/>
      <c r="I63" s="115"/>
      <c r="J63" s="117"/>
      <c r="K63" s="116"/>
      <c r="L63" s="118"/>
      <c r="M63" s="118"/>
      <c r="N63" s="118"/>
      <c r="O63" s="117"/>
      <c r="P63" s="116"/>
      <c r="Q63" s="118"/>
      <c r="R63" s="118"/>
      <c r="S63" s="118"/>
      <c r="T63" s="117"/>
      <c r="U63" s="116"/>
      <c r="V63" s="118"/>
      <c r="W63" s="118"/>
      <c r="X63" s="118"/>
      <c r="Y63" s="117"/>
      <c r="Z63" s="116"/>
      <c r="AA63" s="118"/>
      <c r="AB63" s="118"/>
      <c r="AC63" s="118"/>
      <c r="AD63" s="117"/>
      <c r="AE63" s="116"/>
      <c r="AF63" s="118"/>
      <c r="AG63" s="118"/>
      <c r="AH63" s="118"/>
      <c r="AI63" s="117"/>
      <c r="AJ63" s="116"/>
      <c r="AK63" s="118"/>
      <c r="AL63" s="118"/>
      <c r="AM63" s="118"/>
      <c r="AN63" s="117"/>
      <c r="AO63" s="116"/>
      <c r="AP63" s="118"/>
      <c r="AQ63" s="118"/>
      <c r="AR63" s="118"/>
      <c r="AS63" s="117"/>
      <c r="AT63" s="116"/>
      <c r="AU63" s="118"/>
      <c r="AV63" s="118"/>
      <c r="AW63" s="118"/>
      <c r="AX63" s="117"/>
      <c r="AY63" s="116"/>
      <c r="AZ63" s="118"/>
      <c r="BA63" s="118"/>
      <c r="BB63" s="118"/>
      <c r="BC63" s="117"/>
      <c r="BD63" s="116"/>
      <c r="BE63" s="55"/>
      <c r="BF63" s="55"/>
    </row>
    <row r="64" spans="1:58" x14ac:dyDescent="0.3">
      <c r="A64" s="10" t="s">
        <v>188</v>
      </c>
      <c r="B64" s="11"/>
      <c r="C64" s="11">
        <f>VLOOKUP(A64,'Profit Loss-Amravati-25-26'!$A$13:$B$190,2,0)</f>
        <v>136918.62</v>
      </c>
      <c r="D64" s="57"/>
      <c r="E64" s="57"/>
      <c r="F64" s="65">
        <f t="shared" si="143"/>
        <v>136918.62</v>
      </c>
      <c r="G64" s="11">
        <f>VLOOKUP(A64,'Profit Loss-Amravati-25-26'!$A$9:$D$190,3,0)</f>
        <v>258906.48</v>
      </c>
      <c r="H64" s="57"/>
      <c r="I64" s="57"/>
      <c r="J64" s="56">
        <f t="shared" si="125"/>
        <v>258906.48</v>
      </c>
      <c r="K64" s="65">
        <f t="shared" si="117"/>
        <v>121987.86000000002</v>
      </c>
      <c r="L64" s="55">
        <f>VLOOKUP(A64,'Profit Loss-Amravati-25-26'!$A$9:$F$190,5,0)</f>
        <v>1048958.48</v>
      </c>
      <c r="M64" s="55"/>
      <c r="N64" s="55"/>
      <c r="O64" s="56">
        <f t="shared" si="126"/>
        <v>1048958.48</v>
      </c>
      <c r="P64" s="65">
        <f t="shared" si="118"/>
        <v>790052</v>
      </c>
      <c r="Q64" s="55">
        <f>VLOOKUP(A64,'Profit Loss-Amravati-25-26'!$A$9:$H$190,7,0)</f>
        <v>1291929.0699999998</v>
      </c>
      <c r="R64" s="55"/>
      <c r="S64" s="55"/>
      <c r="T64" s="56">
        <f t="shared" si="137"/>
        <v>1291929.0699999998</v>
      </c>
      <c r="U64" s="65">
        <f t="shared" si="128"/>
        <v>242970.58999999985</v>
      </c>
      <c r="V64" s="55">
        <f>VLOOKUP(A64,'Profit Loss-Amravati-25-26'!$A$9:$J$190,9,0)</f>
        <v>1951691.99</v>
      </c>
      <c r="W64" s="55"/>
      <c r="X64" s="55"/>
      <c r="Y64" s="56">
        <f t="shared" si="138"/>
        <v>1951691.99</v>
      </c>
      <c r="Z64" s="65">
        <f t="shared" si="130"/>
        <v>659762.92000000016</v>
      </c>
      <c r="AA64" s="55">
        <f>VLOOKUP(A64,'Profit Loss-Amravati-25-26'!$A$9:$L$192,11,0)</f>
        <v>2294085.4</v>
      </c>
      <c r="AB64" s="55"/>
      <c r="AC64" s="55"/>
      <c r="AD64" s="56">
        <f t="shared" si="131"/>
        <v>2294085.4</v>
      </c>
      <c r="AE64" s="65">
        <f t="shared" si="119"/>
        <v>342393.40999999992</v>
      </c>
      <c r="AF64" s="55">
        <f>VLOOKUP(A64,'Profit Loss-Amravati-25-26'!$A$9:$N$192,13,0)</f>
        <v>3099076.12</v>
      </c>
      <c r="AG64" s="55"/>
      <c r="AH64" s="55"/>
      <c r="AI64" s="56">
        <f t="shared" si="132"/>
        <v>3099076.12</v>
      </c>
      <c r="AJ64" s="65">
        <f t="shared" si="120"/>
        <v>804990.7200000002</v>
      </c>
      <c r="AK64" s="55">
        <f>VLOOKUP(A64,'Profit Loss-Amravati-25-26'!$A$9:$P$192,15,0)</f>
        <v>3182557.72</v>
      </c>
      <c r="AL64" s="55"/>
      <c r="AM64" s="55"/>
      <c r="AN64" s="56">
        <f t="shared" si="139"/>
        <v>3182557.72</v>
      </c>
      <c r="AO64" s="65">
        <f t="shared" si="121"/>
        <v>83481.600000000093</v>
      </c>
      <c r="AP64" s="55">
        <f>VLOOKUP(A64,'Profit Loss-Amravati-25-26'!$A$9:$R$192,17,0)</f>
        <v>3492809.06</v>
      </c>
      <c r="AQ64" s="55">
        <f>VLOOKUP(A56,'Profit Loss-Betul-25-26'!$A$9:$R$141,17,0)</f>
        <v>45070</v>
      </c>
      <c r="AR64" s="55"/>
      <c r="AS64" s="56">
        <f t="shared" si="140"/>
        <v>3537879.06</v>
      </c>
      <c r="AT64" s="65">
        <f t="shared" si="122"/>
        <v>355321.33999999985</v>
      </c>
      <c r="AU64" s="55">
        <f>VLOOKUP(A56,'Profit Loss-Amravati-25-26'!$A$9:$T$192,19,0)</f>
        <v>3768745.3</v>
      </c>
      <c r="AV64" s="55">
        <f>VLOOKUP(A64,'Profit Loss-Betul-25-26'!$A$9:$T$141,19,0)</f>
        <v>45070</v>
      </c>
      <c r="AW64" s="55"/>
      <c r="AX64" s="56">
        <f t="shared" ref="AX64:AX71" si="144">+AU64+AV64-AW64</f>
        <v>3813815.3</v>
      </c>
      <c r="AY64" s="65">
        <f t="shared" ref="AY64:AY71" si="145">+AX64-AS64</f>
        <v>275936.23999999976</v>
      </c>
      <c r="AZ64" s="55">
        <f>VLOOKUP(A64,'Profit Loss-Amravati-25-26'!$A$9:$V$192,21,0)</f>
        <v>4211205.71</v>
      </c>
      <c r="BA64" s="55">
        <f>VLOOKUP(A64,'Profit Loss-Betul-25-26'!$A$9:$V$141,21,0)</f>
        <v>45070</v>
      </c>
      <c r="BB64" s="55"/>
      <c r="BC64" s="56">
        <f t="shared" ref="BC64:BC71" si="146">+AZ64+BA64-BB64</f>
        <v>4256275.71</v>
      </c>
      <c r="BD64" s="65">
        <f t="shared" ref="BD64:BD71" si="147">+BC64-AX64</f>
        <v>442460.41000000015</v>
      </c>
      <c r="BE64" s="55"/>
      <c r="BF64" s="55"/>
    </row>
    <row r="65" spans="1:67" x14ac:dyDescent="0.3">
      <c r="A65" s="10" t="s">
        <v>189</v>
      </c>
      <c r="B65" s="11"/>
      <c r="C65" s="11">
        <f>VLOOKUP(A65,'Profit Loss-Amravati-25-26'!$A$13:$B$190,2,0)</f>
        <v>6052378.4100000001</v>
      </c>
      <c r="D65" s="57"/>
      <c r="E65" s="57"/>
      <c r="F65" s="65">
        <f t="shared" si="143"/>
        <v>6052378.4100000001</v>
      </c>
      <c r="G65" s="11">
        <f>VLOOKUP(A65,'Profit Loss-Amravati-25-26'!$A$9:$D$190,3,0)</f>
        <v>10960900.539999999</v>
      </c>
      <c r="H65" s="57"/>
      <c r="I65" s="57"/>
      <c r="J65" s="56">
        <f t="shared" si="125"/>
        <v>10960900.539999999</v>
      </c>
      <c r="K65" s="65">
        <f t="shared" si="117"/>
        <v>4908522.129999999</v>
      </c>
      <c r="L65" s="55">
        <f>VLOOKUP(A65,'Profit Loss-Amravati-25-26'!$A$9:$F$190,5,0)</f>
        <v>14613109.619999999</v>
      </c>
      <c r="M65" s="55"/>
      <c r="N65" s="55"/>
      <c r="O65" s="56">
        <f t="shared" si="126"/>
        <v>14613109.619999999</v>
      </c>
      <c r="P65" s="65">
        <f t="shared" si="118"/>
        <v>3652209.08</v>
      </c>
      <c r="Q65" s="55">
        <f>VLOOKUP(A65,'Profit Loss-Amravati-25-26'!$A$9:$H$190,7,0)</f>
        <v>23264219.52</v>
      </c>
      <c r="R65" s="55"/>
      <c r="S65" s="55"/>
      <c r="T65" s="56">
        <f t="shared" si="137"/>
        <v>23264219.52</v>
      </c>
      <c r="U65" s="65">
        <f t="shared" si="128"/>
        <v>8651109.9000000004</v>
      </c>
      <c r="V65" s="55">
        <f>VLOOKUP(A65,'Profit Loss-Amravati-25-26'!$A$9:$J$190,9,0)</f>
        <v>26880068.390000001</v>
      </c>
      <c r="W65" s="55"/>
      <c r="X65" s="55"/>
      <c r="Y65" s="56">
        <f t="shared" si="138"/>
        <v>26880068.390000001</v>
      </c>
      <c r="Z65" s="65">
        <f t="shared" si="130"/>
        <v>3615848.870000001</v>
      </c>
      <c r="AA65" s="55">
        <f>VLOOKUP(A65,'Profit Loss-Amravati-25-26'!$A$9:$L$192,11,0)</f>
        <v>33028070.370000001</v>
      </c>
      <c r="AB65" s="55"/>
      <c r="AC65" s="55"/>
      <c r="AD65" s="56">
        <f t="shared" si="131"/>
        <v>33028070.370000001</v>
      </c>
      <c r="AE65" s="65">
        <f t="shared" si="119"/>
        <v>6148001.9800000004</v>
      </c>
      <c r="AF65" s="55">
        <f>VLOOKUP(A65,'Profit Loss-Amravati-25-26'!$A$9:$N$192,13,0)</f>
        <v>36987494.109999999</v>
      </c>
      <c r="AG65" s="55"/>
      <c r="AH65" s="55"/>
      <c r="AI65" s="56">
        <f t="shared" si="132"/>
        <v>36987494.109999999</v>
      </c>
      <c r="AJ65" s="65">
        <f t="shared" si="120"/>
        <v>3959423.7399999984</v>
      </c>
      <c r="AK65" s="55">
        <f>VLOOKUP(A65,'Profit Loss-Amravati-25-26'!$A$9:$P$192,15,0)</f>
        <v>41174308.850000001</v>
      </c>
      <c r="AL65" s="55"/>
      <c r="AM65" s="55"/>
      <c r="AN65" s="56">
        <f t="shared" si="139"/>
        <v>41174308.850000001</v>
      </c>
      <c r="AO65" s="65">
        <f t="shared" si="121"/>
        <v>4186814.7400000021</v>
      </c>
      <c r="AP65" s="55">
        <f>VLOOKUP(A65,'Profit Loss-Amravati-25-26'!$A$9:$R$192,17,0)</f>
        <v>45966285.32</v>
      </c>
      <c r="AQ65" s="55"/>
      <c r="AR65" s="55"/>
      <c r="AS65" s="56">
        <f t="shared" si="140"/>
        <v>45966285.32</v>
      </c>
      <c r="AT65" s="65">
        <f t="shared" si="122"/>
        <v>4791976.4699999988</v>
      </c>
      <c r="AU65" s="55">
        <f>VLOOKUP(A65,'Profit Loss-Amravati-25-26'!$A$9:$T$192,19,0)</f>
        <v>50431955.170000002</v>
      </c>
      <c r="AV65" s="55"/>
      <c r="AW65" s="55"/>
      <c r="AX65" s="56">
        <f t="shared" si="144"/>
        <v>50431955.170000002</v>
      </c>
      <c r="AY65" s="65">
        <f t="shared" si="145"/>
        <v>4465669.8500000015</v>
      </c>
      <c r="AZ65" s="55">
        <f>VLOOKUP(A65,'Profit Loss-Amravati-25-26'!$A$9:$V$192,21,0)</f>
        <v>55409553.969999999</v>
      </c>
      <c r="BA65" s="55"/>
      <c r="BB65" s="55"/>
      <c r="BC65" s="56">
        <f t="shared" si="146"/>
        <v>55409553.969999999</v>
      </c>
      <c r="BD65" s="65">
        <f t="shared" si="147"/>
        <v>4977598.799999997</v>
      </c>
      <c r="BE65" s="55"/>
      <c r="BF65" s="55"/>
    </row>
    <row r="66" spans="1:67" x14ac:dyDescent="0.3">
      <c r="A66" s="10" t="s">
        <v>190</v>
      </c>
      <c r="B66" s="11"/>
      <c r="C66" s="11">
        <f>VLOOKUP(A66,'Profit Loss-Amravati-25-26'!$A$13:$B$190,2,0)</f>
        <v>211799.78</v>
      </c>
      <c r="D66" s="57"/>
      <c r="E66" s="57"/>
      <c r="F66" s="65">
        <f t="shared" si="143"/>
        <v>211799.78</v>
      </c>
      <c r="G66" s="11">
        <f>VLOOKUP(A66,'Profit Loss-Amravati-25-26'!$A$9:$D$190,3,0)</f>
        <v>211799.78</v>
      </c>
      <c r="H66" s="57"/>
      <c r="I66" s="57"/>
      <c r="J66" s="56">
        <f t="shared" si="125"/>
        <v>211799.78</v>
      </c>
      <c r="K66" s="65">
        <f t="shared" si="117"/>
        <v>0</v>
      </c>
      <c r="L66" s="55">
        <f>VLOOKUP(A66,'Profit Loss-Amravati-25-26'!$A$9:$F$190,5,0)</f>
        <v>601203.68000000005</v>
      </c>
      <c r="M66" s="55"/>
      <c r="N66" s="55"/>
      <c r="O66" s="56">
        <f t="shared" si="126"/>
        <v>601203.68000000005</v>
      </c>
      <c r="P66" s="65">
        <f t="shared" si="118"/>
        <v>389403.9</v>
      </c>
      <c r="Q66" s="55">
        <f>VLOOKUP(A66,'Profit Loss-Amravati-25-26'!$A$9:$H$190,7,0)</f>
        <v>601204.02</v>
      </c>
      <c r="R66" s="55"/>
      <c r="S66" s="55"/>
      <c r="T66" s="56">
        <f t="shared" si="137"/>
        <v>601204.02</v>
      </c>
      <c r="U66" s="65">
        <f t="shared" si="128"/>
        <v>0.33999999996740371</v>
      </c>
      <c r="V66" s="55">
        <f>VLOOKUP(A66,'Profit Loss-Amravati-25-26'!$A$9:$J$190,9,0)</f>
        <v>601204.02</v>
      </c>
      <c r="W66" s="55"/>
      <c r="X66" s="55"/>
      <c r="Y66" s="56">
        <f t="shared" si="138"/>
        <v>601204.02</v>
      </c>
      <c r="Z66" s="65">
        <f t="shared" si="130"/>
        <v>0</v>
      </c>
      <c r="AA66" s="55">
        <f>VLOOKUP(A66,'Profit Loss-Amravati-25-26'!$A$9:$L$192,11,0)</f>
        <v>865612.81</v>
      </c>
      <c r="AB66" s="55"/>
      <c r="AC66" s="55"/>
      <c r="AD66" s="56">
        <f t="shared" si="131"/>
        <v>865612.81</v>
      </c>
      <c r="AE66" s="65">
        <f t="shared" si="119"/>
        <v>264408.79000000004</v>
      </c>
      <c r="AF66" s="55">
        <f>VLOOKUP(A66,'Profit Loss-Amravati-25-26'!$A$9:$N$192,13,0)</f>
        <v>1564521.14</v>
      </c>
      <c r="AG66" s="55"/>
      <c r="AH66" s="55"/>
      <c r="AI66" s="56">
        <f t="shared" si="132"/>
        <v>1564521.14</v>
      </c>
      <c r="AJ66" s="65">
        <f t="shared" si="120"/>
        <v>698908.32999999984</v>
      </c>
      <c r="AK66" s="55">
        <f>VLOOKUP(A66,'Profit Loss-Amravati-25-26'!$A$9:$P$192,15,0)</f>
        <v>1664942.14</v>
      </c>
      <c r="AL66" s="55"/>
      <c r="AM66" s="55"/>
      <c r="AN66" s="56">
        <f t="shared" si="139"/>
        <v>1664942.14</v>
      </c>
      <c r="AO66" s="65">
        <f t="shared" si="121"/>
        <v>100421</v>
      </c>
      <c r="AP66" s="55">
        <f>VLOOKUP(A66,'Profit Loss-Amravati-25-26'!$A$9:$R$192,17,0)</f>
        <v>2020313.7</v>
      </c>
      <c r="AQ66" s="55"/>
      <c r="AR66" s="55"/>
      <c r="AS66" s="56">
        <f t="shared" si="140"/>
        <v>2020313.7</v>
      </c>
      <c r="AT66" s="65">
        <f t="shared" si="122"/>
        <v>355371.56000000006</v>
      </c>
      <c r="AU66" s="55">
        <f>VLOOKUP(A66,'Profit Loss-Amravati-25-26'!$A$9:$T$192,19,0)</f>
        <v>2686911.7</v>
      </c>
      <c r="AV66" s="55"/>
      <c r="AW66" s="55"/>
      <c r="AX66" s="56">
        <f t="shared" si="144"/>
        <v>2686911.7</v>
      </c>
      <c r="AY66" s="65">
        <f t="shared" si="145"/>
        <v>666598.00000000023</v>
      </c>
      <c r="AZ66" s="55">
        <f>VLOOKUP(A66,'Profit Loss-Amravati-25-26'!$A$9:$V$192,21,0)</f>
        <v>2728363.18</v>
      </c>
      <c r="BA66" s="55"/>
      <c r="BB66" s="55"/>
      <c r="BC66" s="56">
        <f t="shared" si="146"/>
        <v>2728363.18</v>
      </c>
      <c r="BD66" s="65">
        <f t="shared" si="147"/>
        <v>41451.479999999981</v>
      </c>
      <c r="BE66" s="55"/>
      <c r="BF66" s="55"/>
    </row>
    <row r="67" spans="1:67" x14ac:dyDescent="0.3">
      <c r="A67" s="10" t="s">
        <v>191</v>
      </c>
      <c r="B67" s="11"/>
      <c r="C67" s="11">
        <f>VLOOKUP(A67,'Profit Loss-Amravati-25-26'!$A$13:$B$190,2,0)</f>
        <v>149392.31</v>
      </c>
      <c r="D67" s="57"/>
      <c r="E67" s="57"/>
      <c r="F67" s="65">
        <f t="shared" si="143"/>
        <v>149392.31</v>
      </c>
      <c r="G67" s="11">
        <f>VLOOKUP(A67,'Profit Loss-Amravati-25-26'!$A$9:$D$190,3,0)</f>
        <v>149392.18</v>
      </c>
      <c r="H67" s="57"/>
      <c r="I67" s="57"/>
      <c r="J67" s="56">
        <f t="shared" si="125"/>
        <v>149392.18</v>
      </c>
      <c r="K67" s="80">
        <v>0</v>
      </c>
      <c r="L67" s="55">
        <f>VLOOKUP(A67,'Profit Loss-Amravati-25-26'!$A$9:$F$190,5,0)</f>
        <v>261205.55</v>
      </c>
      <c r="M67" s="55"/>
      <c r="N67" s="55"/>
      <c r="O67" s="56">
        <f t="shared" si="126"/>
        <v>261205.55</v>
      </c>
      <c r="P67" s="65">
        <f t="shared" si="118"/>
        <v>111813.37</v>
      </c>
      <c r="Q67" s="55">
        <f>VLOOKUP(A67,'Profit Loss-Amravati-25-26'!$A$9:$H$190,7,0)</f>
        <v>261205.55</v>
      </c>
      <c r="R67" s="55"/>
      <c r="S67" s="55"/>
      <c r="T67" s="56">
        <f t="shared" si="137"/>
        <v>261205.55</v>
      </c>
      <c r="U67" s="65">
        <f t="shared" si="128"/>
        <v>0</v>
      </c>
      <c r="V67" s="55">
        <f>VLOOKUP(A67,'Profit Loss-Amravati-25-26'!$A$9:$J$190,9,0)</f>
        <v>1140723.55</v>
      </c>
      <c r="W67" s="55"/>
      <c r="X67" s="55"/>
      <c r="Y67" s="56">
        <f t="shared" si="138"/>
        <v>1140723.55</v>
      </c>
      <c r="Z67" s="65">
        <f t="shared" si="130"/>
        <v>879518</v>
      </c>
      <c r="AA67" s="55">
        <f>VLOOKUP(A67,'Profit Loss-Amravati-25-26'!$A$9:$L$192,11,0)</f>
        <v>1183834.8700000001</v>
      </c>
      <c r="AB67" s="55"/>
      <c r="AC67" s="55"/>
      <c r="AD67" s="56">
        <f t="shared" si="131"/>
        <v>1183834.8700000001</v>
      </c>
      <c r="AE67" s="65">
        <f t="shared" si="119"/>
        <v>43111.320000000065</v>
      </c>
      <c r="AF67" s="55">
        <f>VLOOKUP(A67,'Profit Loss-Amravati-25-26'!$A$9:$N$192,13,0)</f>
        <v>1316638.72</v>
      </c>
      <c r="AG67" s="55"/>
      <c r="AH67" s="55"/>
      <c r="AI67" s="56">
        <f t="shared" si="132"/>
        <v>1316638.72</v>
      </c>
      <c r="AJ67" s="65">
        <f t="shared" si="120"/>
        <v>132803.84999999986</v>
      </c>
      <c r="AK67" s="55">
        <f>VLOOKUP(A67,'Profit Loss-Amravati-25-26'!$A$9:$P$192,15,0)</f>
        <v>2087500.58</v>
      </c>
      <c r="AL67" s="55"/>
      <c r="AM67" s="55"/>
      <c r="AN67" s="56">
        <f t="shared" si="139"/>
        <v>2087500.58</v>
      </c>
      <c r="AO67" s="65">
        <f t="shared" si="121"/>
        <v>770861.8600000001</v>
      </c>
      <c r="AP67" s="55">
        <f>VLOOKUP(A67,'Profit Loss-Amravati-25-26'!$A$9:$R$192,17,0)</f>
        <v>2744904.74</v>
      </c>
      <c r="AQ67" s="55"/>
      <c r="AR67" s="55"/>
      <c r="AS67" s="56">
        <f t="shared" si="140"/>
        <v>2744904.74</v>
      </c>
      <c r="AT67" s="65">
        <f t="shared" si="122"/>
        <v>657404.16000000015</v>
      </c>
      <c r="AU67" s="55">
        <f>VLOOKUP(A67,'Profit Loss-Amravati-25-26'!$A$9:$T$192,19,0)</f>
        <v>2744904.74</v>
      </c>
      <c r="AV67" s="55"/>
      <c r="AW67" s="55"/>
      <c r="AX67" s="56">
        <f t="shared" si="144"/>
        <v>2744904.74</v>
      </c>
      <c r="AY67" s="65">
        <f t="shared" si="145"/>
        <v>0</v>
      </c>
      <c r="AZ67" s="55">
        <f>VLOOKUP(A67,'Profit Loss-Amravati-25-26'!$A$9:$V$192,21,0)</f>
        <v>2744904.74</v>
      </c>
      <c r="BA67" s="55"/>
      <c r="BB67" s="55"/>
      <c r="BC67" s="56">
        <f t="shared" si="146"/>
        <v>2744904.74</v>
      </c>
      <c r="BD67" s="65">
        <f t="shared" si="147"/>
        <v>0</v>
      </c>
      <c r="BE67" s="55"/>
      <c r="BF67" s="55"/>
    </row>
    <row r="68" spans="1:67" x14ac:dyDescent="0.3">
      <c r="A68" s="20" t="s">
        <v>69</v>
      </c>
      <c r="B68" s="11">
        <f>VLOOKUP(A68,'Profit Loss-Textile'!$A$8:$B$135,2,0)</f>
        <v>0</v>
      </c>
      <c r="C68" s="11">
        <f>VLOOKUP(A68,'Profit Loss-Amravati-25-26'!$A$13:$B$190,2,0)</f>
        <v>2740</v>
      </c>
      <c r="D68" s="57"/>
      <c r="E68" s="57"/>
      <c r="F68" s="65">
        <f t="shared" si="143"/>
        <v>2740</v>
      </c>
      <c r="G68" s="11">
        <f>VLOOKUP(A68,'Profit Loss-Amravati-25-26'!$A$9:$D$190,3,0)</f>
        <v>11610</v>
      </c>
      <c r="H68" s="57"/>
      <c r="I68" s="57"/>
      <c r="J68" s="56">
        <f t="shared" si="125"/>
        <v>11610</v>
      </c>
      <c r="K68" s="65">
        <f t="shared" si="117"/>
        <v>8870</v>
      </c>
      <c r="L68" s="55">
        <f>VLOOKUP(A68,'Profit Loss-Amravati-25-26'!$A$9:$F$190,5,0)</f>
        <v>100160</v>
      </c>
      <c r="M68" s="55"/>
      <c r="N68" s="55"/>
      <c r="O68" s="56">
        <f t="shared" si="126"/>
        <v>100160</v>
      </c>
      <c r="P68" s="65">
        <f t="shared" si="118"/>
        <v>88550</v>
      </c>
      <c r="Q68" s="55">
        <f>VLOOKUP(A68,'Profit Loss-Amravati-25-26'!$A$9:$H$190,7,0)</f>
        <v>109690</v>
      </c>
      <c r="R68" s="55"/>
      <c r="S68" s="55"/>
      <c r="T68" s="56">
        <f t="shared" si="137"/>
        <v>109690</v>
      </c>
      <c r="U68" s="65">
        <f t="shared" si="128"/>
        <v>9530</v>
      </c>
      <c r="V68" s="55">
        <f>VLOOKUP(A68,'Profit Loss-Amravati-25-26'!$A$9:$J$190,9,0)</f>
        <v>139690</v>
      </c>
      <c r="W68" s="55"/>
      <c r="X68" s="55"/>
      <c r="Y68" s="56">
        <f t="shared" si="138"/>
        <v>139690</v>
      </c>
      <c r="Z68" s="65">
        <f t="shared" si="130"/>
        <v>30000</v>
      </c>
      <c r="AA68" s="55">
        <f>VLOOKUP(A68,'Profit Loss-Amravati-25-26'!$A$9:$L$192,11,0)</f>
        <v>141130</v>
      </c>
      <c r="AB68" s="55"/>
      <c r="AC68" s="55"/>
      <c r="AD68" s="56">
        <f t="shared" si="131"/>
        <v>141130</v>
      </c>
      <c r="AE68" s="65">
        <f t="shared" si="119"/>
        <v>1440</v>
      </c>
      <c r="AF68" s="55">
        <f>VLOOKUP(A68,'Profit Loss-Amravati-25-26'!$A$9:$N$192,13,0)</f>
        <v>145330</v>
      </c>
      <c r="AG68" s="55"/>
      <c r="AH68" s="55"/>
      <c r="AI68" s="56">
        <f t="shared" si="132"/>
        <v>145330</v>
      </c>
      <c r="AJ68" s="65">
        <f t="shared" si="120"/>
        <v>4200</v>
      </c>
      <c r="AK68" s="55">
        <f>VLOOKUP(A68,'Profit Loss-Amravati-25-26'!$A$9:$P$192,15,0)</f>
        <v>145330</v>
      </c>
      <c r="AL68" s="55"/>
      <c r="AM68" s="55"/>
      <c r="AN68" s="56">
        <f t="shared" si="139"/>
        <v>145330</v>
      </c>
      <c r="AO68" s="65">
        <f t="shared" si="121"/>
        <v>0</v>
      </c>
      <c r="AP68" s="55">
        <f>VLOOKUP(A68,'Profit Loss-Amravati-25-26'!$A$9:$R$192,17,0)</f>
        <v>152770</v>
      </c>
      <c r="AQ68" s="55"/>
      <c r="AR68" s="55"/>
      <c r="AS68" s="56">
        <f t="shared" si="140"/>
        <v>152770</v>
      </c>
      <c r="AT68" s="65">
        <f t="shared" si="122"/>
        <v>7440</v>
      </c>
      <c r="AU68" s="55">
        <f>VLOOKUP(A68,'Profit Loss-Amravati-25-26'!$A$9:$T$192,19,0)</f>
        <v>152770</v>
      </c>
      <c r="AV68" s="55"/>
      <c r="AW68" s="55"/>
      <c r="AX68" s="56">
        <f t="shared" si="144"/>
        <v>152770</v>
      </c>
      <c r="AY68" s="65">
        <f t="shared" si="145"/>
        <v>0</v>
      </c>
      <c r="AZ68" s="55">
        <f>VLOOKUP(A68,'Profit Loss-Amravati-25-26'!$A$9:$V$192,21,0)</f>
        <v>152770</v>
      </c>
      <c r="BA68" s="55"/>
      <c r="BB68" s="55"/>
      <c r="BC68" s="56">
        <f t="shared" si="146"/>
        <v>152770</v>
      </c>
      <c r="BD68" s="65">
        <f t="shared" si="147"/>
        <v>0</v>
      </c>
      <c r="BE68" s="55"/>
      <c r="BF68" s="55"/>
    </row>
    <row r="69" spans="1:67" x14ac:dyDescent="0.3">
      <c r="A69" s="10" t="s">
        <v>198</v>
      </c>
      <c r="B69" s="11"/>
      <c r="C69" s="11">
        <f>VLOOKUP(A69,'Profit Loss-Amravati-25-26'!$A$13:$B$190,2,0)</f>
        <v>31619</v>
      </c>
      <c r="D69" s="57"/>
      <c r="E69" s="57"/>
      <c r="F69" s="65">
        <f t="shared" si="143"/>
        <v>31619</v>
      </c>
      <c r="G69" s="11">
        <f>VLOOKUP(A69,'Profit Loss-Amravati-25-26'!$A$9:$D$190,3,0)</f>
        <v>34440</v>
      </c>
      <c r="H69" s="57"/>
      <c r="I69" s="57"/>
      <c r="J69" s="56">
        <f t="shared" si="125"/>
        <v>34440</v>
      </c>
      <c r="K69" s="65">
        <f t="shared" si="117"/>
        <v>2821</v>
      </c>
      <c r="L69" s="55">
        <f>VLOOKUP(A69,'Profit Loss-Amravati-25-26'!$A$9:$F$190,5,0)</f>
        <v>314381.98</v>
      </c>
      <c r="M69" s="55"/>
      <c r="N69" s="55"/>
      <c r="O69" s="56">
        <f t="shared" si="126"/>
        <v>314381.98</v>
      </c>
      <c r="P69" s="65">
        <f t="shared" si="118"/>
        <v>279941.98</v>
      </c>
      <c r="Q69" s="55">
        <f>VLOOKUP(A69,'Profit Loss-Amravati-25-26'!$A$9:$H$190,7,0)</f>
        <v>324058.98</v>
      </c>
      <c r="R69" s="55"/>
      <c r="S69" s="55"/>
      <c r="T69" s="56">
        <f t="shared" si="137"/>
        <v>324058.98</v>
      </c>
      <c r="U69" s="65">
        <f t="shared" si="128"/>
        <v>9677</v>
      </c>
      <c r="V69" s="55">
        <f>VLOOKUP(A69,'Profit Loss-Amravati-25-26'!$A$9:$J$190,9,0)</f>
        <v>432611.98</v>
      </c>
      <c r="W69" s="55"/>
      <c r="X69" s="55"/>
      <c r="Y69" s="56">
        <f t="shared" si="138"/>
        <v>432611.98</v>
      </c>
      <c r="Z69" s="65">
        <f t="shared" si="130"/>
        <v>108553</v>
      </c>
      <c r="AA69" s="55">
        <f>VLOOKUP(A69,'Profit Loss-Amravati-25-26'!$A$9:$L$192,11,0)</f>
        <v>445689.98</v>
      </c>
      <c r="AB69" s="55"/>
      <c r="AC69" s="55"/>
      <c r="AD69" s="56">
        <f t="shared" si="131"/>
        <v>445689.98</v>
      </c>
      <c r="AE69" s="65">
        <f t="shared" si="119"/>
        <v>13078</v>
      </c>
      <c r="AF69" s="55">
        <f>VLOOKUP(A69,'Profit Loss-Amravati-25-26'!$A$9:$N$192,13,0)</f>
        <v>559064.98</v>
      </c>
      <c r="AG69" s="55"/>
      <c r="AH69" s="55"/>
      <c r="AI69" s="56">
        <f t="shared" si="132"/>
        <v>559064.98</v>
      </c>
      <c r="AJ69" s="65">
        <f t="shared" si="120"/>
        <v>113375</v>
      </c>
      <c r="AK69" s="55">
        <f>VLOOKUP(A69,'Profit Loss-Amravati-25-26'!$A$9:$P$192,15,0)</f>
        <v>581312.84</v>
      </c>
      <c r="AL69" s="55"/>
      <c r="AM69" s="55"/>
      <c r="AN69" s="56">
        <f t="shared" si="139"/>
        <v>581312.84</v>
      </c>
      <c r="AO69" s="65">
        <f t="shared" si="121"/>
        <v>22247.859999999986</v>
      </c>
      <c r="AP69" s="55">
        <f>VLOOKUP(A69,'Profit Loss-Amravati-25-26'!$A$9:$R$192,17,0)</f>
        <v>603849.48</v>
      </c>
      <c r="AQ69" s="55"/>
      <c r="AR69" s="55"/>
      <c r="AS69" s="56">
        <f t="shared" si="140"/>
        <v>603849.48</v>
      </c>
      <c r="AT69" s="65">
        <f t="shared" si="122"/>
        <v>22536.640000000014</v>
      </c>
      <c r="AU69" s="55">
        <f>VLOOKUP(A69,'Profit Loss-Amravati-25-26'!$A$9:$T$192,19,0)</f>
        <v>639212.43999999994</v>
      </c>
      <c r="AV69" s="55"/>
      <c r="AW69" s="55"/>
      <c r="AX69" s="56">
        <f t="shared" si="144"/>
        <v>639212.43999999994</v>
      </c>
      <c r="AY69" s="65">
        <f t="shared" si="145"/>
        <v>35362.959999999963</v>
      </c>
      <c r="AZ69" s="55">
        <f>VLOOKUP(A69,'Profit Loss-Amravati-25-26'!$A$9:$V$192,21,0)</f>
        <v>701107.44</v>
      </c>
      <c r="BA69" s="55"/>
      <c r="BB69" s="55"/>
      <c r="BC69" s="56">
        <f t="shared" si="146"/>
        <v>701107.44</v>
      </c>
      <c r="BD69" s="65">
        <f t="shared" si="147"/>
        <v>61895</v>
      </c>
      <c r="BE69" s="55"/>
      <c r="BF69" s="55"/>
    </row>
    <row r="70" spans="1:67" x14ac:dyDescent="0.3">
      <c r="A70" s="10" t="s">
        <v>199</v>
      </c>
      <c r="B70" s="11"/>
      <c r="C70" s="11">
        <f>VLOOKUP(A70,'Profit Loss-Amravati-25-26'!$A$13:$B$190,2,0)</f>
        <v>2021221.8</v>
      </c>
      <c r="D70" s="57"/>
      <c r="E70" s="57"/>
      <c r="F70" s="65">
        <f t="shared" si="143"/>
        <v>2021221.8</v>
      </c>
      <c r="G70" s="11">
        <f>VLOOKUP(A70,'Profit Loss-Amravati-25-26'!$A$9:$D$190,3,0)</f>
        <v>2841923.8</v>
      </c>
      <c r="H70" s="57"/>
      <c r="I70" s="57"/>
      <c r="J70" s="56">
        <f t="shared" si="125"/>
        <v>2841923.8</v>
      </c>
      <c r="K70" s="65">
        <f t="shared" si="117"/>
        <v>820701.99999999977</v>
      </c>
      <c r="L70" s="55">
        <f>VLOOKUP(A70,'Profit Loss-Amravati-25-26'!$A$9:$F$190,5,0)</f>
        <v>3962292.2</v>
      </c>
      <c r="M70" s="55"/>
      <c r="N70" s="55"/>
      <c r="O70" s="56">
        <f t="shared" si="126"/>
        <v>3962292.2</v>
      </c>
      <c r="P70" s="65">
        <f t="shared" si="118"/>
        <v>1120368.4000000004</v>
      </c>
      <c r="Q70" s="55">
        <f>VLOOKUP(A70,'Profit Loss-Amravati-25-26'!$A$9:$H$190,7,0)</f>
        <v>7942144.5999999996</v>
      </c>
      <c r="R70" s="55"/>
      <c r="S70" s="55"/>
      <c r="T70" s="56">
        <f t="shared" si="137"/>
        <v>7942144.5999999996</v>
      </c>
      <c r="U70" s="65">
        <f t="shared" si="128"/>
        <v>3979852.3999999994</v>
      </c>
      <c r="V70" s="55">
        <f>VLOOKUP(A70,'Profit Loss-Amravati-25-26'!$A$9:$J$190,9,0)</f>
        <v>10354343.5</v>
      </c>
      <c r="W70" s="55"/>
      <c r="X70" s="55"/>
      <c r="Y70" s="56">
        <f t="shared" si="138"/>
        <v>10354343.5</v>
      </c>
      <c r="Z70" s="65">
        <f t="shared" si="130"/>
        <v>2412198.9000000004</v>
      </c>
      <c r="AA70" s="55">
        <f>VLOOKUP(A70,'Profit Loss-Amravati-25-26'!$A$9:$L$192,11,0)</f>
        <v>13260812.98</v>
      </c>
      <c r="AB70" s="55"/>
      <c r="AC70" s="55"/>
      <c r="AD70" s="56">
        <f t="shared" si="131"/>
        <v>13260812.98</v>
      </c>
      <c r="AE70" s="65">
        <f t="shared" si="119"/>
        <v>2906469.4800000004</v>
      </c>
      <c r="AF70" s="55">
        <f>VLOOKUP(A70,'Profit Loss-Amravati-25-26'!$A$9:$N$192,13,0)</f>
        <v>19834440.98</v>
      </c>
      <c r="AG70" s="55"/>
      <c r="AH70" s="55"/>
      <c r="AI70" s="56">
        <f t="shared" si="132"/>
        <v>19834440.98</v>
      </c>
      <c r="AJ70" s="65">
        <f t="shared" si="120"/>
        <v>6573628</v>
      </c>
      <c r="AK70" s="55">
        <f>VLOOKUP(A70,'Profit Loss-Amravati-25-26'!$A$9:$P$192,15,0)</f>
        <v>21276764.079999998</v>
      </c>
      <c r="AL70" s="55"/>
      <c r="AM70" s="55"/>
      <c r="AN70" s="56">
        <f t="shared" si="139"/>
        <v>21276764.079999998</v>
      </c>
      <c r="AO70" s="65">
        <f t="shared" si="121"/>
        <v>1442323.0999999978</v>
      </c>
      <c r="AP70" s="55">
        <f>VLOOKUP(A70,'Profit Loss-Amravati-25-26'!$A$9:$R$192,17,0)</f>
        <v>22496108.77</v>
      </c>
      <c r="AQ70" s="55"/>
      <c r="AR70" s="55"/>
      <c r="AS70" s="56">
        <f t="shared" si="140"/>
        <v>22496108.77</v>
      </c>
      <c r="AT70" s="65">
        <f t="shared" si="122"/>
        <v>1219344.6900000013</v>
      </c>
      <c r="AU70" s="55">
        <f>VLOOKUP(A70,'Profit Loss-Amravati-25-26'!$A$9:$T$192,19,0)</f>
        <v>23705684.18</v>
      </c>
      <c r="AV70" s="55">
        <f>VLOOKUP(A70,'Profit Loss-Betul-25-26'!$A$9:$T$141,19,0)</f>
        <v>50381.2</v>
      </c>
      <c r="AW70" s="55"/>
      <c r="AX70" s="56">
        <f t="shared" si="144"/>
        <v>23756065.379999999</v>
      </c>
      <c r="AY70" s="65">
        <f t="shared" si="145"/>
        <v>1259956.6099999994</v>
      </c>
      <c r="AZ70" s="55">
        <f>VLOOKUP(A70,'Profit Loss-Amravati-25-26'!$A$9:$V$192,21,0)</f>
        <v>25013475.18</v>
      </c>
      <c r="BA70" s="55">
        <f>VLOOKUP(A70,'Profit Loss-Betul-25-26'!$A$9:$V$141,21,0)</f>
        <v>142097.9</v>
      </c>
      <c r="BB70" s="55"/>
      <c r="BC70" s="56">
        <f t="shared" si="146"/>
        <v>25155573.079999998</v>
      </c>
      <c r="BD70" s="65">
        <f t="shared" si="147"/>
        <v>1399507.6999999993</v>
      </c>
      <c r="BE70" s="55"/>
      <c r="BF70" s="55"/>
    </row>
    <row r="71" spans="1:67" x14ac:dyDescent="0.3">
      <c r="A71" s="10" t="s">
        <v>49</v>
      </c>
      <c r="B71" s="11"/>
      <c r="C71" s="11">
        <f>VLOOKUP(A71,'Profit Loss-Amravati-25-26'!$A$13:$B$190,2,0)</f>
        <v>155824387</v>
      </c>
      <c r="D71" s="57"/>
      <c r="E71" s="57"/>
      <c r="F71" s="65">
        <f t="shared" si="143"/>
        <v>155824387</v>
      </c>
      <c r="G71" s="11">
        <f>VLOOKUP(A71,'Profit Loss-Amravati-25-26'!$A$9:$D$190,3,0)</f>
        <v>160389511</v>
      </c>
      <c r="H71" s="57"/>
      <c r="I71" s="57"/>
      <c r="J71" s="56">
        <f t="shared" si="125"/>
        <v>160389511</v>
      </c>
      <c r="K71" s="65">
        <f t="shared" si="117"/>
        <v>4565124</v>
      </c>
      <c r="L71" s="55">
        <f>VLOOKUP(A71,'Profit Loss-Amravati-25-26'!$A$9:$F$190,5,0)</f>
        <v>163256804</v>
      </c>
      <c r="M71" s="55">
        <f>VLOOKUP(A71,'Profit Loss-Betul-25-26'!$A$9:$F$141,5,0)</f>
        <v>0</v>
      </c>
      <c r="N71" s="55"/>
      <c r="O71" s="56">
        <f t="shared" si="126"/>
        <v>163256804</v>
      </c>
      <c r="P71" s="65">
        <f t="shared" si="118"/>
        <v>2867293</v>
      </c>
      <c r="Q71" s="55">
        <f>VLOOKUP(A71,'Profit Loss-Amravati-25-26'!$A$9:$H$190,7,0)</f>
        <v>158466808.09999999</v>
      </c>
      <c r="R71" s="55"/>
      <c r="S71" s="55"/>
      <c r="T71" s="56">
        <f t="shared" si="137"/>
        <v>158466808.09999999</v>
      </c>
      <c r="U71" s="65">
        <f t="shared" si="128"/>
        <v>-4789995.900000006</v>
      </c>
      <c r="V71" s="55">
        <f>VLOOKUP(A71,'Profit Loss-Amravati-25-26'!$A$9:$J$190,9,0)+8299564</f>
        <v>160577418.14400002</v>
      </c>
      <c r="W71" s="55">
        <f>VLOOKUP(A71,'Profit Loss-Betul-25-26'!$A$9:$J$141,9,0)</f>
        <v>0</v>
      </c>
      <c r="X71" s="55"/>
      <c r="Y71" s="56">
        <f t="shared" si="138"/>
        <v>160577418.14400002</v>
      </c>
      <c r="Z71" s="65">
        <f t="shared" si="130"/>
        <v>2110610.0440000296</v>
      </c>
      <c r="AA71" s="55">
        <f>VLOOKUP(A71,'Profit Loss-Amravati-25-26'!$A$9:$L$192,11,0)</f>
        <v>161430162</v>
      </c>
      <c r="AB71" s="55"/>
      <c r="AC71" s="55"/>
      <c r="AD71" s="56">
        <f t="shared" si="131"/>
        <v>161430162</v>
      </c>
      <c r="AE71" s="65">
        <f t="shared" si="119"/>
        <v>852743.8559999764</v>
      </c>
      <c r="AF71" s="55">
        <f>VLOOKUP(A71,'Profit Loss-Amravati-25-26'!$A$9:$N$192,13,0)</f>
        <v>167843857</v>
      </c>
      <c r="AG71" s="55">
        <f>VLOOKUP(A71,'Profit Loss-Betul-25-26'!$A$9:$N$141,13,0)</f>
        <v>0</v>
      </c>
      <c r="AH71" s="55"/>
      <c r="AI71" s="56">
        <f t="shared" si="132"/>
        <v>167843857</v>
      </c>
      <c r="AJ71" s="65">
        <f t="shared" si="120"/>
        <v>6413695</v>
      </c>
      <c r="AK71" s="55">
        <f>VLOOKUP(A71,'Profit Loss-Amravati-25-26'!$A$9:$P$192,15,0)</f>
        <v>182285500</v>
      </c>
      <c r="AL71" s="55">
        <f>VLOOKUP(A71,'Profit Loss-Betul-25-26'!$A$9:$P$141,15,0)</f>
        <v>0</v>
      </c>
      <c r="AM71" s="55"/>
      <c r="AN71" s="56">
        <f t="shared" si="139"/>
        <v>182285500</v>
      </c>
      <c r="AO71" s="65">
        <f t="shared" si="121"/>
        <v>14441643</v>
      </c>
      <c r="AP71" s="55">
        <f>VLOOKUP(A71,'Profit Loss-Amravati-25-26'!$A$9:$R$192,17,0)</f>
        <v>170675054</v>
      </c>
      <c r="AQ71" s="55">
        <f>VLOOKUP(A71,'Profit Loss-Betul-25-26'!$A$9:$R$141,17,0)</f>
        <v>0</v>
      </c>
      <c r="AR71" s="55"/>
      <c r="AS71" s="56">
        <f t="shared" si="140"/>
        <v>170675054</v>
      </c>
      <c r="AT71" s="65">
        <f t="shared" si="122"/>
        <v>-11610446</v>
      </c>
      <c r="AU71" s="55">
        <f>VLOOKUP(A71,'Profit Loss-Amravati-25-26'!$A$9:$T$192,19,0)</f>
        <v>188518905.493848</v>
      </c>
      <c r="AV71" s="55">
        <f>VLOOKUP(A71,'Profit Loss-Betul-25-26'!$A$9:$T$141,19,0)</f>
        <v>0</v>
      </c>
      <c r="AW71" s="55"/>
      <c r="AX71" s="56">
        <f t="shared" si="144"/>
        <v>188518905.493848</v>
      </c>
      <c r="AY71" s="65">
        <f t="shared" si="145"/>
        <v>17843851.493847996</v>
      </c>
      <c r="AZ71" s="55">
        <f>VLOOKUP(A71,'Profit Loss-Amravati-25-26'!$A$9:$V$192,21,0)</f>
        <v>169525758</v>
      </c>
      <c r="BA71" s="55">
        <f>VLOOKUP(A71,'Profit Loss-Betul-25-26'!$A$9:$V$141,21,0)</f>
        <v>0</v>
      </c>
      <c r="BB71" s="55"/>
      <c r="BC71" s="56">
        <f t="shared" si="146"/>
        <v>169525758</v>
      </c>
      <c r="BD71" s="65">
        <f t="shared" si="147"/>
        <v>-18993147.493847996</v>
      </c>
      <c r="BE71" s="55"/>
      <c r="BF71" s="55"/>
    </row>
    <row r="72" spans="1:67" x14ac:dyDescent="0.3">
      <c r="A72" s="13" t="s">
        <v>50</v>
      </c>
      <c r="B72" s="14">
        <f>SUM(B51:B71)-B71</f>
        <v>0</v>
      </c>
      <c r="C72" s="14">
        <f>SUM(C51:C70)-C71</f>
        <v>41072510.630000025</v>
      </c>
      <c r="D72" s="14">
        <f>SUM(D51:D70)-D71</f>
        <v>0</v>
      </c>
      <c r="E72" s="58"/>
      <c r="F72" s="58">
        <f t="shared" ref="F72:AK72" si="148">SUM(F51:F70)-F71</f>
        <v>39570638.630000025</v>
      </c>
      <c r="G72" s="14">
        <f t="shared" si="148"/>
        <v>97292996.25</v>
      </c>
      <c r="H72" s="14">
        <f t="shared" si="148"/>
        <v>0</v>
      </c>
      <c r="I72" s="14">
        <f t="shared" si="148"/>
        <v>-2501098</v>
      </c>
      <c r="J72" s="58">
        <f t="shared" si="148"/>
        <v>94791898.25</v>
      </c>
      <c r="K72" s="58">
        <f t="shared" si="148"/>
        <v>55221259.75</v>
      </c>
      <c r="L72" s="58">
        <f t="shared" si="148"/>
        <v>154546147.28000003</v>
      </c>
      <c r="M72" s="58">
        <f t="shared" si="148"/>
        <v>0</v>
      </c>
      <c r="N72" s="58">
        <f t="shared" si="148"/>
        <v>-5286179</v>
      </c>
      <c r="O72" s="58">
        <f t="shared" si="148"/>
        <v>149259968.28000003</v>
      </c>
      <c r="P72" s="58">
        <f t="shared" si="148"/>
        <v>54468070.029999986</v>
      </c>
      <c r="Q72" s="58">
        <f t="shared" si="148"/>
        <v>224430485.14000002</v>
      </c>
      <c r="R72" s="58">
        <f t="shared" si="148"/>
        <v>400</v>
      </c>
      <c r="S72" s="58">
        <f t="shared" si="148"/>
        <v>-9026583</v>
      </c>
      <c r="T72" s="58">
        <f t="shared" si="148"/>
        <v>215404302.14000002</v>
      </c>
      <c r="U72" s="58">
        <f t="shared" si="148"/>
        <v>66144333.860000014</v>
      </c>
      <c r="V72" s="58">
        <f t="shared" si="148"/>
        <v>279622210.66600001</v>
      </c>
      <c r="W72" s="58">
        <f t="shared" si="148"/>
        <v>400</v>
      </c>
      <c r="X72" s="58">
        <f t="shared" si="148"/>
        <v>-12193532</v>
      </c>
      <c r="Y72" s="58">
        <f t="shared" si="148"/>
        <v>267429078.66599998</v>
      </c>
      <c r="Z72" s="14">
        <f t="shared" si="148"/>
        <v>52024776.525999971</v>
      </c>
      <c r="AA72" s="58">
        <f t="shared" si="148"/>
        <v>354175620.52000004</v>
      </c>
      <c r="AB72" s="58">
        <f t="shared" si="148"/>
        <v>400</v>
      </c>
      <c r="AC72" s="58">
        <f t="shared" si="148"/>
        <v>-15382914</v>
      </c>
      <c r="AD72" s="58">
        <f t="shared" si="148"/>
        <v>338793106.52000004</v>
      </c>
      <c r="AE72" s="14">
        <f t="shared" si="148"/>
        <v>71364027.854000017</v>
      </c>
      <c r="AF72" s="58">
        <f t="shared" si="148"/>
        <v>411854455.36000001</v>
      </c>
      <c r="AG72" s="58">
        <f t="shared" si="148"/>
        <v>1470</v>
      </c>
      <c r="AH72" s="58">
        <f t="shared" si="148"/>
        <v>16435708</v>
      </c>
      <c r="AI72" s="58">
        <f t="shared" si="148"/>
        <v>395420217.36000001</v>
      </c>
      <c r="AJ72" s="14">
        <f t="shared" si="148"/>
        <v>56627110.839999981</v>
      </c>
      <c r="AK72" s="58">
        <f t="shared" si="148"/>
        <v>513349464.64000022</v>
      </c>
      <c r="AL72" s="58">
        <f t="shared" ref="AL72:BD72" si="149">SUM(AL51:AL70)-AL71</f>
        <v>13190</v>
      </c>
      <c r="AM72" s="58">
        <f t="shared" si="149"/>
        <v>18524580</v>
      </c>
      <c r="AN72" s="58">
        <f t="shared" si="149"/>
        <v>494838074.64000022</v>
      </c>
      <c r="AO72" s="14">
        <f t="shared" si="149"/>
        <v>99417857.280000031</v>
      </c>
      <c r="AP72" s="58">
        <f t="shared" si="149"/>
        <v>654414789.66999996</v>
      </c>
      <c r="AQ72" s="58">
        <f t="shared" si="149"/>
        <v>47440</v>
      </c>
      <c r="AR72" s="58">
        <f t="shared" si="149"/>
        <v>21712831</v>
      </c>
      <c r="AS72" s="58">
        <f t="shared" si="149"/>
        <v>632749398.66999996</v>
      </c>
      <c r="AT72" s="14">
        <f t="shared" si="149"/>
        <v>137911324.02999997</v>
      </c>
      <c r="AU72" s="58">
        <f t="shared" si="149"/>
        <v>724729486.09615195</v>
      </c>
      <c r="AV72" s="58">
        <f t="shared" si="149"/>
        <v>97821.2</v>
      </c>
      <c r="AW72" s="58">
        <f t="shared" si="149"/>
        <v>25000388</v>
      </c>
      <c r="AX72" s="58">
        <f t="shared" si="149"/>
        <v>699826919.296152</v>
      </c>
      <c r="AY72" s="14">
        <f t="shared" si="149"/>
        <v>67077520.626152039</v>
      </c>
      <c r="AZ72" s="58">
        <f t="shared" si="149"/>
        <v>812257937.75999999</v>
      </c>
      <c r="BA72" s="58">
        <f t="shared" si="149"/>
        <v>189537.9</v>
      </c>
      <c r="BB72" s="58">
        <f t="shared" si="149"/>
        <v>27034065</v>
      </c>
      <c r="BC72" s="58">
        <f t="shared" si="149"/>
        <v>785413410.66000009</v>
      </c>
      <c r="BD72" s="14">
        <f t="shared" si="149"/>
        <v>85586491.363847911</v>
      </c>
      <c r="BE72" s="71">
        <f>+BC72-AX72-BD72</f>
        <v>1.7881393432617188E-7</v>
      </c>
      <c r="BF72" s="71"/>
      <c r="BM72" s="55"/>
      <c r="BO72" s="55"/>
    </row>
    <row r="73" spans="1:67" x14ac:dyDescent="0.3">
      <c r="A73" s="21" t="s">
        <v>340</v>
      </c>
      <c r="B73" s="22"/>
      <c r="C73" s="22">
        <f>C47-C72</f>
        <v>8547051.8199999779</v>
      </c>
      <c r="D73" s="61">
        <f>D47-D72</f>
        <v>1501872</v>
      </c>
      <c r="E73" s="61"/>
      <c r="F73" s="61">
        <f>F47-F72</f>
        <v>10048923.819999978</v>
      </c>
      <c r="G73" s="22">
        <f>G47-G72</f>
        <v>16499377.450000003</v>
      </c>
      <c r="H73" s="61">
        <f>H47-H72</f>
        <v>2501098</v>
      </c>
      <c r="I73" s="61"/>
      <c r="J73" s="22">
        <f>J47-J72</f>
        <v>19000475.450000003</v>
      </c>
      <c r="K73" s="22">
        <f>K47-K72</f>
        <v>8951551.5</v>
      </c>
      <c r="L73" s="22">
        <f>L47-L72</f>
        <v>15970584.98999995</v>
      </c>
      <c r="M73" s="22">
        <f>M47-M72</f>
        <v>5273679</v>
      </c>
      <c r="N73" s="22"/>
      <c r="O73" s="22">
        <f>O47-O72</f>
        <v>21244263.98999995</v>
      </c>
      <c r="P73" s="22">
        <f>P47-P72</f>
        <v>2243788.5400000066</v>
      </c>
      <c r="Q73" s="22">
        <f>Q47-Q72</f>
        <v>36500231.449999988</v>
      </c>
      <c r="R73" s="22">
        <f>R47-R72</f>
        <v>9013683.0099999998</v>
      </c>
      <c r="S73" s="22"/>
      <c r="T73" s="22">
        <f>T47-T72</f>
        <v>45161587.449999988</v>
      </c>
      <c r="U73" s="22">
        <f>U47-U72</f>
        <v>23917323.459999993</v>
      </c>
      <c r="V73" s="22">
        <f>V47-V72</f>
        <v>44516954.963999987</v>
      </c>
      <c r="W73" s="22">
        <f>W47-W72</f>
        <v>12180632.01</v>
      </c>
      <c r="X73" s="22"/>
      <c r="Y73" s="22">
        <f>Y47-Y72</f>
        <v>46830223.964000016</v>
      </c>
      <c r="Z73" s="22">
        <f>Z47-Z72</f>
        <v>1668636.5140000433</v>
      </c>
      <c r="AA73" s="22">
        <f>AA47-AA72</f>
        <v>47060664.409999907</v>
      </c>
      <c r="AB73" s="22">
        <f>AB47-AB72</f>
        <v>15370014.01</v>
      </c>
      <c r="AC73" s="22"/>
      <c r="AD73" s="22">
        <f>AD47-AD72</f>
        <v>62430678.409999907</v>
      </c>
      <c r="AE73" s="22">
        <f>AE47-AE72</f>
        <v>15600454.445999935</v>
      </c>
      <c r="AF73" s="22">
        <f>AF47-AF72</f>
        <v>48511171.889999986</v>
      </c>
      <c r="AG73" s="22">
        <f>AG47-AG72</f>
        <v>16403738.01</v>
      </c>
      <c r="AH73" s="22"/>
      <c r="AI73" s="22">
        <f>AI47-AI72</f>
        <v>64914909.889999986</v>
      </c>
      <c r="AJ73" s="22">
        <f>AJ47-AJ72</f>
        <v>2484231.4800000563</v>
      </c>
      <c r="AK73" s="22">
        <f>AK47-AK72</f>
        <v>81365461.419199824</v>
      </c>
      <c r="AL73" s="22">
        <f>AL47-AL72</f>
        <v>18492890.02</v>
      </c>
      <c r="AM73" s="22"/>
      <c r="AN73" s="22">
        <f>AN47-AN72</f>
        <v>99858351.419199824</v>
      </c>
      <c r="AO73" s="22">
        <f>AO47-AO72</f>
        <v>34943441.529199958</v>
      </c>
      <c r="AP73" s="22">
        <f>AP47-AP72</f>
        <v>111841393.58999991</v>
      </c>
      <c r="AQ73" s="22">
        <f>AQ47-AQ72</f>
        <v>21646891.010000002</v>
      </c>
      <c r="AR73" s="22"/>
      <c r="AS73" s="22">
        <f>AS47-AS72</f>
        <v>133488284.58999991</v>
      </c>
      <c r="AT73" s="22">
        <f>AT47-AT72</f>
        <v>33629933.1708</v>
      </c>
      <c r="AU73" s="22">
        <f>AU47-AU72</f>
        <v>116856769.11384809</v>
      </c>
      <c r="AV73" s="22">
        <f>AV47-AV72</f>
        <v>24884066.810000002</v>
      </c>
      <c r="AW73" s="22"/>
      <c r="AX73" s="22">
        <f>AX47-AX72</f>
        <v>141740835.91384804</v>
      </c>
      <c r="AY73" s="22">
        <f>AY47-AY72</f>
        <v>8252551.3238480389</v>
      </c>
      <c r="AZ73" s="22">
        <f>AZ47-AZ72</f>
        <v>119316470.29999995</v>
      </c>
      <c r="BA73" s="22">
        <f>BA47-BA72</f>
        <v>26826027.110000003</v>
      </c>
      <c r="BB73" s="22"/>
      <c r="BC73" s="22">
        <f>BC47-BC72</f>
        <v>146142497.39999986</v>
      </c>
      <c r="BD73" s="22">
        <f>BD47-BD72</f>
        <v>4401661.4861520231</v>
      </c>
      <c r="BE73" s="71">
        <f>+BC73-AX73-BD73</f>
        <v>-2.0861625671386719E-7</v>
      </c>
      <c r="BF73" s="71"/>
    </row>
    <row r="74" spans="1:67" x14ac:dyDescent="0.3">
      <c r="A74" s="21" t="s">
        <v>341</v>
      </c>
      <c r="B74" s="23"/>
      <c r="C74" s="23">
        <f>+C73/C47*100</f>
        <v>17.225165636260016</v>
      </c>
      <c r="D74" s="23">
        <v>0</v>
      </c>
      <c r="E74" s="62"/>
      <c r="F74" s="62">
        <f>+F73/F47*100</f>
        <v>20.251939605726971</v>
      </c>
      <c r="G74" s="23">
        <f>+G73/G47*100</f>
        <v>14.49954589531513</v>
      </c>
      <c r="H74" s="23">
        <v>0</v>
      </c>
      <c r="I74" s="62"/>
      <c r="J74" s="23">
        <f>+J73/J47*100</f>
        <v>16.697494596687548</v>
      </c>
      <c r="K74" s="23">
        <f>+K73/K47*100</f>
        <v>13.94913410467116</v>
      </c>
      <c r="L74" s="23">
        <f>+L73/L47*100</f>
        <v>9.365992872014326</v>
      </c>
      <c r="M74" s="23">
        <f>+M73/M47*100</f>
        <v>100</v>
      </c>
      <c r="N74" s="23"/>
      <c r="O74" s="23">
        <f>+O73/O47*100</f>
        <v>12.459669597150436</v>
      </c>
      <c r="P74" s="23">
        <f>+P73/P47*100</f>
        <v>3.9564715327226962</v>
      </c>
      <c r="Q74" s="23">
        <f>+Q73/Q47*100</f>
        <v>13.988476300148573</v>
      </c>
      <c r="R74" s="23">
        <f>+R73/R47*100</f>
        <v>99.995562499263031</v>
      </c>
      <c r="S74" s="23"/>
      <c r="T74" s="23">
        <f>+T73/T47*100</f>
        <v>17.332117999428732</v>
      </c>
      <c r="U74" s="23">
        <f>+U73/U47*100</f>
        <v>26.556610406378418</v>
      </c>
      <c r="V74" s="23">
        <f>+V73/V47*100</f>
        <v>13.73390188053221</v>
      </c>
      <c r="W74" s="23">
        <f>+W73/W47*100</f>
        <v>99.996716205985905</v>
      </c>
      <c r="X74" s="23"/>
      <c r="Y74" s="23">
        <f>+Y73/Y47*100</f>
        <v>14.901778108741173</v>
      </c>
      <c r="Z74" s="23">
        <f>+Z73/Z47*100</f>
        <v>3.1077117648620289</v>
      </c>
      <c r="AA74" s="23">
        <f>+AA73/AA47*100</f>
        <v>11.728915399117044</v>
      </c>
      <c r="AB74" s="23">
        <f>+AB73/AB47*100</f>
        <v>99.997397597750208</v>
      </c>
      <c r="AC74" s="23"/>
      <c r="AD74" s="23">
        <f>+AD73/AD47*100</f>
        <v>15.56006417238997</v>
      </c>
      <c r="AE74" s="23">
        <f>+AE73/AE47*100</f>
        <v>17.938880372084899</v>
      </c>
      <c r="AF74" s="23">
        <f>+AF73/AF47*100</f>
        <v>10.537531261789047</v>
      </c>
      <c r="AG74" s="23">
        <f>+AG73/AG47*100</f>
        <v>99.991039430898383</v>
      </c>
      <c r="AH74" s="23"/>
      <c r="AI74" s="23">
        <f>+AI73/AI47*100</f>
        <v>14.101663342051632</v>
      </c>
      <c r="AJ74" s="23">
        <f>+AJ73/AJ47*100</f>
        <v>4.2026308023114005</v>
      </c>
      <c r="AK74" s="23">
        <f>+AK73/AK47*100</f>
        <v>13.68142245199012</v>
      </c>
      <c r="AL74" s="23">
        <f>+AL73/AL47*100</f>
        <v>99.928726126841852</v>
      </c>
      <c r="AM74" s="23"/>
      <c r="AN74" s="23">
        <f>+AN73/AN47*100</f>
        <v>16.791483359151592</v>
      </c>
      <c r="AO74" s="23">
        <f>+AO73/AO47*100</f>
        <v>26.007073345444105</v>
      </c>
      <c r="AP74" s="23">
        <f>+AP73/AP47*100</f>
        <v>14.595822654791002</v>
      </c>
      <c r="AQ74" s="23">
        <f>+AQ73/AQ47*100</f>
        <v>99.781325361090268</v>
      </c>
      <c r="AR74" s="23"/>
      <c r="AS74" s="23">
        <f>+AS73/AS47*100</f>
        <v>17.421263337254146</v>
      </c>
      <c r="AT74" s="23">
        <f>+AT73/AT47*100</f>
        <v>19.604574269520491</v>
      </c>
      <c r="AU74" s="23">
        <f>+AU73/AU47*100</f>
        <v>13.885299146751032</v>
      </c>
      <c r="AV74" s="23">
        <f>+AV73/AV47*100</f>
        <v>99.608431516621792</v>
      </c>
      <c r="AW74" s="23"/>
      <c r="AX74" s="23">
        <f>+AX73/AX47*100</f>
        <v>16.842474659509602</v>
      </c>
      <c r="AY74" s="23">
        <f>+AY73/AY47*100</f>
        <v>10.955188426377218</v>
      </c>
      <c r="AZ74" s="23">
        <f>+AZ73/AZ47*100</f>
        <v>12.808045097382617</v>
      </c>
      <c r="BA74" s="23">
        <f>+BA73/BA47*100</f>
        <v>99.298412230394433</v>
      </c>
      <c r="BB74" s="23"/>
      <c r="BC74" s="23">
        <f>+BC73/BC47*100</f>
        <v>15.688000702432028</v>
      </c>
      <c r="BD74" s="23">
        <f>+BD73/BD47*100</f>
        <v>4.8913788612697653</v>
      </c>
      <c r="BE74" s="73"/>
      <c r="BF74" s="73"/>
    </row>
    <row r="75" spans="1:67" x14ac:dyDescent="0.3">
      <c r="A75" s="24"/>
      <c r="B75" s="104"/>
      <c r="C75" s="104"/>
      <c r="D75" s="105"/>
      <c r="E75" s="105"/>
      <c r="F75" s="105"/>
      <c r="G75" s="104"/>
      <c r="H75" s="105"/>
      <c r="I75" s="105"/>
      <c r="J75" s="105"/>
      <c r="K75" s="104"/>
      <c r="L75" s="106"/>
      <c r="M75" s="106"/>
      <c r="N75" s="106"/>
      <c r="O75" s="105"/>
      <c r="P75" s="104"/>
      <c r="Q75" s="106"/>
      <c r="R75" s="106"/>
      <c r="S75" s="106"/>
      <c r="T75" s="105"/>
      <c r="U75" s="104"/>
      <c r="V75" s="106"/>
      <c r="W75" s="106"/>
      <c r="X75" s="106"/>
      <c r="Y75" s="105"/>
      <c r="Z75" s="104"/>
      <c r="AA75" s="106"/>
      <c r="AB75" s="106"/>
      <c r="AC75" s="106"/>
      <c r="AD75" s="105"/>
      <c r="AE75" s="104"/>
      <c r="AF75" s="106"/>
      <c r="AG75" s="106"/>
      <c r="AH75" s="106"/>
      <c r="AI75" s="105"/>
      <c r="AJ75" s="104"/>
      <c r="AK75" s="106"/>
      <c r="AL75" s="106"/>
      <c r="AM75" s="106"/>
      <c r="AN75" s="105"/>
      <c r="AO75" s="104"/>
      <c r="AP75" s="106"/>
      <c r="AQ75" s="106"/>
      <c r="AR75" s="106"/>
      <c r="AS75" s="105"/>
      <c r="AT75" s="104"/>
      <c r="AU75" s="106"/>
      <c r="AV75" s="106"/>
      <c r="AW75" s="106"/>
      <c r="AX75" s="105"/>
      <c r="AY75" s="104"/>
      <c r="AZ75" s="106"/>
      <c r="BA75" s="106"/>
      <c r="BB75" s="106"/>
      <c r="BC75" s="105"/>
      <c r="BD75" s="104"/>
      <c r="BE75" s="73"/>
      <c r="BF75" s="73"/>
    </row>
    <row r="76" spans="1:67" x14ac:dyDescent="0.3">
      <c r="A76" s="24" t="s">
        <v>53</v>
      </c>
      <c r="B76" s="16"/>
      <c r="C76" s="16"/>
      <c r="D76" s="59"/>
      <c r="E76" s="59"/>
      <c r="F76" s="10"/>
      <c r="G76" s="16"/>
      <c r="H76" s="59"/>
      <c r="I76" s="59"/>
      <c r="J76" s="59"/>
      <c r="K76" s="10"/>
      <c r="L76" s="55"/>
      <c r="M76" s="55">
        <f>VLOOKUP(A76,'Profit Loss-Betul-25-26'!$A$9:$F$141,5,0)</f>
        <v>0</v>
      </c>
      <c r="N76" s="55"/>
      <c r="O76" s="59"/>
      <c r="P76" s="10"/>
      <c r="Q76" s="55"/>
      <c r="R76" s="55"/>
      <c r="S76" s="55"/>
      <c r="T76" s="59"/>
      <c r="U76" s="10"/>
      <c r="V76" s="55"/>
      <c r="W76" s="55"/>
      <c r="X76" s="55"/>
      <c r="Y76" s="59"/>
      <c r="Z76" s="10"/>
      <c r="AA76" s="55"/>
      <c r="AB76" s="55"/>
      <c r="AC76" s="55"/>
      <c r="AD76" s="59"/>
      <c r="AE76" s="10"/>
      <c r="AF76" s="55"/>
      <c r="AG76" s="55"/>
      <c r="AH76" s="55"/>
      <c r="AI76" s="59"/>
      <c r="AJ76" s="10"/>
      <c r="AK76" s="55"/>
      <c r="AL76" s="55"/>
      <c r="AM76" s="55"/>
      <c r="AN76" s="59"/>
      <c r="AO76" s="10"/>
      <c r="AP76" s="55"/>
      <c r="AQ76" s="55"/>
      <c r="AR76" s="55"/>
      <c r="AS76" s="59"/>
      <c r="AT76" s="10"/>
      <c r="AU76" s="55"/>
      <c r="AV76" s="55"/>
      <c r="AW76" s="55"/>
      <c r="AX76" s="59"/>
      <c r="AY76" s="10"/>
      <c r="AZ76" s="55"/>
      <c r="BA76" s="55"/>
      <c r="BB76" s="55"/>
      <c r="BC76" s="59"/>
      <c r="BD76" s="10"/>
    </row>
    <row r="77" spans="1:67" hidden="1" x14ac:dyDescent="0.3">
      <c r="A77" s="10" t="s">
        <v>59</v>
      </c>
      <c r="B77" s="11">
        <f>VLOOKUP(A77,'Profit Loss-Textile'!$A$8:$B$135,2,0)</f>
        <v>0</v>
      </c>
      <c r="C77" s="16"/>
      <c r="D77" s="57"/>
      <c r="E77" s="57"/>
      <c r="F77" s="65">
        <f>+B77+C77+D77</f>
        <v>0</v>
      </c>
      <c r="G77" s="11"/>
      <c r="H77" s="57"/>
      <c r="I77" s="57"/>
      <c r="J77" s="57"/>
      <c r="K77" s="65">
        <f t="shared" ref="K77:K157" si="150">+H77+G77-F77</f>
        <v>0</v>
      </c>
      <c r="L77" s="55"/>
      <c r="M77" s="55"/>
      <c r="N77" s="55"/>
      <c r="O77" s="57"/>
      <c r="P77" s="65">
        <f t="shared" ref="P77" si="151">+L77+K77-J77</f>
        <v>0</v>
      </c>
      <c r="Q77" s="55"/>
      <c r="R77" s="55"/>
      <c r="S77" s="55"/>
      <c r="T77" s="57"/>
      <c r="U77" s="65">
        <f t="shared" ref="U77" si="152">+Q77+P77-O77</f>
        <v>0</v>
      </c>
      <c r="V77" s="55"/>
      <c r="W77" s="55"/>
      <c r="X77" s="55"/>
      <c r="Y77" s="57"/>
      <c r="Z77" s="65">
        <f t="shared" ref="Z77" si="153">+V77+U77-T77</f>
        <v>0</v>
      </c>
      <c r="AA77" s="55"/>
      <c r="AB77" s="55"/>
      <c r="AC77" s="55"/>
      <c r="AD77" s="57"/>
      <c r="AE77" s="65">
        <f t="shared" ref="AE77" si="154">+AA77+Z77-Y77</f>
        <v>0</v>
      </c>
      <c r="AF77" s="55"/>
      <c r="AG77" s="55"/>
      <c r="AH77" s="55"/>
      <c r="AI77" s="57"/>
      <c r="AJ77" s="65">
        <f t="shared" ref="AJ77" si="155">+AF77+AE77-AD77</f>
        <v>0</v>
      </c>
      <c r="AK77" s="55"/>
      <c r="AL77" s="55"/>
      <c r="AM77" s="55"/>
      <c r="AN77" s="57"/>
      <c r="AO77" s="65">
        <f t="shared" ref="AO77" si="156">+AK77+AJ77-AI77</f>
        <v>0</v>
      </c>
      <c r="AP77" s="55"/>
      <c r="AQ77" s="55"/>
      <c r="AR77" s="55"/>
      <c r="AS77" s="57"/>
      <c r="AT77" s="65">
        <f t="shared" ref="AT77" si="157">+AP77+AO77-AN77</f>
        <v>0</v>
      </c>
      <c r="AU77" s="55"/>
      <c r="AV77" s="55"/>
      <c r="AW77" s="55"/>
      <c r="AX77" s="57"/>
      <c r="AY77" s="65">
        <f t="shared" ref="AY77" si="158">+AU77+AT77-AS77</f>
        <v>0</v>
      </c>
      <c r="AZ77" s="55"/>
      <c r="BA77" s="55"/>
      <c r="BB77" s="55"/>
      <c r="BC77" s="57"/>
      <c r="BD77" s="65">
        <f t="shared" ref="BD77" si="159">+AZ77+AY77-AX77</f>
        <v>0</v>
      </c>
      <c r="BE77" s="55"/>
      <c r="BF77" s="55"/>
    </row>
    <row r="78" spans="1:67" x14ac:dyDescent="0.3">
      <c r="A78" s="10" t="s">
        <v>40</v>
      </c>
      <c r="B78" s="11">
        <f>VLOOKUP(A78,'Profit Loss-Textile'!$A$8:$B$135,2,0)</f>
        <v>0</v>
      </c>
      <c r="C78" s="11">
        <f>VLOOKUP(A78,'Profit Loss-Amravati-25-26'!$A$13:$B$190,2,0)</f>
        <v>0</v>
      </c>
      <c r="D78" s="57">
        <f>VLOOKUP(A78,'Profit Loss-Betul-25-26'!$A$9:$B$140,2,0)</f>
        <v>2730</v>
      </c>
      <c r="E78" s="57"/>
      <c r="F78" s="65">
        <f>+B78+C78+D78</f>
        <v>2730</v>
      </c>
      <c r="G78" s="11">
        <f>VLOOKUP(A78,'Profit Loss-Amravati-25-26'!$A$9:$D$190,3,0)</f>
        <v>44156</v>
      </c>
      <c r="H78" s="57">
        <f>VLOOKUP(A78,'Profit Loss-Betul-25-26'!$A$9:$D$140,3,0)</f>
        <v>5340</v>
      </c>
      <c r="I78" s="57"/>
      <c r="J78" s="56">
        <f t="shared" ref="J78:J87" si="160">SUM(G78:I78)</f>
        <v>49496</v>
      </c>
      <c r="K78" s="65">
        <f t="shared" si="150"/>
        <v>46766</v>
      </c>
      <c r="L78" s="55">
        <f>VLOOKUP(A78,'Profit Loss-Amravati-25-26'!$A$9:$F$190,5,0)</f>
        <v>51481</v>
      </c>
      <c r="M78" s="55">
        <f>VLOOKUP(A78,'Profit Loss-Betul-25-26'!$A$9:$F$141,5,0)</f>
        <v>5340</v>
      </c>
      <c r="N78" s="55"/>
      <c r="O78" s="56">
        <f t="shared" ref="O78:O90" si="161">SUM(L78:M78)</f>
        <v>56821</v>
      </c>
      <c r="P78" s="65">
        <f t="shared" ref="P78:P146" si="162">+O78-J78</f>
        <v>7325</v>
      </c>
      <c r="Q78" s="55">
        <f>VLOOKUP(A78,'Profit Loss-Amravati-25-26'!$A$9:$H$190,7,0)</f>
        <v>67930</v>
      </c>
      <c r="R78" s="55">
        <f>VLOOKUP(A78,'Profit Loss-Betul-25-26'!$A$9:$H$141,7,0)</f>
        <v>6497</v>
      </c>
      <c r="S78" s="55"/>
      <c r="T78" s="56">
        <f>SUM(Q78:S78)</f>
        <v>74427</v>
      </c>
      <c r="U78" s="65">
        <f>+T78-O78</f>
        <v>17606</v>
      </c>
      <c r="V78" s="55">
        <f>VLOOKUP(A78,'Profit Loss-Amravati-25-26'!$A$9:$J$190,9,0)</f>
        <v>91530</v>
      </c>
      <c r="W78" s="55">
        <f>VLOOKUP(A78,'Profit Loss-Betul-25-26'!$A$9:$J$141,9,0)</f>
        <v>11917</v>
      </c>
      <c r="X78" s="55"/>
      <c r="Y78" s="56">
        <f>SUM(V78:X78)</f>
        <v>103447</v>
      </c>
      <c r="Z78" s="65">
        <f>+Y78-T78</f>
        <v>29020</v>
      </c>
      <c r="AA78" s="55">
        <f>VLOOKUP(A78,'Profit Loss-Amravati-25-26'!$A$9:$L$192,11,0)</f>
        <v>112236.22</v>
      </c>
      <c r="AB78" s="55">
        <f>VLOOKUP(A78,'Profit Loss-Betul-25-26'!$A$9:$L$141,11,0)</f>
        <v>11917</v>
      </c>
      <c r="AC78" s="55"/>
      <c r="AD78" s="56">
        <f t="shared" ref="AD78:AD147" si="163">+AA78+AB78</f>
        <v>124153.22</v>
      </c>
      <c r="AE78" s="65">
        <f t="shared" ref="AE78:AE147" si="164">+AD78-Y78</f>
        <v>20706.22</v>
      </c>
      <c r="AF78" s="55">
        <f>VLOOKUP(A78,'Profit Loss-Amravati-25-26'!$A$9:$N$192,13,0)</f>
        <v>282891.21999999997</v>
      </c>
      <c r="AG78" s="55">
        <f>VLOOKUP(A78,'Profit Loss-Betul-25-26'!$A$9:$N$141,13,0)</f>
        <v>34338</v>
      </c>
      <c r="AH78" s="55"/>
      <c r="AI78" s="56">
        <f t="shared" ref="AI78:AI142" si="165">+AF78+AG78-AH78</f>
        <v>317229.21999999997</v>
      </c>
      <c r="AJ78" s="65">
        <f t="shared" ref="AJ78:AJ116" si="166">+AI78-AD78</f>
        <v>193075.99999999997</v>
      </c>
      <c r="AK78" s="55">
        <f>VLOOKUP(A78,'Profit Loss-Amravati-25-26'!$A$9:$P$192,15,0)</f>
        <v>352598.22</v>
      </c>
      <c r="AL78" s="55">
        <f>VLOOKUP(A78,'Profit Loss-Betul-25-26'!$A$9:$P$141,15,0)</f>
        <v>46563</v>
      </c>
      <c r="AM78" s="55"/>
      <c r="AN78" s="56">
        <f t="shared" ref="AN78:AN93" si="167">+AK78+AL78-AM78</f>
        <v>399161.22</v>
      </c>
      <c r="AO78" s="65">
        <f t="shared" ref="AO78:AO142" si="168">+AN78-AI78</f>
        <v>81932</v>
      </c>
      <c r="AP78" s="55">
        <f>VLOOKUP(A78,'Profit Loss-Amravati-25-26'!$A$9:$R$192,17,0)</f>
        <v>529427.22</v>
      </c>
      <c r="AQ78" s="55">
        <f>VLOOKUP(A78,'Profit Loss-Betul-25-26'!$A$9:$R$141,17,0)</f>
        <v>51152</v>
      </c>
      <c r="AR78" s="55"/>
      <c r="AS78" s="56">
        <f t="shared" ref="AS78:AS93" si="169">+AP78+AQ78-AR78</f>
        <v>580579.22</v>
      </c>
      <c r="AT78" s="65">
        <f t="shared" ref="AT78:AT142" si="170">+AS78-AN78</f>
        <v>181418</v>
      </c>
      <c r="AU78" s="55">
        <f>VLOOKUP(A78,'Profit Loss-Amravati-25-26'!$A$9:$T$192,19,0)</f>
        <v>529427.22</v>
      </c>
      <c r="AV78" s="55">
        <f>VLOOKUP(A78,'Profit Loss-Betul-25-26'!$A$9:$T$141,19,0)</f>
        <v>51152</v>
      </c>
      <c r="AW78" s="55"/>
      <c r="AX78" s="56">
        <f t="shared" ref="AX78:AX93" si="171">+AU78+AV78-AW78</f>
        <v>580579.22</v>
      </c>
      <c r="AY78" s="65">
        <f t="shared" ref="AY78:AY142" si="172">+AX78-AS78</f>
        <v>0</v>
      </c>
      <c r="AZ78" s="55">
        <f>VLOOKUP(A78,'Profit Loss-Amravati-25-26'!$A$9:$V$192,21,0)</f>
        <v>685459.22</v>
      </c>
      <c r="BA78" s="55">
        <f>VLOOKUP(A78,'Profit Loss-Betul-25-26'!$A$9:$V$141,21,0)</f>
        <v>51152</v>
      </c>
      <c r="BB78" s="55"/>
      <c r="BC78" s="56">
        <f t="shared" ref="BC78:BC93" si="173">+AZ78+BA78-BB78</f>
        <v>736611.22</v>
      </c>
      <c r="BD78" s="65">
        <f t="shared" ref="BD78:BD142" si="174">+BC78-AX78</f>
        <v>156032</v>
      </c>
      <c r="BE78" s="55"/>
      <c r="BF78" s="55"/>
    </row>
    <row r="79" spans="1:67" x14ac:dyDescent="0.3">
      <c r="A79" s="10" t="s">
        <v>193</v>
      </c>
      <c r="B79" s="11"/>
      <c r="C79" s="11"/>
      <c r="D79" s="57"/>
      <c r="E79" s="57"/>
      <c r="F79" s="65"/>
      <c r="G79" s="11"/>
      <c r="H79" s="57"/>
      <c r="I79" s="57"/>
      <c r="J79" s="56"/>
      <c r="K79" s="65">
        <f t="shared" si="150"/>
        <v>0</v>
      </c>
      <c r="L79" s="55"/>
      <c r="M79" s="55"/>
      <c r="N79" s="55"/>
      <c r="O79" s="56">
        <f t="shared" si="161"/>
        <v>0</v>
      </c>
      <c r="P79" s="65">
        <f t="shared" si="162"/>
        <v>0</v>
      </c>
      <c r="Q79" s="55">
        <f>VLOOKUP(A79,'Profit Loss-Amravati-25-26'!$A$9:$H$190,7,0)</f>
        <v>8825</v>
      </c>
      <c r="R79" s="55"/>
      <c r="S79" s="55"/>
      <c r="T79" s="56">
        <f t="shared" ref="T79:T149" si="175">SUM(Q79:S79)</f>
        <v>8825</v>
      </c>
      <c r="U79" s="65">
        <f t="shared" ref="U79:U149" si="176">+T79-O79</f>
        <v>8825</v>
      </c>
      <c r="V79" s="55">
        <f>VLOOKUP(A79,'Profit Loss-Amravati-25-26'!$A$9:$J$190,9,0)</f>
        <v>8825</v>
      </c>
      <c r="W79" s="55"/>
      <c r="X79" s="55"/>
      <c r="Y79" s="56">
        <f t="shared" ref="Y79:Y149" si="177">SUM(V79:X79)</f>
        <v>8825</v>
      </c>
      <c r="Z79" s="65">
        <f t="shared" ref="Z79:Z149" si="178">+Y79-T79</f>
        <v>0</v>
      </c>
      <c r="AA79" s="55">
        <f>VLOOKUP(A79,'Profit Loss-Amravati-25-26'!$A$9:$L$192,11,0)</f>
        <v>21784.799999999999</v>
      </c>
      <c r="AB79" s="55"/>
      <c r="AC79" s="55"/>
      <c r="AD79" s="56">
        <f t="shared" si="163"/>
        <v>21784.799999999999</v>
      </c>
      <c r="AE79" s="65">
        <f t="shared" si="164"/>
        <v>12959.8</v>
      </c>
      <c r="AF79" s="55">
        <f>VLOOKUP(A79,'Profit Loss-Amravati-25-26'!$A$9:$N$192,13,0)</f>
        <v>21784.799999999999</v>
      </c>
      <c r="AG79" s="55"/>
      <c r="AH79" s="55"/>
      <c r="AI79" s="56">
        <f t="shared" si="165"/>
        <v>21784.799999999999</v>
      </c>
      <c r="AJ79" s="65">
        <f t="shared" si="166"/>
        <v>0</v>
      </c>
      <c r="AK79" s="55">
        <f>VLOOKUP(A79,'Profit Loss-Amravati-25-26'!$A$9:$P$192,15,0)</f>
        <v>21784.799999999999</v>
      </c>
      <c r="AL79" s="55"/>
      <c r="AM79" s="55"/>
      <c r="AN79" s="56">
        <f t="shared" si="167"/>
        <v>21784.799999999999</v>
      </c>
      <c r="AO79" s="65">
        <f t="shared" si="168"/>
        <v>0</v>
      </c>
      <c r="AP79" s="55">
        <f>VLOOKUP(A79,'Profit Loss-Amravati-25-26'!$A$9:$R$192,17,0)</f>
        <v>21784.799999999999</v>
      </c>
      <c r="AQ79" s="55"/>
      <c r="AR79" s="55"/>
      <c r="AS79" s="56">
        <f t="shared" si="169"/>
        <v>21784.799999999999</v>
      </c>
      <c r="AT79" s="65">
        <f t="shared" si="170"/>
        <v>0</v>
      </c>
      <c r="AU79" s="55">
        <f>VLOOKUP(A79,'Profit Loss-Amravati-25-26'!$A$9:$T$192,19,0)</f>
        <v>21784.799999999999</v>
      </c>
      <c r="AV79" s="55"/>
      <c r="AW79" s="55"/>
      <c r="AX79" s="56">
        <f t="shared" si="171"/>
        <v>21784.799999999999</v>
      </c>
      <c r="AY79" s="65">
        <f t="shared" si="172"/>
        <v>0</v>
      </c>
      <c r="AZ79" s="55">
        <f>VLOOKUP(A79,'Profit Loss-Amravati-25-26'!$A$9:$V$192,21,0)</f>
        <v>21784.799999999999</v>
      </c>
      <c r="BA79" s="55"/>
      <c r="BB79" s="55"/>
      <c r="BC79" s="56">
        <f t="shared" si="173"/>
        <v>21784.799999999999</v>
      </c>
      <c r="BD79" s="65">
        <f t="shared" si="174"/>
        <v>0</v>
      </c>
      <c r="BE79" s="55"/>
      <c r="BF79" s="55"/>
    </row>
    <row r="80" spans="1:67" x14ac:dyDescent="0.3">
      <c r="A80" s="10" t="s">
        <v>454</v>
      </c>
      <c r="B80" s="11"/>
      <c r="C80" s="11"/>
      <c r="D80" s="57"/>
      <c r="E80" s="57"/>
      <c r="F80" s="65"/>
      <c r="G80" s="11"/>
      <c r="H80" s="57"/>
      <c r="I80" s="57"/>
      <c r="J80" s="56"/>
      <c r="K80" s="65"/>
      <c r="L80" s="55"/>
      <c r="M80" s="55"/>
      <c r="N80" s="55"/>
      <c r="O80" s="56"/>
      <c r="P80" s="65"/>
      <c r="Q80" s="55"/>
      <c r="R80" s="55"/>
      <c r="S80" s="55"/>
      <c r="T80" s="56"/>
      <c r="U80" s="65"/>
      <c r="V80" s="55"/>
      <c r="W80" s="55"/>
      <c r="X80" s="55"/>
      <c r="Y80" s="56"/>
      <c r="Z80" s="65"/>
      <c r="AA80" s="55"/>
      <c r="AB80" s="55"/>
      <c r="AC80" s="55"/>
      <c r="AD80" s="56"/>
      <c r="AE80" s="65"/>
      <c r="AF80" s="55"/>
      <c r="AG80" s="55"/>
      <c r="AH80" s="55"/>
      <c r="AI80" s="56"/>
      <c r="AJ80" s="65"/>
      <c r="AK80" s="55"/>
      <c r="AL80" s="55"/>
      <c r="AM80" s="55"/>
      <c r="AN80" s="56"/>
      <c r="AO80" s="65"/>
      <c r="AP80" s="55"/>
      <c r="AQ80" s="55"/>
      <c r="AR80" s="55"/>
      <c r="AS80" s="56"/>
      <c r="AT80" s="65"/>
      <c r="AU80" s="55">
        <f>VLOOKUP(A80,'Profit Loss-Amravati-25-26'!$A$9:$T$192,19,0)</f>
        <v>1817</v>
      </c>
      <c r="AV80" s="55"/>
      <c r="AW80" s="55"/>
      <c r="AX80" s="56">
        <f t="shared" si="171"/>
        <v>1817</v>
      </c>
      <c r="AY80" s="65">
        <f t="shared" si="172"/>
        <v>1817</v>
      </c>
      <c r="AZ80" s="55">
        <f>VLOOKUP(A80,'Profit Loss-Amravati-25-26'!$A$9:$V$192,21,0)</f>
        <v>1817</v>
      </c>
      <c r="BA80" s="55"/>
      <c r="BB80" s="55"/>
      <c r="BC80" s="56">
        <f t="shared" si="173"/>
        <v>1817</v>
      </c>
      <c r="BD80" s="65">
        <f t="shared" si="174"/>
        <v>0</v>
      </c>
      <c r="BE80" s="55"/>
      <c r="BF80" s="55"/>
    </row>
    <row r="81" spans="1:65" x14ac:dyDescent="0.3">
      <c r="A81" s="10" t="s">
        <v>45</v>
      </c>
      <c r="B81" s="11"/>
      <c r="C81" s="11">
        <f>VLOOKUP(A81,'Profit Loss-Amravati-25-26'!$A$13:$B$190,2,0)</f>
        <v>510</v>
      </c>
      <c r="D81" s="57">
        <f>VLOOKUP(A81,'Profit Loss-Betul-25-26'!$A$9:$B$140,2,0)</f>
        <v>0</v>
      </c>
      <c r="E81" s="57"/>
      <c r="F81" s="65">
        <f t="shared" ref="F81:F87" si="179">+B81+C81+D81</f>
        <v>510</v>
      </c>
      <c r="G81" s="11">
        <f>VLOOKUP(A81,'Profit Loss-Amravati-25-26'!$A$9:$D$190,3,0)</f>
        <v>1198</v>
      </c>
      <c r="H81" s="57">
        <f>VLOOKUP(A81,'Profit Loss-Betul-25-26'!$A$9:$D$140,3,0)</f>
        <v>0</v>
      </c>
      <c r="I81" s="57"/>
      <c r="J81" s="56">
        <f t="shared" si="160"/>
        <v>1198</v>
      </c>
      <c r="K81" s="65">
        <f t="shared" si="150"/>
        <v>688</v>
      </c>
      <c r="L81" s="55">
        <f>VLOOKUP(A81,'Profit Loss-Amravati-25-26'!$A$9:$F$190,5,0)</f>
        <v>1198</v>
      </c>
      <c r="M81" s="55">
        <f>VLOOKUP(A81,'Profit Loss-Betul-25-26'!$A$9:$F$141,5,0)</f>
        <v>0</v>
      </c>
      <c r="N81" s="55"/>
      <c r="O81" s="56">
        <f t="shared" si="161"/>
        <v>1198</v>
      </c>
      <c r="P81" s="65">
        <f t="shared" si="162"/>
        <v>0</v>
      </c>
      <c r="Q81" s="55">
        <f>VLOOKUP(A81,'Profit Loss-Amravati-25-26'!$A$9:$H$190,7,0)</f>
        <v>1198</v>
      </c>
      <c r="R81" s="55">
        <f>VLOOKUP(A81,'Profit Loss-Betul-25-26'!$A$9:$H$141,7,0)</f>
        <v>0</v>
      </c>
      <c r="S81" s="55"/>
      <c r="T81" s="56">
        <f t="shared" si="175"/>
        <v>1198</v>
      </c>
      <c r="U81" s="65">
        <f t="shared" si="176"/>
        <v>0</v>
      </c>
      <c r="V81" s="55">
        <f>VLOOKUP(A81,'Profit Loss-Amravati-25-26'!$A$9:$J$190,9,0)</f>
        <v>1198</v>
      </c>
      <c r="W81" s="55">
        <f>VLOOKUP(A81,'Profit Loss-Betul-25-26'!$A$9:$J$141,9,0)</f>
        <v>0</v>
      </c>
      <c r="X81" s="55"/>
      <c r="Y81" s="56">
        <f t="shared" si="177"/>
        <v>1198</v>
      </c>
      <c r="Z81" s="65">
        <f t="shared" si="178"/>
        <v>0</v>
      </c>
      <c r="AA81" s="55">
        <f>VLOOKUP(A81,'Profit Loss-Amravati-25-26'!$A$9:$L$192,11,0)</f>
        <v>1198</v>
      </c>
      <c r="AB81" s="55">
        <f>VLOOKUP(A81,'Profit Loss-Betul-25-26'!$A$9:$L$141,11,0)</f>
        <v>0</v>
      </c>
      <c r="AC81" s="55"/>
      <c r="AD81" s="56">
        <f t="shared" si="163"/>
        <v>1198</v>
      </c>
      <c r="AE81" s="65">
        <f t="shared" si="164"/>
        <v>0</v>
      </c>
      <c r="AF81" s="55">
        <f>VLOOKUP(A81,'Profit Loss-Amravati-25-26'!$A$9:$N$192,13,0)</f>
        <v>1198</v>
      </c>
      <c r="AG81" s="55">
        <f>VLOOKUP(A81,'Profit Loss-Betul-25-26'!$A$9:$N$141,13,0)</f>
        <v>0</v>
      </c>
      <c r="AH81" s="55"/>
      <c r="AI81" s="56">
        <f t="shared" si="165"/>
        <v>1198</v>
      </c>
      <c r="AJ81" s="65">
        <f t="shared" si="166"/>
        <v>0</v>
      </c>
      <c r="AK81" s="55">
        <f>VLOOKUP(A81,'Profit Loss-Amravati-25-26'!$A$9:$P$192,15,0)</f>
        <v>1198</v>
      </c>
      <c r="AL81" s="55">
        <f>VLOOKUP(A81,'Profit Loss-Betul-25-26'!$A$9:$P$141,15,0)</f>
        <v>0</v>
      </c>
      <c r="AM81" s="55"/>
      <c r="AN81" s="56">
        <f t="shared" si="167"/>
        <v>1198</v>
      </c>
      <c r="AO81" s="65">
        <f t="shared" si="168"/>
        <v>0</v>
      </c>
      <c r="AP81" s="55">
        <f>VLOOKUP(A81,'Profit Loss-Amravati-25-26'!$A$9:$R$192,17,0)</f>
        <v>1198</v>
      </c>
      <c r="AQ81" s="55">
        <f>VLOOKUP(A81,'Profit Loss-Betul-25-26'!$A$9:$R$141,17,0)</f>
        <v>0</v>
      </c>
      <c r="AR81" s="55"/>
      <c r="AS81" s="56">
        <f t="shared" si="169"/>
        <v>1198</v>
      </c>
      <c r="AT81" s="65">
        <f t="shared" si="170"/>
        <v>0</v>
      </c>
      <c r="AU81" s="55">
        <f>VLOOKUP(A81,'Profit Loss-Amravati-25-26'!$A$9:$T$192,19,0)</f>
        <v>2198</v>
      </c>
      <c r="AV81" s="55">
        <f>VLOOKUP(A81,'Profit Loss-Betul-25-26'!$A$9:$T$141,19,0)</f>
        <v>0</v>
      </c>
      <c r="AW81" s="55"/>
      <c r="AX81" s="56">
        <f t="shared" si="171"/>
        <v>2198</v>
      </c>
      <c r="AY81" s="65">
        <f t="shared" si="172"/>
        <v>1000</v>
      </c>
      <c r="AZ81" s="55">
        <f>VLOOKUP(A81,'Profit Loss-Amravati-25-26'!$A$9:$V$192,21,0)</f>
        <v>2698</v>
      </c>
      <c r="BA81" s="55">
        <f>VLOOKUP(A81,'Profit Loss-Betul-25-26'!$A$9:$V$141,21,0)</f>
        <v>0</v>
      </c>
      <c r="BB81" s="55"/>
      <c r="BC81" s="56">
        <f t="shared" si="173"/>
        <v>2698</v>
      </c>
      <c r="BD81" s="65">
        <f t="shared" si="174"/>
        <v>500</v>
      </c>
      <c r="BE81" s="55"/>
      <c r="BF81" s="55"/>
    </row>
    <row r="82" spans="1:65" x14ac:dyDescent="0.3">
      <c r="A82" s="10" t="s">
        <v>46</v>
      </c>
      <c r="B82" s="11"/>
      <c r="C82" s="11">
        <f>VLOOKUP(A82,'Profit Loss-Amravati-25-26'!$A$13:$B$190,2,0)</f>
        <v>-1100</v>
      </c>
      <c r="D82" s="57">
        <f>VLOOKUP(A82,'Profit Loss-Betul-25-26'!$A$9:$B$140,2,0)</f>
        <v>146247</v>
      </c>
      <c r="E82" s="57"/>
      <c r="F82" s="65">
        <f t="shared" si="179"/>
        <v>145147</v>
      </c>
      <c r="G82" s="11">
        <f>VLOOKUP(A82,'Profit Loss-Amravati-25-26'!$A$9:$D$190,3,0)</f>
        <v>-1670</v>
      </c>
      <c r="H82" s="57">
        <f>VLOOKUP(A82,'Profit Loss-Betul-25-26'!$A$9:$D$140,3,0)</f>
        <v>300528</v>
      </c>
      <c r="I82" s="57"/>
      <c r="J82" s="56">
        <f t="shared" si="160"/>
        <v>298858</v>
      </c>
      <c r="K82" s="65">
        <f t="shared" si="150"/>
        <v>153711</v>
      </c>
      <c r="L82" s="55">
        <f>VLOOKUP(A82,'Profit Loss-Amravati-25-26'!$A$9:$F$190,5,0)</f>
        <v>-2260</v>
      </c>
      <c r="M82" s="55">
        <f>VLOOKUP(A82,'Profit Loss-Betul-25-26'!$A$9:$F$141,5,0)</f>
        <v>450528</v>
      </c>
      <c r="N82" s="55"/>
      <c r="O82" s="56">
        <f t="shared" si="161"/>
        <v>448268</v>
      </c>
      <c r="P82" s="65">
        <f t="shared" si="162"/>
        <v>149410</v>
      </c>
      <c r="Q82" s="55">
        <f>VLOOKUP(A82,'Profit Loss-Amravati-25-26'!$A$9:$H$190,7,0)</f>
        <v>-3110</v>
      </c>
      <c r="R82" s="55">
        <f>VLOOKUP(A82,'Profit Loss-Betul-25-26'!$A$9:$H$141,7,0)</f>
        <v>668010</v>
      </c>
      <c r="S82" s="55"/>
      <c r="T82" s="56">
        <f t="shared" si="175"/>
        <v>664900</v>
      </c>
      <c r="U82" s="65">
        <f t="shared" si="176"/>
        <v>216632</v>
      </c>
      <c r="V82" s="55">
        <f>VLOOKUP(A82,'Profit Loss-Amravati-25-26'!$A$9:$J$190,9,0)</f>
        <v>-4140</v>
      </c>
      <c r="W82" s="55">
        <f>VLOOKUP(A82,'Profit Loss-Betul-25-26'!$A$9:$J$141,9,0)</f>
        <v>853010</v>
      </c>
      <c r="X82" s="55"/>
      <c r="Y82" s="56">
        <f t="shared" si="177"/>
        <v>848870</v>
      </c>
      <c r="Z82" s="65">
        <f t="shared" si="178"/>
        <v>183970</v>
      </c>
      <c r="AA82" s="55">
        <f>VLOOKUP(A82,'Profit Loss-Amravati-25-26'!$A$9:$L$192,11,0)</f>
        <v>-5020</v>
      </c>
      <c r="AB82" s="55">
        <f>VLOOKUP(A82,'Profit Loss-Betul-25-26'!$A$9:$L$141,11,0)</f>
        <v>985942</v>
      </c>
      <c r="AC82" s="55"/>
      <c r="AD82" s="56">
        <f t="shared" si="163"/>
        <v>980922</v>
      </c>
      <c r="AE82" s="65">
        <f t="shared" si="164"/>
        <v>132052</v>
      </c>
      <c r="AF82" s="55">
        <f>VLOOKUP(A82,'Profit Loss-Amravati-25-26'!$A$9:$N$192,13,0)</f>
        <v>-6020</v>
      </c>
      <c r="AG82" s="55">
        <f>VLOOKUP(A82,'Profit Loss-Betul-25-26'!$A$9:$N$141,13,0)</f>
        <v>1135660</v>
      </c>
      <c r="AH82" s="55"/>
      <c r="AI82" s="56">
        <f t="shared" si="165"/>
        <v>1129640</v>
      </c>
      <c r="AJ82" s="65">
        <f t="shared" si="166"/>
        <v>148718</v>
      </c>
      <c r="AK82" s="55">
        <f>VLOOKUP(A82,'Profit Loss-Amravati-25-26'!$A$9:$P$192,15,0)</f>
        <v>-6020</v>
      </c>
      <c r="AL82" s="55">
        <f>VLOOKUP(A82,'Profit Loss-Betul-25-26'!$A$9:$P$141,15,0)</f>
        <v>1333357</v>
      </c>
      <c r="AM82" s="55"/>
      <c r="AN82" s="56">
        <f t="shared" si="167"/>
        <v>1327337</v>
      </c>
      <c r="AO82" s="65">
        <f t="shared" si="168"/>
        <v>197697</v>
      </c>
      <c r="AP82" s="55">
        <f>VLOOKUP(A82,'Profit Loss-Amravati-25-26'!$A$9:$R$192,17,0)</f>
        <v>231120</v>
      </c>
      <c r="AQ82" s="55">
        <f>VLOOKUP(A82,'Profit Loss-Betul-25-26'!$A$9:$R$141,17,0)</f>
        <v>1480619</v>
      </c>
      <c r="AR82" s="55"/>
      <c r="AS82" s="56">
        <f t="shared" si="169"/>
        <v>1711739</v>
      </c>
      <c r="AT82" s="65">
        <f t="shared" si="170"/>
        <v>384402</v>
      </c>
      <c r="AU82" s="55">
        <f>VLOOKUP(A82,'Profit Loss-Amravati-25-26'!$A$9:$T$192,19,0)</f>
        <v>351120</v>
      </c>
      <c r="AV82" s="55">
        <f>VLOOKUP(A82,'Profit Loss-Betul-25-26'!$A$9:$T$141,19,0)</f>
        <v>1672586</v>
      </c>
      <c r="AW82" s="55"/>
      <c r="AX82" s="56">
        <f t="shared" si="171"/>
        <v>2023706</v>
      </c>
      <c r="AY82" s="65">
        <f t="shared" si="172"/>
        <v>311967</v>
      </c>
      <c r="AZ82" s="55">
        <f>VLOOKUP(A82,'Profit Loss-Amravati-25-26'!$A$9:$V$192,21,0)</f>
        <v>444490</v>
      </c>
      <c r="BA82" s="55">
        <f>VLOOKUP(A82,'Profit Loss-Betul-25-26'!$A$9:$V$141,21,0)</f>
        <v>1852183</v>
      </c>
      <c r="BB82" s="55"/>
      <c r="BC82" s="56">
        <f t="shared" si="173"/>
        <v>2296673</v>
      </c>
      <c r="BD82" s="65">
        <f t="shared" si="174"/>
        <v>272967</v>
      </c>
      <c r="BE82" s="55"/>
      <c r="BF82" s="55"/>
    </row>
    <row r="83" spans="1:65" x14ac:dyDescent="0.3">
      <c r="A83" s="10" t="s">
        <v>47</v>
      </c>
      <c r="B83" s="11">
        <f>VLOOKUP(A83,'Profit Loss-Textile'!$A$8:$B$135,2,0)</f>
        <v>0</v>
      </c>
      <c r="C83" s="11">
        <f>VLOOKUP(A83,'Profit Loss-Amravati-25-26'!$A$13:$B$190,2,0)</f>
        <v>5020.3999999999996</v>
      </c>
      <c r="D83" s="57"/>
      <c r="E83" s="57"/>
      <c r="F83" s="65">
        <f t="shared" si="179"/>
        <v>5020.3999999999996</v>
      </c>
      <c r="G83" s="11">
        <f>VLOOKUP(A83,'Profit Loss-Amravati-25-26'!$A$9:$D$190,3,0)</f>
        <v>5020.3999999999996</v>
      </c>
      <c r="H83" s="57"/>
      <c r="I83" s="57"/>
      <c r="J83" s="56">
        <f t="shared" si="160"/>
        <v>5020.3999999999996</v>
      </c>
      <c r="K83" s="65">
        <f t="shared" si="150"/>
        <v>0</v>
      </c>
      <c r="L83" s="55">
        <f>VLOOKUP(A83,'Profit Loss-Amravati-25-26'!$A$9:$F$190,5,0)</f>
        <v>10511.88</v>
      </c>
      <c r="M83" s="55"/>
      <c r="N83" s="55"/>
      <c r="O83" s="56">
        <f t="shared" si="161"/>
        <v>10511.88</v>
      </c>
      <c r="P83" s="65">
        <f t="shared" si="162"/>
        <v>5491.48</v>
      </c>
      <c r="Q83" s="55">
        <f>VLOOKUP(A83,'Profit Loss-Amravati-25-26'!$A$9:$H$190,7,0)</f>
        <v>36893.879999999997</v>
      </c>
      <c r="R83" s="55"/>
      <c r="S83" s="55"/>
      <c r="T83" s="56">
        <f t="shared" si="175"/>
        <v>36893.879999999997</v>
      </c>
      <c r="U83" s="65">
        <f t="shared" si="176"/>
        <v>26382</v>
      </c>
      <c r="V83" s="55">
        <f>VLOOKUP(A83,'Profit Loss-Amravati-25-26'!$A$9:$J$190,9,0)</f>
        <v>10511.88</v>
      </c>
      <c r="W83" s="55"/>
      <c r="X83" s="55"/>
      <c r="Y83" s="56">
        <f t="shared" si="177"/>
        <v>10511.88</v>
      </c>
      <c r="Z83" s="65">
        <f t="shared" si="178"/>
        <v>-26382</v>
      </c>
      <c r="AA83" s="55">
        <f>VLOOKUP(A83,'Profit Loss-Amravati-25-26'!$A$9:$L$192,11,0)</f>
        <v>13011.88</v>
      </c>
      <c r="AB83" s="55"/>
      <c r="AC83" s="55"/>
      <c r="AD83" s="56">
        <f t="shared" si="163"/>
        <v>13011.88</v>
      </c>
      <c r="AE83" s="65">
        <f t="shared" si="164"/>
        <v>2500</v>
      </c>
      <c r="AF83" s="55">
        <f>VLOOKUP(A83,'Profit Loss-Amravati-25-26'!$A$9:$N$192,13,0)</f>
        <v>13011.88</v>
      </c>
      <c r="AG83" s="55"/>
      <c r="AH83" s="55"/>
      <c r="AI83" s="56">
        <f t="shared" si="165"/>
        <v>13011.88</v>
      </c>
      <c r="AJ83" s="65">
        <f t="shared" si="166"/>
        <v>0</v>
      </c>
      <c r="AK83" s="55">
        <f>VLOOKUP(A83,'Profit Loss-Amravati-25-26'!$A$9:$P$192,15,0)</f>
        <v>13011.88</v>
      </c>
      <c r="AL83" s="55"/>
      <c r="AM83" s="55"/>
      <c r="AN83" s="56">
        <f t="shared" si="167"/>
        <v>13011.88</v>
      </c>
      <c r="AO83" s="65">
        <f t="shared" si="168"/>
        <v>0</v>
      </c>
      <c r="AP83" s="55">
        <f>VLOOKUP(A83,'Profit Loss-Amravati-25-26'!$A$9:$R$192,17,0)</f>
        <v>39393.879999999997</v>
      </c>
      <c r="AQ83" s="55"/>
      <c r="AR83" s="55"/>
      <c r="AS83" s="56">
        <f t="shared" si="169"/>
        <v>39393.879999999997</v>
      </c>
      <c r="AT83" s="65">
        <f t="shared" si="170"/>
        <v>26382</v>
      </c>
      <c r="AU83" s="55">
        <f>VLOOKUP(A83,'Profit Loss-Amravati-25-26'!$A$9:$T$192,19,0)</f>
        <v>39393.879999999997</v>
      </c>
      <c r="AV83" s="55"/>
      <c r="AW83" s="55"/>
      <c r="AX83" s="56">
        <f t="shared" si="171"/>
        <v>39393.879999999997</v>
      </c>
      <c r="AY83" s="65">
        <f t="shared" si="172"/>
        <v>0</v>
      </c>
      <c r="AZ83" s="55">
        <f>VLOOKUP(A83,'Profit Loss-Amravati-25-26'!$A$9:$V$192,21,0)</f>
        <v>39393.879999999997</v>
      </c>
      <c r="BA83" s="55"/>
      <c r="BB83" s="55"/>
      <c r="BC83" s="56">
        <f t="shared" si="173"/>
        <v>39393.879999999997</v>
      </c>
      <c r="BD83" s="65">
        <f t="shared" si="174"/>
        <v>0</v>
      </c>
      <c r="BE83" s="55"/>
      <c r="BF83" s="55"/>
    </row>
    <row r="84" spans="1:65" x14ac:dyDescent="0.3">
      <c r="A84" s="10" t="s">
        <v>55</v>
      </c>
      <c r="B84" s="11"/>
      <c r="C84" s="11">
        <f>VLOOKUP(A84,'Profit Loss-Amravati-25-26'!$A$13:$B$190,2,0)</f>
        <v>154906.9</v>
      </c>
      <c r="D84" s="57"/>
      <c r="E84" s="57"/>
      <c r="F84" s="65">
        <f t="shared" si="179"/>
        <v>154906.9</v>
      </c>
      <c r="G84" s="11">
        <f>VLOOKUP(A84,'Profit Loss-Amravati-25-26'!$A$9:$D$190,3,0)</f>
        <v>448759.9</v>
      </c>
      <c r="H84" s="57"/>
      <c r="I84" s="57"/>
      <c r="J84" s="56">
        <f t="shared" si="160"/>
        <v>448759.9</v>
      </c>
      <c r="K84" s="65">
        <f t="shared" si="150"/>
        <v>293853</v>
      </c>
      <c r="L84" s="55">
        <f>VLOOKUP(A84,'Profit Loss-Amravati-25-26'!$A$9:$F$190,5,0)</f>
        <v>559200.9</v>
      </c>
      <c r="M84" s="55"/>
      <c r="N84" s="55"/>
      <c r="O84" s="56">
        <f t="shared" si="161"/>
        <v>559200.9</v>
      </c>
      <c r="P84" s="65">
        <f t="shared" si="162"/>
        <v>110441</v>
      </c>
      <c r="Q84" s="55">
        <f>VLOOKUP(A84,'Profit Loss-Amravati-25-26'!$A$9:$H$190,7,0)</f>
        <v>789858.5</v>
      </c>
      <c r="R84" s="55"/>
      <c r="S84" s="55"/>
      <c r="T84" s="56">
        <f t="shared" si="175"/>
        <v>789858.5</v>
      </c>
      <c r="U84" s="65">
        <f t="shared" si="176"/>
        <v>230657.59999999998</v>
      </c>
      <c r="V84" s="55">
        <f>VLOOKUP(A84,'Profit Loss-Amravati-25-26'!$A$9:$J$190,9,0)</f>
        <v>954250.7</v>
      </c>
      <c r="W84" s="55"/>
      <c r="X84" s="55"/>
      <c r="Y84" s="56">
        <f t="shared" si="177"/>
        <v>954250.7</v>
      </c>
      <c r="Z84" s="65">
        <f t="shared" si="178"/>
        <v>164392.19999999995</v>
      </c>
      <c r="AA84" s="55">
        <f>VLOOKUP(A84,'Profit Loss-Amravati-25-26'!$A$9:$L$192,11,0)</f>
        <v>1251679.73</v>
      </c>
      <c r="AB84" s="55"/>
      <c r="AC84" s="55"/>
      <c r="AD84" s="56">
        <f t="shared" si="163"/>
        <v>1251679.73</v>
      </c>
      <c r="AE84" s="65">
        <f t="shared" si="164"/>
        <v>297429.03000000003</v>
      </c>
      <c r="AF84" s="55">
        <f>VLOOKUP(A84,'Profit Loss-Amravati-25-26'!$A$9:$N$192,13,0)</f>
        <v>1683085.58</v>
      </c>
      <c r="AG84" s="55"/>
      <c r="AH84" s="55"/>
      <c r="AI84" s="56">
        <f t="shared" si="165"/>
        <v>1683085.58</v>
      </c>
      <c r="AJ84" s="65">
        <f t="shared" si="166"/>
        <v>431405.85000000009</v>
      </c>
      <c r="AK84" s="55">
        <f>VLOOKUP(A84,'Profit Loss-Amravati-25-26'!$A$9:$P$192,15,0)</f>
        <v>1939596.45</v>
      </c>
      <c r="AL84" s="55"/>
      <c r="AM84" s="55"/>
      <c r="AN84" s="56">
        <f t="shared" si="167"/>
        <v>1939596.45</v>
      </c>
      <c r="AO84" s="65">
        <f t="shared" si="168"/>
        <v>256510.86999999988</v>
      </c>
      <c r="AP84" s="55">
        <f>VLOOKUP(A84,'Profit Loss-Amravati-25-26'!$A$9:$R$192,17,0)</f>
        <v>2017706.45</v>
      </c>
      <c r="AQ84" s="55"/>
      <c r="AR84" s="55"/>
      <c r="AS84" s="56">
        <f t="shared" si="169"/>
        <v>2017706.45</v>
      </c>
      <c r="AT84" s="65">
        <f t="shared" si="170"/>
        <v>78110</v>
      </c>
      <c r="AU84" s="55">
        <f>VLOOKUP(A84,'Profit Loss-Amravati-25-26'!$A$9:$T$192,19,0)</f>
        <v>2282203.25</v>
      </c>
      <c r="AV84" s="55"/>
      <c r="AW84" s="55"/>
      <c r="AX84" s="56">
        <f t="shared" si="171"/>
        <v>2282203.25</v>
      </c>
      <c r="AY84" s="65">
        <f t="shared" si="172"/>
        <v>264496.80000000005</v>
      </c>
      <c r="AZ84" s="55">
        <f>VLOOKUP(A84,'Profit Loss-Amravati-25-26'!$A$9:$V$192,21,0)</f>
        <v>2398712.25</v>
      </c>
      <c r="BA84" s="55"/>
      <c r="BB84" s="55"/>
      <c r="BC84" s="56">
        <f t="shared" si="173"/>
        <v>2398712.25</v>
      </c>
      <c r="BD84" s="65">
        <f t="shared" si="174"/>
        <v>116509</v>
      </c>
      <c r="BE84" s="55"/>
      <c r="BF84" s="55"/>
    </row>
    <row r="85" spans="1:65" x14ac:dyDescent="0.3">
      <c r="A85" s="20" t="s">
        <v>360</v>
      </c>
      <c r="B85" s="11"/>
      <c r="C85" s="11">
        <f>VLOOKUP(A85,'Profit Loss-Amravati-25-26'!$A$13:$B$190,2,0)</f>
        <v>564066</v>
      </c>
      <c r="D85" s="57"/>
      <c r="E85" s="57"/>
      <c r="F85" s="65">
        <f t="shared" si="179"/>
        <v>564066</v>
      </c>
      <c r="G85" s="11">
        <f>+F85</f>
        <v>564066</v>
      </c>
      <c r="H85" s="57"/>
      <c r="I85" s="57"/>
      <c r="J85" s="56">
        <f t="shared" si="160"/>
        <v>564066</v>
      </c>
      <c r="K85" s="65">
        <f t="shared" si="150"/>
        <v>0</v>
      </c>
      <c r="L85" s="55">
        <f>VLOOKUP(A85,'Profit Loss-Amravati-25-26'!$A$9:$F$190,5,0)</f>
        <v>564066</v>
      </c>
      <c r="M85" s="55"/>
      <c r="N85" s="55"/>
      <c r="O85" s="56">
        <f t="shared" si="161"/>
        <v>564066</v>
      </c>
      <c r="P85" s="65">
        <f t="shared" si="162"/>
        <v>0</v>
      </c>
      <c r="Q85" s="55">
        <f>VLOOKUP(A85,'Profit Loss-Amravati-25-26'!$A$9:$H$190,7,0)</f>
        <v>564066</v>
      </c>
      <c r="R85" s="55"/>
      <c r="S85" s="55"/>
      <c r="T85" s="56">
        <f t="shared" si="175"/>
        <v>564066</v>
      </c>
      <c r="U85" s="65">
        <f t="shared" si="176"/>
        <v>0</v>
      </c>
      <c r="V85" s="55">
        <f>VLOOKUP(A85,'Profit Loss-Amravati-25-26'!$A$9:$J$190,9,0)</f>
        <v>564066</v>
      </c>
      <c r="W85" s="55"/>
      <c r="X85" s="55"/>
      <c r="Y85" s="56">
        <f t="shared" si="177"/>
        <v>564066</v>
      </c>
      <c r="Z85" s="65">
        <f t="shared" si="178"/>
        <v>0</v>
      </c>
      <c r="AA85" s="55">
        <f>VLOOKUP(A85,'Profit Loss-Amravati-25-26'!$A$9:$L$192,11,0)</f>
        <v>564066</v>
      </c>
      <c r="AB85" s="55"/>
      <c r="AC85" s="55"/>
      <c r="AD85" s="56">
        <f t="shared" si="163"/>
        <v>564066</v>
      </c>
      <c r="AE85" s="65">
        <f t="shared" si="164"/>
        <v>0</v>
      </c>
      <c r="AF85" s="55">
        <f>VLOOKUP(A85,'Profit Loss-Amravati-25-26'!$A$9:$N$192,13,0)</f>
        <v>564066</v>
      </c>
      <c r="AG85" s="55"/>
      <c r="AH85" s="55"/>
      <c r="AI85" s="56">
        <f t="shared" si="165"/>
        <v>564066</v>
      </c>
      <c r="AJ85" s="65">
        <f t="shared" si="166"/>
        <v>0</v>
      </c>
      <c r="AK85" s="55">
        <f>VLOOKUP(A85,'Profit Loss-Amravati-25-26'!$A$9:$P$192,15,0)</f>
        <v>564066</v>
      </c>
      <c r="AL85" s="55"/>
      <c r="AM85" s="55"/>
      <c r="AN85" s="56">
        <f t="shared" si="167"/>
        <v>564066</v>
      </c>
      <c r="AO85" s="65">
        <f t="shared" si="168"/>
        <v>0</v>
      </c>
      <c r="AP85" s="55">
        <f>VLOOKUP(A85,'Profit Loss-Amravati-25-26'!$A$9:$R$192,17,0)</f>
        <v>564066</v>
      </c>
      <c r="AQ85" s="55"/>
      <c r="AR85" s="55"/>
      <c r="AS85" s="56">
        <f t="shared" si="169"/>
        <v>564066</v>
      </c>
      <c r="AT85" s="65">
        <f t="shared" si="170"/>
        <v>0</v>
      </c>
      <c r="AU85" s="55">
        <f>VLOOKUP(A85,'Profit Loss-Amravati-25-26'!$A$9:$T$192,19,0)</f>
        <v>564066</v>
      </c>
      <c r="AV85" s="55"/>
      <c r="AW85" s="55"/>
      <c r="AX85" s="56">
        <f t="shared" si="171"/>
        <v>564066</v>
      </c>
      <c r="AY85" s="65">
        <f t="shared" si="172"/>
        <v>0</v>
      </c>
      <c r="AZ85" s="55">
        <f>VLOOKUP(A85,'Profit Loss-Amravati-25-26'!$A$9:$V$192,21,0)</f>
        <v>564066</v>
      </c>
      <c r="BA85" s="55"/>
      <c r="BB85" s="55"/>
      <c r="BC85" s="56">
        <f t="shared" si="173"/>
        <v>564066</v>
      </c>
      <c r="BD85" s="65">
        <f t="shared" si="174"/>
        <v>0</v>
      </c>
      <c r="BE85" s="55"/>
      <c r="BF85" s="55"/>
    </row>
    <row r="86" spans="1:65" x14ac:dyDescent="0.3">
      <c r="A86" s="20" t="s">
        <v>361</v>
      </c>
      <c r="B86" s="11"/>
      <c r="C86" s="11">
        <f>VLOOKUP(A86,'Profit Loss-Amravati-25-26'!$A$13:$B$190,2,0)</f>
        <v>-583066</v>
      </c>
      <c r="D86" s="57"/>
      <c r="E86" s="57"/>
      <c r="F86" s="65">
        <f t="shared" si="179"/>
        <v>-583066</v>
      </c>
      <c r="G86" s="11">
        <f>+'Profit Loss-Amravati-25-26'!C85</f>
        <v>0</v>
      </c>
      <c r="H86" s="57"/>
      <c r="I86" s="57"/>
      <c r="J86" s="56">
        <f t="shared" si="160"/>
        <v>0</v>
      </c>
      <c r="K86" s="65">
        <f t="shared" si="150"/>
        <v>583066</v>
      </c>
      <c r="L86" s="55">
        <f>VLOOKUP(A86,'Profit Loss-Amravati-25-26'!$A$9:$F$190,5,0)</f>
        <v>-671047</v>
      </c>
      <c r="M86" s="55"/>
      <c r="N86" s="55"/>
      <c r="O86" s="56">
        <f t="shared" si="161"/>
        <v>-671047</v>
      </c>
      <c r="P86" s="65">
        <f t="shared" si="162"/>
        <v>-671047</v>
      </c>
      <c r="Q86" s="55">
        <f>VLOOKUP(A86,'Profit Loss-Amravati-25-26'!$A$9:$H$190,7,0)</f>
        <v>-841953.5</v>
      </c>
      <c r="R86" s="55"/>
      <c r="S86" s="55"/>
      <c r="T86" s="56">
        <f t="shared" si="175"/>
        <v>-841953.5</v>
      </c>
      <c r="U86" s="65">
        <f t="shared" si="176"/>
        <v>-170906.5</v>
      </c>
      <c r="V86" s="55">
        <f>VLOOKUP(A86,'Profit Loss-Amravati-25-26'!$A$9:$J$190,9,0)</f>
        <v>-1480923.7</v>
      </c>
      <c r="W86" s="55"/>
      <c r="X86" s="55"/>
      <c r="Y86" s="56">
        <f t="shared" si="177"/>
        <v>-1480923.7</v>
      </c>
      <c r="Z86" s="65">
        <f t="shared" si="178"/>
        <v>-638970.19999999995</v>
      </c>
      <c r="AA86" s="55">
        <f>VLOOKUP(A86,'Profit Loss-Amravati-25-26'!$A$9:$L$192,11,0)</f>
        <v>-826333</v>
      </c>
      <c r="AB86" s="55"/>
      <c r="AC86" s="55"/>
      <c r="AD86" s="56">
        <f t="shared" si="163"/>
        <v>-826333</v>
      </c>
      <c r="AE86" s="65">
        <f t="shared" si="164"/>
        <v>654590.69999999995</v>
      </c>
      <c r="AF86" s="55">
        <f>VLOOKUP(A86,'Profit Loss-Amravati-25-26'!$A$9:$N$192,13,0)</f>
        <v>-1094236</v>
      </c>
      <c r="AG86" s="55"/>
      <c r="AH86" s="55"/>
      <c r="AI86" s="56">
        <f t="shared" si="165"/>
        <v>-1094236</v>
      </c>
      <c r="AJ86" s="65">
        <f t="shared" si="166"/>
        <v>-267903</v>
      </c>
      <c r="AK86" s="55">
        <f>VLOOKUP(A86,'Profit Loss-Amravati-25-26'!$A$9:$P$192,15,0)</f>
        <v>-1133460</v>
      </c>
      <c r="AL86" s="55"/>
      <c r="AM86" s="55"/>
      <c r="AN86" s="56">
        <f t="shared" si="167"/>
        <v>-1133460</v>
      </c>
      <c r="AO86" s="65">
        <f t="shared" si="168"/>
        <v>-39224</v>
      </c>
      <c r="AP86" s="55">
        <f>VLOOKUP(A86,'Profit Loss-Amravati-25-26'!$A$9:$R$192,17,0)</f>
        <v>-1196226</v>
      </c>
      <c r="AQ86" s="55"/>
      <c r="AR86" s="55"/>
      <c r="AS86" s="56">
        <f t="shared" si="169"/>
        <v>-1196226</v>
      </c>
      <c r="AT86" s="65">
        <f t="shared" si="170"/>
        <v>-62766</v>
      </c>
      <c r="AU86" s="55">
        <f>VLOOKUP(A86,'Profit Loss-Amravati-25-26'!$A$9:$T$192,19,0)</f>
        <v>-1133861</v>
      </c>
      <c r="AV86" s="55"/>
      <c r="AW86" s="55"/>
      <c r="AX86" s="56">
        <f t="shared" si="171"/>
        <v>-1133861</v>
      </c>
      <c r="AY86" s="65">
        <f t="shared" si="172"/>
        <v>62365</v>
      </c>
      <c r="AZ86" s="55">
        <f>VLOOKUP(A86,'Profit Loss-Amravati-25-26'!$A$9:$V$192,21,0)</f>
        <v>-1101849</v>
      </c>
      <c r="BA86" s="55"/>
      <c r="BB86" s="55"/>
      <c r="BC86" s="56">
        <f t="shared" si="173"/>
        <v>-1101849</v>
      </c>
      <c r="BD86" s="65">
        <f t="shared" si="174"/>
        <v>32012</v>
      </c>
      <c r="BE86" s="55"/>
      <c r="BF86" s="55"/>
    </row>
    <row r="87" spans="1:65" x14ac:dyDescent="0.3">
      <c r="A87" s="10" t="s">
        <v>200</v>
      </c>
      <c r="B87" s="11"/>
      <c r="C87" s="11">
        <f>VLOOKUP(A87,'Profit Loss-Amravati-25-26'!$A$13:$B$190,2,0)</f>
        <v>59130.6</v>
      </c>
      <c r="D87" s="57">
        <f>VLOOKUP(A87,'Profit Loss-Betul-25-26'!$A$9:$B$140,2,0)</f>
        <v>18120</v>
      </c>
      <c r="E87" s="57"/>
      <c r="F87" s="65">
        <f t="shared" si="179"/>
        <v>77250.600000000006</v>
      </c>
      <c r="G87" s="11">
        <f>VLOOKUP(A87,'Profit Loss-Amravati-25-26'!$A$9:$D$190,3,0)</f>
        <v>373364.47999999998</v>
      </c>
      <c r="H87" s="57">
        <f>VLOOKUP(A87,'Profit Loss-Betul-25-26'!$A$9:$D$140,3,0)</f>
        <v>18120</v>
      </c>
      <c r="I87" s="57"/>
      <c r="J87" s="56">
        <f t="shared" si="160"/>
        <v>391484.48</v>
      </c>
      <c r="K87" s="65">
        <f t="shared" si="150"/>
        <v>314233.88</v>
      </c>
      <c r="L87" s="55">
        <f>VLOOKUP(A87,'Profit Loss-Amravati-25-26'!$A$9:$F$190,5,0)</f>
        <v>428677.54</v>
      </c>
      <c r="M87" s="55">
        <f>VLOOKUP(A87,'Profit Loss-Betul-25-26'!$A$9:$F$141,5,0)</f>
        <v>96043.72</v>
      </c>
      <c r="N87" s="55"/>
      <c r="O87" s="56">
        <f t="shared" si="161"/>
        <v>524721.26</v>
      </c>
      <c r="P87" s="65">
        <f t="shared" si="162"/>
        <v>133236.78000000003</v>
      </c>
      <c r="Q87" s="55">
        <f>VLOOKUP(A87,'Profit Loss-Amravati-25-26'!$A$9:$H$190,7,0)</f>
        <v>470977.14</v>
      </c>
      <c r="R87" s="55">
        <f>VLOOKUP(A87,'Profit Loss-Betul-25-26'!$A$9:$H$141,7,0)</f>
        <v>96043.72</v>
      </c>
      <c r="S87" s="55"/>
      <c r="T87" s="56">
        <f t="shared" si="175"/>
        <v>567020.86</v>
      </c>
      <c r="U87" s="65">
        <f t="shared" si="176"/>
        <v>42299.599999999977</v>
      </c>
      <c r="V87" s="55">
        <f>VLOOKUP(A87,'Profit Loss-Amravati-25-26'!$A$9:$J$190,9,0)</f>
        <v>500499.18</v>
      </c>
      <c r="W87" s="55">
        <f>VLOOKUP(A87,'Profit Loss-Betul-25-26'!$A$9:$J$141,9,0)</f>
        <v>96043.72</v>
      </c>
      <c r="X87" s="55"/>
      <c r="Y87" s="56">
        <f t="shared" si="177"/>
        <v>596542.9</v>
      </c>
      <c r="Z87" s="65">
        <f t="shared" si="178"/>
        <v>29522.040000000037</v>
      </c>
      <c r="AA87" s="55">
        <f>VLOOKUP(A87,'Profit Loss-Amravati-25-26'!$A$9:$L$192,11,0)</f>
        <v>518256.82</v>
      </c>
      <c r="AB87" s="55">
        <f>VLOOKUP(A87,'Profit Loss-Betul-25-26'!$A$9:$L$141,11,0)</f>
        <v>96043.72</v>
      </c>
      <c r="AC87" s="55"/>
      <c r="AD87" s="56">
        <f t="shared" si="163"/>
        <v>614300.54</v>
      </c>
      <c r="AE87" s="65">
        <f t="shared" si="164"/>
        <v>17757.640000000014</v>
      </c>
      <c r="AF87" s="55">
        <f>VLOOKUP(A87,'Profit Loss-Amravati-25-26'!$A$9:$N$192,13,0)</f>
        <v>518256.82</v>
      </c>
      <c r="AG87" s="55">
        <f>VLOOKUP(A87,'Profit Loss-Betul-25-26'!$A$9:$N$141,13,0)</f>
        <v>96043.72</v>
      </c>
      <c r="AH87" s="55"/>
      <c r="AI87" s="56">
        <f t="shared" si="165"/>
        <v>614300.54</v>
      </c>
      <c r="AJ87" s="65">
        <f t="shared" si="166"/>
        <v>0</v>
      </c>
      <c r="AK87" s="55">
        <f>VLOOKUP(A87,'Profit Loss-Amravati-25-26'!$A$9:$P$192,15,0)</f>
        <v>523880.5</v>
      </c>
      <c r="AL87" s="55">
        <f>VLOOKUP(A87,'Profit Loss-Betul-25-26'!$A$9:$P$141,15,0)</f>
        <v>107043.72</v>
      </c>
      <c r="AM87" s="55"/>
      <c r="AN87" s="56">
        <f t="shared" si="167"/>
        <v>630924.22</v>
      </c>
      <c r="AO87" s="65">
        <f t="shared" si="168"/>
        <v>16623.679999999935</v>
      </c>
      <c r="AP87" s="55">
        <f>VLOOKUP(A87,'Profit Loss-Amravati-25-26'!$A$9:$R$192,17,0)</f>
        <v>602137.81999999995</v>
      </c>
      <c r="AQ87" s="55">
        <f>VLOOKUP(A87,'Profit Loss-Betul-25-26'!$A$9:$R$141,17,0)</f>
        <v>107043.72</v>
      </c>
      <c r="AR87" s="55"/>
      <c r="AS87" s="56">
        <f t="shared" si="169"/>
        <v>709181.53999999992</v>
      </c>
      <c r="AT87" s="65">
        <f t="shared" si="170"/>
        <v>78257.319999999949</v>
      </c>
      <c r="AU87" s="55">
        <f>VLOOKUP(A87,'Profit Loss-Amravati-25-26'!$A$9:$T$192,19,0)</f>
        <v>675450.3</v>
      </c>
      <c r="AV87" s="55">
        <f>VLOOKUP(A87,'Profit Loss-Betul-25-26'!$A$9:$T$141,19,0)</f>
        <v>114384.12</v>
      </c>
      <c r="AW87" s="55"/>
      <c r="AX87" s="56">
        <f t="shared" si="171"/>
        <v>789834.42</v>
      </c>
      <c r="AY87" s="65">
        <f t="shared" si="172"/>
        <v>80652.880000000121</v>
      </c>
      <c r="AZ87" s="55">
        <f>VLOOKUP(A87,'Profit Loss-Amravati-25-26'!$A$9:$V$192,21,0)</f>
        <v>716961.3</v>
      </c>
      <c r="BA87" s="55">
        <f>VLOOKUP(A87,'Profit Loss-Betul-25-26'!$A$9:$V$141,21,0)</f>
        <v>556145.76</v>
      </c>
      <c r="BB87" s="55"/>
      <c r="BC87" s="56">
        <f t="shared" si="173"/>
        <v>1273107.06</v>
      </c>
      <c r="BD87" s="65">
        <f t="shared" si="174"/>
        <v>483272.64</v>
      </c>
      <c r="BE87" s="55"/>
      <c r="BF87" s="55"/>
    </row>
    <row r="88" spans="1:65" x14ac:dyDescent="0.3">
      <c r="A88" s="10" t="s">
        <v>196</v>
      </c>
      <c r="B88" s="11"/>
      <c r="C88" s="11"/>
      <c r="D88" s="57"/>
      <c r="E88" s="57"/>
      <c r="F88" s="65"/>
      <c r="G88" s="11"/>
      <c r="H88" s="57"/>
      <c r="I88" s="57"/>
      <c r="J88" s="56"/>
      <c r="K88" s="65">
        <f t="shared" si="150"/>
        <v>0</v>
      </c>
      <c r="L88" s="55">
        <f>VLOOKUP(A88,'Profit Loss-Amravati-25-26'!$A$9:$F$190,5,0)</f>
        <v>1145</v>
      </c>
      <c r="M88" s="55"/>
      <c r="N88" s="55"/>
      <c r="O88" s="56">
        <f t="shared" si="161"/>
        <v>1145</v>
      </c>
      <c r="P88" s="65">
        <f t="shared" si="162"/>
        <v>1145</v>
      </c>
      <c r="Q88" s="55">
        <f>VLOOKUP(A88,'Profit Loss-Amravati-25-26'!$A$9:$H$190,7,0)</f>
        <v>1145</v>
      </c>
      <c r="R88" s="55"/>
      <c r="S88" s="55"/>
      <c r="T88" s="56">
        <f t="shared" si="175"/>
        <v>1145</v>
      </c>
      <c r="U88" s="65">
        <f t="shared" si="176"/>
        <v>0</v>
      </c>
      <c r="V88" s="55">
        <f>VLOOKUP(A88,'Profit Loss-Amravati-25-26'!$A$9:$J$190,9,0)</f>
        <v>1145</v>
      </c>
      <c r="W88" s="55"/>
      <c r="X88" s="55"/>
      <c r="Y88" s="56">
        <f t="shared" si="177"/>
        <v>1145</v>
      </c>
      <c r="Z88" s="65">
        <f t="shared" si="178"/>
        <v>0</v>
      </c>
      <c r="AA88" s="55">
        <f>VLOOKUP(A88,'Profit Loss-Amravati-25-26'!$A$9:$L$192,11,0)</f>
        <v>1145</v>
      </c>
      <c r="AB88" s="55"/>
      <c r="AC88" s="55"/>
      <c r="AD88" s="56">
        <f t="shared" si="163"/>
        <v>1145</v>
      </c>
      <c r="AE88" s="65">
        <f t="shared" si="164"/>
        <v>0</v>
      </c>
      <c r="AF88" s="55">
        <f>VLOOKUP(A88,'Profit Loss-Amravati-25-26'!$A$9:$N$192,13,0)</f>
        <v>2290</v>
      </c>
      <c r="AG88" s="55"/>
      <c r="AH88" s="55"/>
      <c r="AI88" s="56">
        <f t="shared" si="165"/>
        <v>2290</v>
      </c>
      <c r="AJ88" s="65">
        <f t="shared" si="166"/>
        <v>1145</v>
      </c>
      <c r="AK88" s="55">
        <f>VLOOKUP(A88,'Profit Loss-Amravati-25-26'!$A$9:$P$192,15,0)</f>
        <v>2290</v>
      </c>
      <c r="AL88" s="55"/>
      <c r="AM88" s="55"/>
      <c r="AN88" s="56">
        <f t="shared" si="167"/>
        <v>2290</v>
      </c>
      <c r="AO88" s="65">
        <f t="shared" si="168"/>
        <v>0</v>
      </c>
      <c r="AP88" s="55">
        <f>VLOOKUP(A88,'Profit Loss-Amravati-25-26'!$A$9:$R$192,17,0)</f>
        <v>2290</v>
      </c>
      <c r="AQ88" s="55"/>
      <c r="AR88" s="55"/>
      <c r="AS88" s="56">
        <f t="shared" si="169"/>
        <v>2290</v>
      </c>
      <c r="AT88" s="65">
        <f t="shared" si="170"/>
        <v>0</v>
      </c>
      <c r="AU88" s="55">
        <f>VLOOKUP(A88,'Profit Loss-Amravati-25-26'!$A$9:$T$192,19,0)</f>
        <v>2290</v>
      </c>
      <c r="AV88" s="55"/>
      <c r="AW88" s="55"/>
      <c r="AX88" s="56">
        <f t="shared" si="171"/>
        <v>2290</v>
      </c>
      <c r="AY88" s="65">
        <f t="shared" si="172"/>
        <v>0</v>
      </c>
      <c r="AZ88" s="55">
        <f>VLOOKUP(A88,'Profit Loss-Amravati-25-26'!$A$9:$V$192,21,0)</f>
        <v>2290</v>
      </c>
      <c r="BA88" s="55"/>
      <c r="BB88" s="55"/>
      <c r="BC88" s="56">
        <f t="shared" si="173"/>
        <v>2290</v>
      </c>
      <c r="BD88" s="65">
        <f t="shared" si="174"/>
        <v>0</v>
      </c>
      <c r="BE88" s="55"/>
      <c r="BF88" s="55"/>
    </row>
    <row r="89" spans="1:65" x14ac:dyDescent="0.3">
      <c r="A89" s="10" t="s">
        <v>201</v>
      </c>
      <c r="B89" s="11"/>
      <c r="C89" s="11">
        <f>VLOOKUP(A89,'Profit Loss-Amravati-25-26'!$A$13:$B$190,2,0)</f>
        <v>149230.46</v>
      </c>
      <c r="D89" s="57">
        <f>VLOOKUP(A89,'Profit Loss-Betul-25-26'!$A$9:$B$140,2,0)</f>
        <v>0</v>
      </c>
      <c r="E89" s="57"/>
      <c r="F89" s="65">
        <f t="shared" ref="F89:F124" si="180">+B89+C89+D89</f>
        <v>149230.46</v>
      </c>
      <c r="G89" s="11">
        <f>VLOOKUP(A89,'Profit Loss-Amravati-25-26'!$A$9:$D$190,3,0)</f>
        <v>177400.46</v>
      </c>
      <c r="H89" s="57">
        <f>VLOOKUP(A89,'Profit Loss-Betul-25-26'!$A$9:$D$140,3,0)</f>
        <v>0</v>
      </c>
      <c r="I89" s="57"/>
      <c r="J89" s="56">
        <f>SUM(G89:I89)</f>
        <v>177400.46</v>
      </c>
      <c r="K89" s="65">
        <f t="shared" si="150"/>
        <v>28170</v>
      </c>
      <c r="L89" s="55">
        <f>VLOOKUP(A89,'Profit Loss-Amravati-25-26'!$A$9:$F$190,5,0)</f>
        <v>554755.46</v>
      </c>
      <c r="M89" s="55">
        <f>VLOOKUP(A89,'Profit Loss-Betul-25-26'!$A$9:$F$141,5,0)</f>
        <v>0</v>
      </c>
      <c r="N89" s="55"/>
      <c r="O89" s="56">
        <f t="shared" si="161"/>
        <v>554755.46</v>
      </c>
      <c r="P89" s="65">
        <f t="shared" si="162"/>
        <v>377355</v>
      </c>
      <c r="Q89" s="55">
        <f>VLOOKUP(A89,'Profit Loss-Amravati-25-26'!$A$9:$H$190,7,0)</f>
        <v>698450.46</v>
      </c>
      <c r="R89" s="55">
        <f>VLOOKUP(A89,'Profit Loss-Betul-25-26'!$A$9:$H$141,7,0)</f>
        <v>0</v>
      </c>
      <c r="S89" s="55"/>
      <c r="T89" s="56">
        <f t="shared" si="175"/>
        <v>698450.46</v>
      </c>
      <c r="U89" s="65">
        <f t="shared" si="176"/>
        <v>143695</v>
      </c>
      <c r="V89" s="55">
        <f>VLOOKUP(A89,'Profit Loss-Amravati-25-26'!$A$9:$J$190,9,0)</f>
        <v>698750.46</v>
      </c>
      <c r="W89" s="55">
        <f>VLOOKUP(A89,'Profit Loss-Betul-25-26'!$A$9:$J$141,9,0)</f>
        <v>0</v>
      </c>
      <c r="X89" s="55"/>
      <c r="Y89" s="56">
        <f t="shared" si="177"/>
        <v>698750.46</v>
      </c>
      <c r="Z89" s="65">
        <f t="shared" si="178"/>
        <v>300</v>
      </c>
      <c r="AA89" s="55">
        <f>VLOOKUP(A89,'Profit Loss-Amravati-25-26'!$A$9:$L$192,11,0)</f>
        <v>709950.46</v>
      </c>
      <c r="AB89" s="55">
        <f>VLOOKUP(A89,'Profit Loss-Betul-25-26'!$A$9:$L$141,11,0)</f>
        <v>0</v>
      </c>
      <c r="AC89" s="55"/>
      <c r="AD89" s="56">
        <f t="shared" si="163"/>
        <v>709950.46</v>
      </c>
      <c r="AE89" s="65">
        <f t="shared" si="164"/>
        <v>11200</v>
      </c>
      <c r="AF89" s="55">
        <f>VLOOKUP(A89,'Profit Loss-Amravati-25-26'!$A$9:$N$192,13,0)</f>
        <v>709950.46</v>
      </c>
      <c r="AG89" s="55">
        <f>VLOOKUP(A89,'Profit Loss-Betul-25-26'!$A$9:$N$141,13,0)</f>
        <v>0</v>
      </c>
      <c r="AH89" s="55"/>
      <c r="AI89" s="56">
        <f t="shared" si="165"/>
        <v>709950.46</v>
      </c>
      <c r="AJ89" s="65">
        <f t="shared" si="166"/>
        <v>0</v>
      </c>
      <c r="AK89" s="55">
        <f>VLOOKUP(A89,'Profit Loss-Amravati-25-26'!$A$9:$P$192,15,0)</f>
        <v>709950.46</v>
      </c>
      <c r="AL89" s="55">
        <f>VLOOKUP(A89,'Profit Loss-Betul-25-26'!$A$9:$P$141,15,0)</f>
        <v>0</v>
      </c>
      <c r="AM89" s="55"/>
      <c r="AN89" s="56">
        <f t="shared" si="167"/>
        <v>709950.46</v>
      </c>
      <c r="AO89" s="65">
        <f t="shared" si="168"/>
        <v>0</v>
      </c>
      <c r="AP89" s="55">
        <f>VLOOKUP(A89,'Profit Loss-Amravati-25-26'!$A$9:$R$192,17,0)</f>
        <v>709950.46</v>
      </c>
      <c r="AQ89" s="55">
        <f>VLOOKUP(A89,'Profit Loss-Betul-25-26'!$A$9:$R$141,17,0)</f>
        <v>0</v>
      </c>
      <c r="AR89" s="55"/>
      <c r="AS89" s="56">
        <f t="shared" si="169"/>
        <v>709950.46</v>
      </c>
      <c r="AT89" s="65">
        <f t="shared" si="170"/>
        <v>0</v>
      </c>
      <c r="AU89" s="55">
        <f>VLOOKUP(A89,'Profit Loss-Amravati-25-26'!$A$9:$T$192,19,0)</f>
        <v>709950.46</v>
      </c>
      <c r="AV89" s="55">
        <f>VLOOKUP(A89,'Profit Loss-Betul-25-26'!$A$9:$T$141,19,0)</f>
        <v>0</v>
      </c>
      <c r="AW89" s="55"/>
      <c r="AX89" s="56">
        <f t="shared" si="171"/>
        <v>709950.46</v>
      </c>
      <c r="AY89" s="65">
        <f t="shared" si="172"/>
        <v>0</v>
      </c>
      <c r="AZ89" s="55">
        <f>VLOOKUP(A89,'Profit Loss-Amravati-25-26'!$A$9:$V$192,21,0)</f>
        <v>730200.46</v>
      </c>
      <c r="BA89" s="55">
        <f>VLOOKUP(A89,'Profit Loss-Betul-25-26'!$A$9:$V$141,21,0)</f>
        <v>0</v>
      </c>
      <c r="BB89" s="55"/>
      <c r="BC89" s="56">
        <f t="shared" si="173"/>
        <v>730200.46</v>
      </c>
      <c r="BD89" s="65">
        <f t="shared" si="174"/>
        <v>20250</v>
      </c>
      <c r="BE89" s="55"/>
      <c r="BF89" s="55"/>
    </row>
    <row r="90" spans="1:65" x14ac:dyDescent="0.3">
      <c r="A90" s="10" t="s">
        <v>48</v>
      </c>
      <c r="B90" s="11"/>
      <c r="C90" s="11">
        <f>VLOOKUP(A90,'Profit Loss-Amravati-25-26'!$A$13:$B$190,2,0)</f>
        <v>0</v>
      </c>
      <c r="D90" s="57">
        <f>VLOOKUP(A90,'Profit Loss-Betul-25-26'!$A$9:$B$140,2,0)</f>
        <v>0</v>
      </c>
      <c r="E90" s="57"/>
      <c r="F90" s="65">
        <f t="shared" si="180"/>
        <v>0</v>
      </c>
      <c r="G90" s="11">
        <f>VLOOKUP(A90,'Profit Loss-Amravati-25-26'!$A$9:$D$190,3,0)</f>
        <v>0</v>
      </c>
      <c r="H90" s="57">
        <f>VLOOKUP(A90,'Profit Loss-Betul-25-26'!$A$9:$D$140,3,0)</f>
        <v>6700</v>
      </c>
      <c r="I90" s="57"/>
      <c r="J90" s="56">
        <f>SUM(G90:I90)</f>
        <v>6700</v>
      </c>
      <c r="K90" s="65">
        <f t="shared" si="150"/>
        <v>6700</v>
      </c>
      <c r="L90" s="55">
        <f>VLOOKUP(A90,'Profit Loss-Amravati-25-26'!$A$9:$F$190,5,0)</f>
        <v>0</v>
      </c>
      <c r="M90" s="55">
        <f>VLOOKUP(A90,'Profit Loss-Betul-25-26'!$A$9:$F$141,5,0)</f>
        <v>6700</v>
      </c>
      <c r="N90" s="55"/>
      <c r="O90" s="56">
        <f t="shared" si="161"/>
        <v>6700</v>
      </c>
      <c r="P90" s="65">
        <f t="shared" si="162"/>
        <v>0</v>
      </c>
      <c r="Q90" s="55">
        <f>VLOOKUP(A90,'Profit Loss-Amravati-25-26'!$A$9:$H$190,7,0)</f>
        <v>0</v>
      </c>
      <c r="R90" s="55">
        <f>VLOOKUP(A90,'Profit Loss-Betul-25-26'!$A$9:$H$141,7,0)</f>
        <v>6700</v>
      </c>
      <c r="S90" s="55"/>
      <c r="T90" s="56">
        <f t="shared" si="175"/>
        <v>6700</v>
      </c>
      <c r="U90" s="65">
        <f t="shared" si="176"/>
        <v>0</v>
      </c>
      <c r="V90" s="55">
        <f>VLOOKUP(A90,'Profit Loss-Amravati-25-26'!$A$9:$J$190,9,0)</f>
        <v>0</v>
      </c>
      <c r="W90" s="55">
        <f>VLOOKUP(A90,'Profit Loss-Betul-25-26'!$A$9:$J$141,9,0)</f>
        <v>6700</v>
      </c>
      <c r="X90" s="55"/>
      <c r="Y90" s="56">
        <f t="shared" si="177"/>
        <v>6700</v>
      </c>
      <c r="Z90" s="65">
        <f t="shared" si="178"/>
        <v>0</v>
      </c>
      <c r="AA90" s="90">
        <f>VLOOKUP(A90,'Profit Loss-Amravati-25-26'!$A$9:$L$192,11,0)</f>
        <v>5075</v>
      </c>
      <c r="AB90" s="55">
        <f>VLOOKUP(A90,'Profit Loss-Betul-25-26'!$A$9:$L$141,11,0)</f>
        <v>6700</v>
      </c>
      <c r="AC90" s="55"/>
      <c r="AD90" s="56">
        <f t="shared" si="163"/>
        <v>11775</v>
      </c>
      <c r="AE90" s="65">
        <f t="shared" si="164"/>
        <v>5075</v>
      </c>
      <c r="AF90" s="55">
        <f>VLOOKUP(A90,'Profit Loss-Amravati-25-26'!$A$9:$N$192,13,0)</f>
        <v>5075</v>
      </c>
      <c r="AG90" s="55">
        <f>VLOOKUP(A90,'Profit Loss-Betul-25-26'!$A$9:$N$141,13,0)</f>
        <v>6700</v>
      </c>
      <c r="AH90" s="55"/>
      <c r="AI90" s="56">
        <f t="shared" si="165"/>
        <v>11775</v>
      </c>
      <c r="AJ90" s="65">
        <f t="shared" si="166"/>
        <v>0</v>
      </c>
      <c r="AK90" s="55">
        <f>VLOOKUP(A90,'Profit Loss-Amravati-25-26'!$A$9:$P$192,15,0)</f>
        <v>8757.24</v>
      </c>
      <c r="AL90" s="55">
        <f>VLOOKUP(A90,'Profit Loss-Betul-25-26'!$A$9:$P$141,15,0)</f>
        <v>6700</v>
      </c>
      <c r="AM90" s="55"/>
      <c r="AN90" s="56">
        <f t="shared" si="167"/>
        <v>15457.24</v>
      </c>
      <c r="AO90" s="65">
        <f t="shared" si="168"/>
        <v>3682.24</v>
      </c>
      <c r="AP90" s="55">
        <f>VLOOKUP(A90,'Profit Loss-Amravati-25-26'!$A$9:$R$192,17,0)</f>
        <v>8757.24</v>
      </c>
      <c r="AQ90" s="55">
        <f>VLOOKUP(A90,'Profit Loss-Betul-25-26'!$A$9:$R$141,17,0)</f>
        <v>8370</v>
      </c>
      <c r="AR90" s="55"/>
      <c r="AS90" s="56">
        <f t="shared" si="169"/>
        <v>17127.239999999998</v>
      </c>
      <c r="AT90" s="65">
        <f t="shared" si="170"/>
        <v>1669.9999999999982</v>
      </c>
      <c r="AU90" s="55">
        <f>VLOOKUP(A90,'Profit Loss-Amravati-25-26'!$A$9:$T$192,19,0)</f>
        <v>8757.24</v>
      </c>
      <c r="AV90" s="55">
        <f>VLOOKUP(A90,'Profit Loss-Betul-25-26'!$A$9:$T$141,19,0)</f>
        <v>8370</v>
      </c>
      <c r="AW90" s="55"/>
      <c r="AX90" s="56">
        <f t="shared" si="171"/>
        <v>17127.239999999998</v>
      </c>
      <c r="AY90" s="65">
        <f t="shared" si="172"/>
        <v>0</v>
      </c>
      <c r="AZ90" s="55">
        <f>VLOOKUP(A90,'Profit Loss-Amravati-25-26'!$A$9:$V$192,21,0)</f>
        <v>8757.24</v>
      </c>
      <c r="BA90" s="55">
        <f>VLOOKUP(A90,'Profit Loss-Betul-25-26'!$A$9:$V$141,21,0)</f>
        <v>13450</v>
      </c>
      <c r="BB90" s="55"/>
      <c r="BC90" s="56">
        <f t="shared" si="173"/>
        <v>22207.239999999998</v>
      </c>
      <c r="BD90" s="65">
        <f t="shared" si="174"/>
        <v>5080</v>
      </c>
      <c r="BE90" s="55"/>
      <c r="BF90" s="55"/>
    </row>
    <row r="91" spans="1:65" hidden="1" x14ac:dyDescent="0.3">
      <c r="A91" s="10" t="s">
        <v>41</v>
      </c>
      <c r="B91" s="11"/>
      <c r="C91" s="11"/>
      <c r="D91" s="57"/>
      <c r="E91" s="57"/>
      <c r="F91" s="65">
        <f t="shared" si="180"/>
        <v>0</v>
      </c>
      <c r="G91" s="11"/>
      <c r="H91" s="57"/>
      <c r="I91" s="57"/>
      <c r="J91" s="56">
        <f t="shared" ref="J91" si="181">SUM(G91:I91)</f>
        <v>0</v>
      </c>
      <c r="K91" s="65">
        <f t="shared" si="150"/>
        <v>0</v>
      </c>
      <c r="L91" s="55"/>
      <c r="M91" s="55"/>
      <c r="N91" s="55"/>
      <c r="O91" s="56">
        <f t="shared" ref="O91" si="182">SUM(L91:M91)</f>
        <v>0</v>
      </c>
      <c r="P91" s="65">
        <f t="shared" si="162"/>
        <v>0</v>
      </c>
      <c r="Q91" s="55"/>
      <c r="R91" s="55"/>
      <c r="S91" s="55"/>
      <c r="T91" s="56">
        <f t="shared" si="175"/>
        <v>0</v>
      </c>
      <c r="U91" s="65">
        <f t="shared" si="176"/>
        <v>0</v>
      </c>
      <c r="V91" s="55"/>
      <c r="W91" s="55"/>
      <c r="X91" s="55"/>
      <c r="Y91" s="56">
        <f t="shared" si="177"/>
        <v>0</v>
      </c>
      <c r="Z91" s="65">
        <f t="shared" si="178"/>
        <v>0</v>
      </c>
      <c r="AA91" s="55"/>
      <c r="AB91" s="55"/>
      <c r="AC91" s="55"/>
      <c r="AD91" s="56">
        <f t="shared" si="163"/>
        <v>0</v>
      </c>
      <c r="AE91" s="65">
        <f t="shared" si="164"/>
        <v>0</v>
      </c>
      <c r="AF91" s="55"/>
      <c r="AG91" s="55"/>
      <c r="AH91" s="55"/>
      <c r="AI91" s="56">
        <f t="shared" si="165"/>
        <v>0</v>
      </c>
      <c r="AJ91" s="65">
        <f t="shared" si="166"/>
        <v>0</v>
      </c>
      <c r="AK91" s="55"/>
      <c r="AL91" s="55"/>
      <c r="AM91" s="55"/>
      <c r="AN91" s="56">
        <f t="shared" si="167"/>
        <v>0</v>
      </c>
      <c r="AO91" s="65">
        <f t="shared" si="168"/>
        <v>0</v>
      </c>
      <c r="AP91" s="55"/>
      <c r="AQ91" s="55"/>
      <c r="AR91" s="55"/>
      <c r="AS91" s="56">
        <f t="shared" si="169"/>
        <v>0</v>
      </c>
      <c r="AT91" s="65">
        <f t="shared" si="170"/>
        <v>0</v>
      </c>
      <c r="AU91" s="55"/>
      <c r="AV91" s="55"/>
      <c r="AW91" s="55"/>
      <c r="AX91" s="56">
        <f t="shared" si="171"/>
        <v>0</v>
      </c>
      <c r="AY91" s="65">
        <f t="shared" si="172"/>
        <v>0</v>
      </c>
      <c r="AZ91" s="55"/>
      <c r="BA91" s="55"/>
      <c r="BB91" s="55"/>
      <c r="BC91" s="56">
        <f t="shared" si="173"/>
        <v>0</v>
      </c>
      <c r="BD91" s="65">
        <f t="shared" si="174"/>
        <v>0</v>
      </c>
      <c r="BE91" s="55"/>
      <c r="BF91" s="55"/>
    </row>
    <row r="92" spans="1:65" x14ac:dyDescent="0.3">
      <c r="A92" s="20" t="s">
        <v>192</v>
      </c>
      <c r="B92" s="11"/>
      <c r="C92" s="11">
        <f>VLOOKUP(A92,'Profit Loss-Amravati-25-26'!$A$13:$B$190,2,0)</f>
        <v>661568.86</v>
      </c>
      <c r="D92" s="57">
        <f>VLOOKUP(A92,'Profit Loss-Betul-25-26'!$A$9:$B$140,2,0)</f>
        <v>73178.92</v>
      </c>
      <c r="E92" s="57"/>
      <c r="F92" s="65">
        <f t="shared" si="180"/>
        <v>734747.78</v>
      </c>
      <c r="G92" s="11">
        <f>VLOOKUP(A92,'Profit Loss-Amravati-25-26'!$A$9:$D$190,3,0)</f>
        <v>1376215</v>
      </c>
      <c r="H92" s="57">
        <f>VLOOKUP(A92,'Profit Loss-Betul-25-26'!$A$9:$D$140,3,0)</f>
        <v>170665.58</v>
      </c>
      <c r="I92" s="57"/>
      <c r="J92" s="56">
        <f>SUM(G92:I92)</f>
        <v>1546880.58</v>
      </c>
      <c r="K92" s="65">
        <f t="shared" si="150"/>
        <v>812132.8</v>
      </c>
      <c r="L92" s="55">
        <f>VLOOKUP(A92,'Profit Loss-Amravati-25-26'!$A$9:$F$190,5,0)</f>
        <v>2001182.16</v>
      </c>
      <c r="M92" s="55">
        <f>VLOOKUP(A92,'Profit Loss-Betul-25-26'!$A$9:$F$141,5,0)</f>
        <v>259554</v>
      </c>
      <c r="N92" s="55"/>
      <c r="O92" s="56">
        <f>SUM(L92:M92)</f>
        <v>2260736.16</v>
      </c>
      <c r="P92" s="65">
        <f t="shared" si="162"/>
        <v>713855.58000000007</v>
      </c>
      <c r="Q92" s="55">
        <f>VLOOKUP(A92,'Profit Loss-Amravati-25-26'!$A$9:$H$190,7,0)</f>
        <v>2347243.38</v>
      </c>
      <c r="R92" s="55">
        <f>VLOOKUP(A92,'Profit Loss-Betul-25-26'!$A$9:$H$141,7,0)</f>
        <v>400539.68</v>
      </c>
      <c r="S92" s="55"/>
      <c r="T92" s="56">
        <f t="shared" si="175"/>
        <v>2747783.06</v>
      </c>
      <c r="U92" s="65">
        <f t="shared" si="176"/>
        <v>487046.89999999991</v>
      </c>
      <c r="V92" s="55">
        <f>VLOOKUP(A92,'Profit Loss-Amravati-25-26'!$A$9:$J$190,9,0)</f>
        <v>2703610.7</v>
      </c>
      <c r="W92" s="55">
        <f>VLOOKUP(A92,'Profit Loss-Betul-25-26'!$A$9:$J$141,9,0)</f>
        <v>452689.68</v>
      </c>
      <c r="X92" s="55"/>
      <c r="Y92" s="56">
        <f t="shared" si="177"/>
        <v>3156300.3800000004</v>
      </c>
      <c r="Z92" s="65">
        <f t="shared" si="178"/>
        <v>408517.3200000003</v>
      </c>
      <c r="AA92" s="55">
        <f>VLOOKUP(A92,'Profit Loss-Amravati-25-26'!$A$9:$L$192,11,0)</f>
        <v>3051851.14</v>
      </c>
      <c r="AB92" s="55">
        <f>VLOOKUP(A92,'Profit Loss-Betul-25-26'!$A$9:$L$141,11,0)</f>
        <v>478682.28</v>
      </c>
      <c r="AC92" s="55"/>
      <c r="AD92" s="56">
        <f t="shared" si="163"/>
        <v>3530533.42</v>
      </c>
      <c r="AE92" s="65">
        <f t="shared" si="164"/>
        <v>374233.03999999957</v>
      </c>
      <c r="AF92" s="55">
        <f>VLOOKUP(A92,'Profit Loss-Amravati-25-26'!$A$9:$N$192,13,0)</f>
        <v>3094182.68</v>
      </c>
      <c r="AG92" s="55">
        <f>VLOOKUP(A92,'Profit Loss-Betul-25-26'!$A$9:$N$141,13,0)</f>
        <v>509340.28</v>
      </c>
      <c r="AH92" s="55"/>
      <c r="AI92" s="56">
        <f t="shared" si="165"/>
        <v>3603522.96</v>
      </c>
      <c r="AJ92" s="65">
        <f t="shared" si="166"/>
        <v>72989.540000000037</v>
      </c>
      <c r="AK92" s="55">
        <f>VLOOKUP(A92,'Profit Loss-Amravati-25-26'!$A$9:$P$192,15,0)</f>
        <v>3354516.57</v>
      </c>
      <c r="AL92" s="55">
        <f>VLOOKUP(A92,'Profit Loss-Betul-25-26'!$A$9:$P$141,15,0)</f>
        <v>631653.67000000004</v>
      </c>
      <c r="AM92" s="55"/>
      <c r="AN92" s="56">
        <f t="shared" si="167"/>
        <v>3986170.2399999998</v>
      </c>
      <c r="AO92" s="65">
        <f t="shared" si="168"/>
        <v>382647.2799999998</v>
      </c>
      <c r="AP92" s="55">
        <f>VLOOKUP(A92,'Profit Loss-Amravati-25-26'!$A$9:$R$192,17,0)</f>
        <v>3569621.19</v>
      </c>
      <c r="AQ92" s="55">
        <f>VLOOKUP(A92,'Profit Loss-Betul-25-26'!$A$9:$R$141,17,0)</f>
        <v>882569.46</v>
      </c>
      <c r="AR92" s="55"/>
      <c r="AS92" s="56">
        <f t="shared" si="169"/>
        <v>4452190.6500000004</v>
      </c>
      <c r="AT92" s="65">
        <f t="shared" si="170"/>
        <v>466020.41000000061</v>
      </c>
      <c r="AU92" s="55">
        <f>VLOOKUP(A92,'Profit Loss-Amravati-25-26'!$A$9:$T$192,19,0)</f>
        <v>3988477.5700000003</v>
      </c>
      <c r="AV92" s="55">
        <f>VLOOKUP(A92,'Profit Loss-Betul-25-26'!$A$9:$T$141,19,0)</f>
        <v>923959.56</v>
      </c>
      <c r="AW92" s="55"/>
      <c r="AX92" s="56">
        <f t="shared" si="171"/>
        <v>4912437.1300000008</v>
      </c>
      <c r="AY92" s="65">
        <f t="shared" si="172"/>
        <v>460246.48000000045</v>
      </c>
      <c r="AZ92" s="55">
        <f>VLOOKUP(A92,'Profit Loss-Amravati-25-26'!$A$9:$V$192,21,0)</f>
        <v>4127708.75</v>
      </c>
      <c r="BA92" s="55">
        <f>VLOOKUP(A92,'Profit Loss-Betul-25-26'!$A$9:$V$141,21,0)</f>
        <v>1103395.05</v>
      </c>
      <c r="BB92" s="55"/>
      <c r="BC92" s="56">
        <f t="shared" si="173"/>
        <v>5231103.8</v>
      </c>
      <c r="BD92" s="65">
        <f t="shared" si="174"/>
        <v>318666.66999999899</v>
      </c>
      <c r="BE92" s="55"/>
      <c r="BF92" s="55"/>
      <c r="BL92" s="55"/>
      <c r="BM92" s="55"/>
    </row>
    <row r="93" spans="1:65" x14ac:dyDescent="0.3">
      <c r="A93" s="10" t="s">
        <v>64</v>
      </c>
      <c r="B93" s="11">
        <f>VLOOKUP(A93,'Profit Loss-Textile'!$A$8:$B$135,2,0)</f>
        <v>0</v>
      </c>
      <c r="C93" s="11">
        <f>VLOOKUP(A93,'Profit Loss-Amravati-25-26'!$A$13:$B$190,2,0)</f>
        <v>608.26</v>
      </c>
      <c r="D93" s="57">
        <f>VLOOKUP(A93,'Profit Loss-Betul-25-26'!$A$9:$B$140,2,0)</f>
        <v>0</v>
      </c>
      <c r="E93" s="57"/>
      <c r="F93" s="65">
        <f t="shared" si="180"/>
        <v>608.26</v>
      </c>
      <c r="G93" s="11">
        <f>VLOOKUP(A93,'Profit Loss-Amravati-25-26'!$A$9:$D$190,3,0)</f>
        <v>608.26</v>
      </c>
      <c r="H93" s="57">
        <f>VLOOKUP(A93,'Profit Loss-Betul-25-26'!$A$9:$D$140,3,0)</f>
        <v>0</v>
      </c>
      <c r="I93" s="57"/>
      <c r="J93" s="56">
        <f t="shared" ref="J93:J161" si="183">SUM(G93:I93)</f>
        <v>608.26</v>
      </c>
      <c r="K93" s="65">
        <f t="shared" si="150"/>
        <v>0</v>
      </c>
      <c r="L93" s="55">
        <f>VLOOKUP(A93,'Profit Loss-Amravati-25-26'!$A$9:$F$190,5,0)</f>
        <v>1824.78</v>
      </c>
      <c r="M93" s="55">
        <f>VLOOKUP(A93,'Profit Loss-Betul-25-26'!$A$9:$F$141,5,0)</f>
        <v>0</v>
      </c>
      <c r="N93" s="55"/>
      <c r="O93" s="56">
        <f t="shared" ref="O93:O161" si="184">SUM(L93:M93)</f>
        <v>1824.78</v>
      </c>
      <c r="P93" s="65">
        <f t="shared" si="162"/>
        <v>1216.52</v>
      </c>
      <c r="Q93" s="55">
        <f>VLOOKUP(A93,'Profit Loss-Amravati-25-26'!$A$9:$H$190,7,0)</f>
        <v>1824.78</v>
      </c>
      <c r="R93" s="55">
        <f>VLOOKUP(A93,'Profit Loss-Betul-25-26'!$A$9:$H$141,7,0)</f>
        <v>0</v>
      </c>
      <c r="S93" s="55"/>
      <c r="T93" s="56">
        <f t="shared" si="175"/>
        <v>1824.78</v>
      </c>
      <c r="U93" s="65">
        <f t="shared" si="176"/>
        <v>0</v>
      </c>
      <c r="V93" s="55">
        <f>VLOOKUP(A93,'Profit Loss-Amravati-25-26'!$A$9:$J$190,9,0)</f>
        <v>1824.78</v>
      </c>
      <c r="W93" s="55">
        <f>VLOOKUP(A93,'Profit Loss-Betul-25-26'!$A$9:$J$141,9,0)</f>
        <v>0</v>
      </c>
      <c r="X93" s="55"/>
      <c r="Y93" s="56">
        <f t="shared" si="177"/>
        <v>1824.78</v>
      </c>
      <c r="Z93" s="65">
        <f t="shared" si="178"/>
        <v>0</v>
      </c>
      <c r="AA93" s="55">
        <f>VLOOKUP(A93,'Profit Loss-Amravati-25-26'!$A$9:$L$192,11,0)</f>
        <v>1824.78</v>
      </c>
      <c r="AB93" s="55">
        <f>VLOOKUP(A93,'Profit Loss-Betul-25-26'!$A$9:$L$141,11,0)</f>
        <v>0</v>
      </c>
      <c r="AC93" s="55"/>
      <c r="AD93" s="56">
        <f t="shared" si="163"/>
        <v>1824.78</v>
      </c>
      <c r="AE93" s="65">
        <f t="shared" si="164"/>
        <v>0</v>
      </c>
      <c r="AF93" s="55">
        <f>VLOOKUP(A93,'Profit Loss-Amravati-25-26'!$A$9:$N$192,13,0)</f>
        <v>1824.78</v>
      </c>
      <c r="AG93" s="55">
        <f>VLOOKUP(A93,'Profit Loss-Betul-25-26'!$A$9:$N$141,13,0)</f>
        <v>0</v>
      </c>
      <c r="AH93" s="55"/>
      <c r="AI93" s="56">
        <f t="shared" si="165"/>
        <v>1824.78</v>
      </c>
      <c r="AJ93" s="65">
        <f t="shared" si="166"/>
        <v>0</v>
      </c>
      <c r="AK93" s="55">
        <f>VLOOKUP(A93,'Profit Loss-Amravati-25-26'!$A$9:$P$192,15,0)</f>
        <v>1824.78</v>
      </c>
      <c r="AL93" s="55">
        <f>VLOOKUP(A93,'Profit Loss-Betul-25-26'!$A$9:$P$141,15,0)</f>
        <v>0</v>
      </c>
      <c r="AM93" s="55"/>
      <c r="AN93" s="56">
        <f t="shared" si="167"/>
        <v>1824.78</v>
      </c>
      <c r="AO93" s="65">
        <f t="shared" si="168"/>
        <v>0</v>
      </c>
      <c r="AP93" s="55">
        <f>VLOOKUP(A93,'Profit Loss-Amravati-25-26'!$A$9:$R$192,17,0)</f>
        <v>3041.3</v>
      </c>
      <c r="AQ93" s="55">
        <f>VLOOKUP(A93,'Profit Loss-Betul-25-26'!$A$9:$R$141,17,0)</f>
        <v>0</v>
      </c>
      <c r="AR93" s="55"/>
      <c r="AS93" s="56">
        <f t="shared" si="169"/>
        <v>3041.3</v>
      </c>
      <c r="AT93" s="65">
        <f t="shared" si="170"/>
        <v>1216.5200000000002</v>
      </c>
      <c r="AU93" s="55">
        <f>VLOOKUP(A93,'Profit Loss-Amravati-25-26'!$A$9:$T$192,19,0)</f>
        <v>3041.3</v>
      </c>
      <c r="AV93" s="55">
        <f>VLOOKUP(A93,'Profit Loss-Betul-25-26'!$A$9:$T$141,19,0)</f>
        <v>0</v>
      </c>
      <c r="AW93" s="55"/>
      <c r="AX93" s="56">
        <f t="shared" si="171"/>
        <v>3041.3</v>
      </c>
      <c r="AY93" s="65">
        <f t="shared" si="172"/>
        <v>0</v>
      </c>
      <c r="AZ93" s="55">
        <f>VLOOKUP(A93,'Profit Loss-Amravati-25-26'!$A$9:$V$192,21,0)</f>
        <v>3041.3</v>
      </c>
      <c r="BA93" s="55">
        <f>VLOOKUP(A93,'Profit Loss-Betul-25-26'!$A$9:$V$141,21,0)</f>
        <v>0</v>
      </c>
      <c r="BB93" s="55"/>
      <c r="BC93" s="56">
        <f t="shared" si="173"/>
        <v>3041.3</v>
      </c>
      <c r="BD93" s="65">
        <f t="shared" si="174"/>
        <v>0</v>
      </c>
      <c r="BE93" s="55"/>
      <c r="BF93" s="55"/>
    </row>
    <row r="94" spans="1:65" s="31" customFormat="1" hidden="1" x14ac:dyDescent="0.3">
      <c r="A94" s="32" t="s">
        <v>72</v>
      </c>
      <c r="B94" s="54">
        <f>VLOOKUP(A94,'Profit Loss-Textile'!$A$8:$B$135,2,0)</f>
        <v>0</v>
      </c>
      <c r="C94" s="54"/>
      <c r="D94" s="95"/>
      <c r="E94" s="95"/>
      <c r="F94" s="96"/>
      <c r="G94" s="54"/>
      <c r="H94" s="95"/>
      <c r="I94" s="95"/>
      <c r="J94" s="97"/>
      <c r="K94" s="96"/>
      <c r="L94" s="98"/>
      <c r="M94" s="98"/>
      <c r="N94" s="98"/>
      <c r="O94" s="97"/>
      <c r="P94" s="96"/>
      <c r="Q94" s="98"/>
      <c r="R94" s="98"/>
      <c r="S94" s="98"/>
      <c r="T94" s="97"/>
      <c r="U94" s="96"/>
      <c r="V94" s="98"/>
      <c r="W94" s="98"/>
      <c r="X94" s="98"/>
      <c r="Y94" s="97"/>
      <c r="Z94" s="96"/>
      <c r="AA94" s="98"/>
      <c r="AB94" s="98"/>
      <c r="AC94" s="98"/>
      <c r="AD94" s="97"/>
      <c r="AE94" s="96"/>
      <c r="AF94" s="55">
        <f>VLOOKUP(A94,'Profit Loss-Amravati-25-26'!$A$9:$N$192,13,0)</f>
        <v>5630073</v>
      </c>
      <c r="AG94" s="55">
        <f>VLOOKUP(A94,'Profit Loss-Betul-25-26'!$A$9:$N$141,13,0)</f>
        <v>233987</v>
      </c>
      <c r="AH94" s="98"/>
      <c r="AI94" s="56"/>
      <c r="AJ94" s="65">
        <f t="shared" si="166"/>
        <v>0</v>
      </c>
      <c r="AK94" s="55">
        <f>VLOOKUP(A94,'Profit Loss-Amravati-25-26'!$A$9:$P$192,15,0)</f>
        <v>6301018</v>
      </c>
      <c r="AL94" s="55">
        <f>VLOOKUP(A94,'Profit Loss-Betul-25-26'!$A$9:$P$141,15,0)</f>
        <v>271419</v>
      </c>
      <c r="AM94" s="98"/>
      <c r="AN94" s="56"/>
      <c r="AO94" s="65">
        <f t="shared" si="168"/>
        <v>0</v>
      </c>
      <c r="AP94" s="55">
        <f>VLOOKUP(A94,'Profit Loss-Amravati-25-26'!$A$9:$R$192,17,0)</f>
        <v>6988729</v>
      </c>
      <c r="AQ94" s="55">
        <f>VLOOKUP(A94,'Profit Loss-Betul-25-26'!$A$9:$R$141,17,0)</f>
        <v>536273</v>
      </c>
      <c r="AR94" s="98"/>
      <c r="AS94" s="56"/>
      <c r="AT94" s="65">
        <f t="shared" si="170"/>
        <v>0</v>
      </c>
      <c r="AU94" s="55">
        <f>VLOOKUP(A94,'Profit Loss-Amravati-25-26'!$A$9:$T$192,19,0)</f>
        <v>7689760</v>
      </c>
      <c r="AV94" s="55">
        <f>VLOOKUP(A94,'Profit Loss-Betul-25-26'!$A$9:$T$141,19,0)</f>
        <v>580903</v>
      </c>
      <c r="AW94" s="98"/>
      <c r="AX94" s="56"/>
      <c r="AY94" s="65">
        <f t="shared" si="172"/>
        <v>0</v>
      </c>
      <c r="AZ94" s="55">
        <f>VLOOKUP(A94,'Profit Loss-Amravati-25-26'!$A$9:$V$192,21,0)</f>
        <v>8326027</v>
      </c>
      <c r="BA94" s="55">
        <f>VLOOKUP(A94,'Profit Loss-Betul-25-26'!$A$9:$V$141,21,0)</f>
        <v>627503</v>
      </c>
      <c r="BB94" s="98"/>
      <c r="BC94" s="56"/>
      <c r="BD94" s="65">
        <f t="shared" si="174"/>
        <v>0</v>
      </c>
      <c r="BE94" s="98"/>
      <c r="BF94" s="98"/>
    </row>
    <row r="95" spans="1:65" s="31" customFormat="1" hidden="1" x14ac:dyDescent="0.3">
      <c r="A95" s="32" t="s">
        <v>73</v>
      </c>
      <c r="B95" s="54">
        <f>VLOOKUP(A95,'Profit Loss-Textile'!$A$8:$B$135,2,0)</f>
        <v>0</v>
      </c>
      <c r="C95" s="54"/>
      <c r="D95" s="95"/>
      <c r="E95" s="95"/>
      <c r="F95" s="96"/>
      <c r="G95" s="54"/>
      <c r="H95" s="95"/>
      <c r="I95" s="95"/>
      <c r="J95" s="97"/>
      <c r="K95" s="96"/>
      <c r="L95" s="98"/>
      <c r="M95" s="98"/>
      <c r="N95" s="98"/>
      <c r="O95" s="97"/>
      <c r="P95" s="96"/>
      <c r="Q95" s="98"/>
      <c r="R95" s="98"/>
      <c r="S95" s="98"/>
      <c r="T95" s="97"/>
      <c r="U95" s="96"/>
      <c r="V95" s="98"/>
      <c r="W95" s="98"/>
      <c r="X95" s="98"/>
      <c r="Y95" s="97"/>
      <c r="Z95" s="96"/>
      <c r="AA95" s="98"/>
      <c r="AB95" s="98"/>
      <c r="AC95" s="98"/>
      <c r="AD95" s="97"/>
      <c r="AE95" s="96"/>
      <c r="AF95" s="55">
        <f>VLOOKUP(A95,'Profit Loss-Amravati-25-26'!$A$9:$N$192,13,0)</f>
        <v>2222889</v>
      </c>
      <c r="AG95" s="55">
        <f>VLOOKUP(A95,'Profit Loss-Betul-25-26'!$A$9:$N$141,13,0)</f>
        <v>245159</v>
      </c>
      <c r="AH95" s="98"/>
      <c r="AI95" s="56"/>
      <c r="AJ95" s="65">
        <f t="shared" si="166"/>
        <v>0</v>
      </c>
      <c r="AK95" s="55">
        <f>VLOOKUP(A95,'Profit Loss-Amravati-25-26'!$A$9:$P$192,15,0)</f>
        <v>2561975</v>
      </c>
      <c r="AL95" s="55">
        <f>VLOOKUP(A95,'Profit Loss-Betul-25-26'!$A$9:$P$141,15,0)</f>
        <v>288410</v>
      </c>
      <c r="AM95" s="98"/>
      <c r="AN95" s="56"/>
      <c r="AO95" s="65">
        <f t="shared" si="168"/>
        <v>0</v>
      </c>
      <c r="AP95" s="55">
        <f>VLOOKUP(A95,'Profit Loss-Amravati-25-26'!$A$9:$R$192,17,0)</f>
        <v>2887079</v>
      </c>
      <c r="AQ95" s="55">
        <f>VLOOKUP(A95,'Profit Loss-Betul-25-26'!$A$9:$R$141,17,0)</f>
        <v>337461</v>
      </c>
      <c r="AR95" s="98"/>
      <c r="AS95" s="56"/>
      <c r="AT95" s="65">
        <f t="shared" si="170"/>
        <v>0</v>
      </c>
      <c r="AU95" s="55">
        <f>VLOOKUP(A95,'Profit Loss-Amravati-25-26'!$A$9:$T$192,19,0)</f>
        <v>3214630</v>
      </c>
      <c r="AV95" s="55">
        <f>VLOOKUP(A95,'Profit Loss-Betul-25-26'!$A$9:$T$141,19,0)</f>
        <v>386512</v>
      </c>
      <c r="AW95" s="98"/>
      <c r="AX95" s="56"/>
      <c r="AY95" s="65">
        <f t="shared" si="172"/>
        <v>0</v>
      </c>
      <c r="AZ95" s="55">
        <f>VLOOKUP(A95,'Profit Loss-Amravati-25-26'!$A$9:$V$192,21,0)</f>
        <v>3528747</v>
      </c>
      <c r="BA95" s="55">
        <f>VLOOKUP(A95,'Profit Loss-Betul-25-26'!$A$9:$V$141,21,0)</f>
        <v>431710</v>
      </c>
      <c r="BB95" s="98"/>
      <c r="BC95" s="56"/>
      <c r="BD95" s="65">
        <f t="shared" si="174"/>
        <v>0</v>
      </c>
      <c r="BE95" s="98"/>
      <c r="BF95" s="98"/>
    </row>
    <row r="96" spans="1:65" s="31" customFormat="1" hidden="1" x14ac:dyDescent="0.3">
      <c r="A96" s="32" t="s">
        <v>74</v>
      </c>
      <c r="B96" s="54">
        <f>VLOOKUP(A96,'Profit Loss-Textile'!$A$8:$B$135,2,0)</f>
        <v>0</v>
      </c>
      <c r="C96" s="54"/>
      <c r="D96" s="95"/>
      <c r="E96" s="95"/>
      <c r="F96" s="96"/>
      <c r="G96" s="54"/>
      <c r="H96" s="95"/>
      <c r="I96" s="95"/>
      <c r="J96" s="97"/>
      <c r="K96" s="96"/>
      <c r="L96" s="98"/>
      <c r="M96" s="98"/>
      <c r="N96" s="98"/>
      <c r="O96" s="97"/>
      <c r="P96" s="96"/>
      <c r="Q96" s="98"/>
      <c r="R96" s="98"/>
      <c r="S96" s="98"/>
      <c r="T96" s="97"/>
      <c r="U96" s="96"/>
      <c r="V96" s="98"/>
      <c r="W96" s="98"/>
      <c r="X96" s="98"/>
      <c r="Y96" s="97"/>
      <c r="Z96" s="96"/>
      <c r="AA96" s="98"/>
      <c r="AB96" s="98"/>
      <c r="AC96" s="98"/>
      <c r="AD96" s="97"/>
      <c r="AE96" s="96"/>
      <c r="AF96" s="55">
        <f>VLOOKUP(A96,'Profit Loss-Amravati-25-26'!$A$9:$N$192,13,0)</f>
        <v>7166581</v>
      </c>
      <c r="AG96" s="55">
        <f>VLOOKUP(A96,'Profit Loss-Betul-25-26'!$A$9:$N$141,13,0)</f>
        <v>348638</v>
      </c>
      <c r="AH96" s="98"/>
      <c r="AI96" s="56"/>
      <c r="AJ96" s="65">
        <f t="shared" si="166"/>
        <v>0</v>
      </c>
      <c r="AK96" s="55">
        <f>VLOOKUP(A96,'Profit Loss-Amravati-25-26'!$A$9:$P$192,15,0)</f>
        <v>8075385</v>
      </c>
      <c r="AL96" s="55">
        <f>VLOOKUP(A96,'Profit Loss-Betul-25-26'!$A$9:$P$141,15,0)</f>
        <v>404004</v>
      </c>
      <c r="AM96" s="98"/>
      <c r="AN96" s="56"/>
      <c r="AO96" s="65">
        <f t="shared" si="168"/>
        <v>0</v>
      </c>
      <c r="AP96" s="55">
        <f>VLOOKUP(A96,'Profit Loss-Amravati-25-26'!$A$9:$R$192,17,0)</f>
        <v>9010122</v>
      </c>
      <c r="AQ96" s="55">
        <f>VLOOKUP(A96,'Profit Loss-Betul-25-26'!$A$9:$R$141,17,0)</f>
        <v>473767</v>
      </c>
      <c r="AR96" s="98"/>
      <c r="AS96" s="56"/>
      <c r="AT96" s="65">
        <f t="shared" si="170"/>
        <v>0</v>
      </c>
      <c r="AU96" s="55">
        <f>VLOOKUP(A96,'Profit Loss-Amravati-25-26'!$A$9:$T$192,19,0)</f>
        <v>9964785</v>
      </c>
      <c r="AV96" s="55">
        <f>VLOOKUP(A96,'Profit Loss-Betul-25-26'!$A$9:$T$141,19,0)</f>
        <v>543530</v>
      </c>
      <c r="AW96" s="98"/>
      <c r="AX96" s="56"/>
      <c r="AY96" s="65">
        <f t="shared" si="172"/>
        <v>0</v>
      </c>
      <c r="AZ96" s="55">
        <f>VLOOKUP(A96,'Profit Loss-Amravati-25-26'!$A$9:$V$192,21,0)</f>
        <v>11084831</v>
      </c>
      <c r="BA96" s="55">
        <f>VLOOKUP(A96,'Profit Loss-Betul-25-26'!$A$9:$V$141,21,0)</f>
        <v>617231</v>
      </c>
      <c r="BB96" s="98"/>
      <c r="BC96" s="56"/>
      <c r="BD96" s="65">
        <f t="shared" si="174"/>
        <v>0</v>
      </c>
      <c r="BE96" s="98"/>
      <c r="BF96" s="98"/>
    </row>
    <row r="97" spans="1:58" s="31" customFormat="1" hidden="1" x14ac:dyDescent="0.3">
      <c r="A97" s="32" t="s">
        <v>75</v>
      </c>
      <c r="B97" s="54">
        <f>VLOOKUP(A97,'Profit Loss-Textile'!$A$8:$B$135,2,0)</f>
        <v>0</v>
      </c>
      <c r="C97" s="54"/>
      <c r="D97" s="95"/>
      <c r="E97" s="95"/>
      <c r="F97" s="96"/>
      <c r="G97" s="54"/>
      <c r="H97" s="95"/>
      <c r="I97" s="95"/>
      <c r="J97" s="97"/>
      <c r="K97" s="96"/>
      <c r="L97" s="98"/>
      <c r="M97" s="98"/>
      <c r="N97" s="98"/>
      <c r="O97" s="97"/>
      <c r="P97" s="96"/>
      <c r="Q97" s="98"/>
      <c r="R97" s="98"/>
      <c r="S97" s="98"/>
      <c r="T97" s="97"/>
      <c r="U97" s="96"/>
      <c r="V97" s="98"/>
      <c r="W97" s="98"/>
      <c r="X97" s="98"/>
      <c r="Y97" s="97"/>
      <c r="Z97" s="96"/>
      <c r="AA97" s="98"/>
      <c r="AB97" s="98"/>
      <c r="AC97" s="98"/>
      <c r="AD97" s="97"/>
      <c r="AE97" s="96"/>
      <c r="AF97" s="55">
        <f>VLOOKUP(A97,'Profit Loss-Amravati-25-26'!$A$9:$N$192,13,0)</f>
        <v>1403969</v>
      </c>
      <c r="AG97" s="55">
        <f>VLOOKUP(A97,'Profit Loss-Betul-25-26'!$A$9:$N$141,13,0)</f>
        <v>0</v>
      </c>
      <c r="AH97" s="98"/>
      <c r="AI97" s="56"/>
      <c r="AJ97" s="65">
        <f t="shared" si="166"/>
        <v>0</v>
      </c>
      <c r="AK97" s="55">
        <f>VLOOKUP(A97,'Profit Loss-Amravati-25-26'!$A$9:$P$192,15,0)</f>
        <v>1586251</v>
      </c>
      <c r="AL97" s="55">
        <f>VLOOKUP(A97,'Profit Loss-Betul-25-26'!$A$9:$P$141,15,0)</f>
        <v>0</v>
      </c>
      <c r="AM97" s="98"/>
      <c r="AN97" s="56"/>
      <c r="AO97" s="65">
        <f t="shared" si="168"/>
        <v>0</v>
      </c>
      <c r="AP97" s="55">
        <f>VLOOKUP(A97,'Profit Loss-Amravati-25-26'!$A$9:$R$192,17,0)</f>
        <v>1765214</v>
      </c>
      <c r="AQ97" s="55">
        <f>VLOOKUP(A97,'Profit Loss-Betul-25-26'!$A$9:$R$141,17,0)</f>
        <v>1088</v>
      </c>
      <c r="AR97" s="98"/>
      <c r="AS97" s="56"/>
      <c r="AT97" s="65">
        <f t="shared" si="170"/>
        <v>0</v>
      </c>
      <c r="AU97" s="55">
        <f>VLOOKUP(A97,'Profit Loss-Amravati-25-26'!$A$9:$T$192,19,0)</f>
        <v>1949475</v>
      </c>
      <c r="AV97" s="55">
        <f>VLOOKUP(A97,'Profit Loss-Betul-25-26'!$A$9:$T$141,19,0)</f>
        <v>18176</v>
      </c>
      <c r="AW97" s="98"/>
      <c r="AX97" s="56"/>
      <c r="AY97" s="65">
        <f t="shared" si="172"/>
        <v>0</v>
      </c>
      <c r="AZ97" s="55">
        <f>VLOOKUP(A97,'Profit Loss-Amravati-25-26'!$A$9:$V$192,21,0)</f>
        <v>2204405</v>
      </c>
      <c r="BA97" s="55">
        <f>VLOOKUP(A97,'Profit Loss-Betul-25-26'!$A$9:$V$141,21,0)</f>
        <v>27264</v>
      </c>
      <c r="BB97" s="98"/>
      <c r="BC97" s="56"/>
      <c r="BD97" s="65">
        <f t="shared" si="174"/>
        <v>0</v>
      </c>
      <c r="BE97" s="98"/>
      <c r="BF97" s="98"/>
    </row>
    <row r="98" spans="1:58" s="31" customFormat="1" hidden="1" x14ac:dyDescent="0.3">
      <c r="A98" s="32" t="s">
        <v>78</v>
      </c>
      <c r="B98" s="54">
        <f>VLOOKUP(A98,'Profit Loss-Textile'!$A$8:$B$135,2,0)</f>
        <v>0</v>
      </c>
      <c r="C98" s="54"/>
      <c r="D98" s="95"/>
      <c r="E98" s="95"/>
      <c r="F98" s="96"/>
      <c r="G98" s="54"/>
      <c r="H98" s="95"/>
      <c r="I98" s="95"/>
      <c r="J98" s="97"/>
      <c r="K98" s="96"/>
      <c r="L98" s="98"/>
      <c r="M98" s="98"/>
      <c r="N98" s="98"/>
      <c r="O98" s="97"/>
      <c r="P98" s="96"/>
      <c r="Q98" s="98"/>
      <c r="R98" s="98"/>
      <c r="S98" s="98"/>
      <c r="T98" s="97"/>
      <c r="U98" s="96"/>
      <c r="V98" s="98"/>
      <c r="W98" s="98"/>
      <c r="X98" s="98"/>
      <c r="Y98" s="97"/>
      <c r="Z98" s="96"/>
      <c r="AA98" s="98"/>
      <c r="AB98" s="98"/>
      <c r="AC98" s="98"/>
      <c r="AD98" s="97"/>
      <c r="AE98" s="96"/>
      <c r="AF98" s="55">
        <f>VLOOKUP(A98,'Profit Loss-Amravati-25-26'!$A$9:$N$192,13,0)</f>
        <v>656263</v>
      </c>
      <c r="AG98" s="55">
        <f>VLOOKUP(A98,'Profit Loss-Betul-25-26'!$A$9:$N$141,13,0)</f>
        <v>71861</v>
      </c>
      <c r="AH98" s="98"/>
      <c r="AI98" s="56"/>
      <c r="AJ98" s="65">
        <f t="shared" si="166"/>
        <v>0</v>
      </c>
      <c r="AK98" s="55">
        <f>VLOOKUP(A98,'Profit Loss-Amravati-25-26'!$A$9:$P$192,15,0)</f>
        <v>759125</v>
      </c>
      <c r="AL98" s="55">
        <f>VLOOKUP(A98,'Profit Loss-Betul-25-26'!$A$9:$P$141,15,0)</f>
        <v>82010</v>
      </c>
      <c r="AM98" s="98"/>
      <c r="AN98" s="56"/>
      <c r="AO98" s="65">
        <f t="shared" si="168"/>
        <v>0</v>
      </c>
      <c r="AP98" s="55">
        <f>VLOOKUP(A98,'Profit Loss-Amravati-25-26'!$A$9:$R$192,17,0)</f>
        <v>861491</v>
      </c>
      <c r="AQ98" s="55">
        <f>VLOOKUP(A98,'Profit Loss-Betul-25-26'!$A$9:$R$141,17,0)</f>
        <v>94625</v>
      </c>
      <c r="AR98" s="98"/>
      <c r="AS98" s="56"/>
      <c r="AT98" s="65">
        <f t="shared" si="170"/>
        <v>0</v>
      </c>
      <c r="AU98" s="55">
        <f>VLOOKUP(A98,'Profit Loss-Amravati-25-26'!$A$9:$T$192,19,0)</f>
        <v>963444</v>
      </c>
      <c r="AV98" s="55">
        <f>VLOOKUP(A98,'Profit Loss-Betul-25-26'!$A$9:$T$141,19,0)</f>
        <v>107240</v>
      </c>
      <c r="AW98" s="98"/>
      <c r="AX98" s="56"/>
      <c r="AY98" s="65">
        <f t="shared" si="172"/>
        <v>0</v>
      </c>
      <c r="AZ98" s="55">
        <f>VLOOKUP(A98,'Profit Loss-Amravati-25-26'!$A$9:$V$192,21,0)</f>
        <v>1070523</v>
      </c>
      <c r="BA98" s="55">
        <f>VLOOKUP(A98,'Profit Loss-Betul-25-26'!$A$9:$V$141,21,0)</f>
        <v>115884</v>
      </c>
      <c r="BB98" s="98"/>
      <c r="BC98" s="56"/>
      <c r="BD98" s="65">
        <f t="shared" si="174"/>
        <v>0</v>
      </c>
      <c r="BE98" s="98"/>
      <c r="BF98" s="98"/>
    </row>
    <row r="99" spans="1:58" s="31" customFormat="1" hidden="1" x14ac:dyDescent="0.3">
      <c r="A99" s="32" t="s">
        <v>81</v>
      </c>
      <c r="B99" s="54">
        <f>VLOOKUP(A99,'Profit Loss-Textile'!$A$8:$B$135,2,0)</f>
        <v>0</v>
      </c>
      <c r="C99" s="54"/>
      <c r="D99" s="95"/>
      <c r="E99" s="95"/>
      <c r="F99" s="96"/>
      <c r="G99" s="54"/>
      <c r="H99" s="95"/>
      <c r="I99" s="95"/>
      <c r="J99" s="97"/>
      <c r="K99" s="96"/>
      <c r="L99" s="98"/>
      <c r="M99" s="98"/>
      <c r="N99" s="98"/>
      <c r="O99" s="97"/>
      <c r="P99" s="96"/>
      <c r="Q99" s="98"/>
      <c r="R99" s="98"/>
      <c r="S99" s="98"/>
      <c r="T99" s="97"/>
      <c r="U99" s="96"/>
      <c r="V99" s="98"/>
      <c r="W99" s="98"/>
      <c r="X99" s="98"/>
      <c r="Y99" s="97"/>
      <c r="Z99" s="96"/>
      <c r="AA99" s="98"/>
      <c r="AB99" s="98"/>
      <c r="AC99" s="98"/>
      <c r="AD99" s="97"/>
      <c r="AE99" s="96"/>
      <c r="AF99" s="55"/>
      <c r="AG99" s="55"/>
      <c r="AH99" s="98"/>
      <c r="AI99" s="56"/>
      <c r="AJ99" s="65">
        <f t="shared" si="166"/>
        <v>0</v>
      </c>
      <c r="AK99" s="55">
        <f>VLOOKUP(A99,'Profit Loss-Amravati-25-26'!$A$9:$P$192,15,0)</f>
        <v>71861389</v>
      </c>
      <c r="AL99" s="55">
        <f>VLOOKUP(A99,'Profit Loss-Betul-25-26'!$A$9:$P$141,15,0)</f>
        <v>3967232</v>
      </c>
      <c r="AM99" s="98"/>
      <c r="AN99" s="56"/>
      <c r="AO99" s="65">
        <f t="shared" si="168"/>
        <v>0</v>
      </c>
      <c r="AP99" s="55">
        <f>VLOOKUP(A99,'Profit Loss-Amravati-25-26'!$A$9:$R$192,17,0)</f>
        <v>83359776</v>
      </c>
      <c r="AQ99" s="55">
        <f>VLOOKUP(A99,'Profit Loss-Betul-25-26'!$A$9:$R$141,17,0)</f>
        <v>4962944</v>
      </c>
      <c r="AR99" s="98"/>
      <c r="AS99" s="56"/>
      <c r="AT99" s="65">
        <f t="shared" si="170"/>
        <v>0</v>
      </c>
      <c r="AU99" s="55">
        <f>VLOOKUP(A99,'Profit Loss-Amravati-25-26'!$A$9:$T$192,19,0)</f>
        <v>94597284</v>
      </c>
      <c r="AV99" s="55">
        <f>VLOOKUP(A99,'Profit Loss-Betul-25-26'!$A$9:$T$141,19,0)</f>
        <v>5957223</v>
      </c>
      <c r="AW99" s="98"/>
      <c r="AX99" s="56"/>
      <c r="AY99" s="65">
        <f t="shared" si="172"/>
        <v>0</v>
      </c>
      <c r="AZ99" s="55">
        <f>VLOOKUP(A99,'Profit Loss-Amravati-25-26'!$A$9:$V$192,21,0)</f>
        <v>106492400</v>
      </c>
      <c r="BA99" s="55">
        <f>VLOOKUP(A99,'Profit Loss-Betul-25-26'!$A$9:$V$141,21,0)</f>
        <v>7272326</v>
      </c>
      <c r="BB99" s="98"/>
      <c r="BC99" s="56"/>
      <c r="BD99" s="65">
        <f t="shared" si="174"/>
        <v>0</v>
      </c>
      <c r="BE99" s="98"/>
      <c r="BF99" s="98"/>
    </row>
    <row r="100" spans="1:58" s="31" customFormat="1" hidden="1" x14ac:dyDescent="0.3">
      <c r="A100" s="32" t="s">
        <v>215</v>
      </c>
      <c r="B100" s="54"/>
      <c r="C100" s="54"/>
      <c r="D100" s="95"/>
      <c r="E100" s="95"/>
      <c r="F100" s="96"/>
      <c r="G100" s="54"/>
      <c r="H100" s="95"/>
      <c r="I100" s="95"/>
      <c r="J100" s="97"/>
      <c r="K100" s="96"/>
      <c r="L100" s="98"/>
      <c r="M100" s="98"/>
      <c r="N100" s="98"/>
      <c r="O100" s="97"/>
      <c r="P100" s="96"/>
      <c r="Q100" s="98"/>
      <c r="R100" s="98"/>
      <c r="S100" s="98"/>
      <c r="T100" s="97"/>
      <c r="U100" s="99"/>
      <c r="V100" s="98"/>
      <c r="W100" s="98"/>
      <c r="X100" s="98"/>
      <c r="Y100" s="97"/>
      <c r="Z100" s="99"/>
      <c r="AA100" s="98"/>
      <c r="AB100" s="98"/>
      <c r="AC100" s="98"/>
      <c r="AD100" s="97"/>
      <c r="AE100" s="96"/>
      <c r="AF100" s="55">
        <f>VLOOKUP(A100,'Profit Loss-Amravati-25-26'!$A$9:$N$192,13,0)</f>
        <v>312704</v>
      </c>
      <c r="AG100" s="55">
        <f>VLOOKUP(A100,'Profit Loss-Betul-25-26'!$A$9:$N$141,13,0)</f>
        <v>0</v>
      </c>
      <c r="AH100" s="98"/>
      <c r="AI100" s="56"/>
      <c r="AJ100" s="65">
        <f t="shared" si="166"/>
        <v>0</v>
      </c>
      <c r="AK100" s="55">
        <f>VLOOKUP(A100,'Profit Loss-Amravati-25-26'!$A$9:$P$192,15,0)</f>
        <v>312704</v>
      </c>
      <c r="AL100" s="55">
        <f>VLOOKUP(A100,'Profit Loss-Betul-25-26'!$A$9:$P$141,15,0)</f>
        <v>0</v>
      </c>
      <c r="AM100" s="98"/>
      <c r="AN100" s="56"/>
      <c r="AO100" s="65">
        <f t="shared" si="168"/>
        <v>0</v>
      </c>
      <c r="AP100" s="55">
        <f>VLOOKUP(A100,'Profit Loss-Amravati-25-26'!$A$9:$R$192,17,0)</f>
        <v>312704</v>
      </c>
      <c r="AQ100" s="55">
        <f>VLOOKUP(A100,'Profit Loss-Betul-25-26'!$A$9:$R$141,17,0)</f>
        <v>0</v>
      </c>
      <c r="AR100" s="98"/>
      <c r="AS100" s="56"/>
      <c r="AT100" s="65">
        <f t="shared" si="170"/>
        <v>0</v>
      </c>
      <c r="AU100" s="55">
        <f>VLOOKUP(A100,'Profit Loss-Amravati-25-26'!$A$9:$T$192,19,0)</f>
        <v>312704</v>
      </c>
      <c r="AV100" s="55">
        <f>VLOOKUP(A100,'Profit Loss-Betul-25-26'!$A$9:$T$141,19,0)</f>
        <v>0</v>
      </c>
      <c r="AW100" s="98"/>
      <c r="AX100" s="56"/>
      <c r="AY100" s="65">
        <f t="shared" si="172"/>
        <v>0</v>
      </c>
      <c r="AZ100" s="55">
        <f>VLOOKUP(A100,'Profit Loss-Amravati-25-26'!$A$9:$V$192,21,0)</f>
        <v>312704</v>
      </c>
      <c r="BA100" s="55">
        <f>VLOOKUP(A100,'Profit Loss-Betul-25-26'!$A$9:$V$141,21,0)</f>
        <v>0</v>
      </c>
      <c r="BB100" s="98"/>
      <c r="BC100" s="56"/>
      <c r="BD100" s="65">
        <f t="shared" si="174"/>
        <v>0</v>
      </c>
      <c r="BE100" s="98"/>
      <c r="BF100" s="98"/>
    </row>
    <row r="101" spans="1:58" s="31" customFormat="1" hidden="1" x14ac:dyDescent="0.3">
      <c r="A101" s="32" t="s">
        <v>216</v>
      </c>
      <c r="B101" s="54"/>
      <c r="C101" s="54"/>
      <c r="D101" s="95"/>
      <c r="E101" s="95"/>
      <c r="F101" s="96"/>
      <c r="G101" s="54"/>
      <c r="H101" s="95"/>
      <c r="I101" s="95"/>
      <c r="J101" s="97"/>
      <c r="K101" s="96"/>
      <c r="L101" s="98"/>
      <c r="M101" s="98"/>
      <c r="N101" s="98"/>
      <c r="O101" s="97"/>
      <c r="P101" s="96"/>
      <c r="Q101" s="98"/>
      <c r="R101" s="98"/>
      <c r="S101" s="98"/>
      <c r="T101" s="97"/>
      <c r="U101" s="96"/>
      <c r="V101" s="98"/>
      <c r="W101" s="98"/>
      <c r="X101" s="98"/>
      <c r="Y101" s="97"/>
      <c r="Z101" s="96"/>
      <c r="AA101" s="98"/>
      <c r="AB101" s="98"/>
      <c r="AC101" s="98"/>
      <c r="AD101" s="97"/>
      <c r="AE101" s="96"/>
      <c r="AF101" s="55">
        <f>VLOOKUP(A101,'Profit Loss-Amravati-25-26'!$A$9:$N$192,13,0)</f>
        <v>475414</v>
      </c>
      <c r="AG101" s="55">
        <f>VLOOKUP(A101,'Profit Loss-Betul-25-26'!$A$9:$N$141,13,0)</f>
        <v>0</v>
      </c>
      <c r="AH101" s="98"/>
      <c r="AI101" s="56"/>
      <c r="AJ101" s="65">
        <f t="shared" si="166"/>
        <v>0</v>
      </c>
      <c r="AK101" s="55">
        <f>VLOOKUP(A101,'Profit Loss-Amravati-25-26'!$A$9:$P$192,15,0)</f>
        <v>475626</v>
      </c>
      <c r="AL101" s="55">
        <f>VLOOKUP(A101,'Profit Loss-Betul-25-26'!$A$9:$P$141,15,0)</f>
        <v>0</v>
      </c>
      <c r="AM101" s="98"/>
      <c r="AN101" s="56"/>
      <c r="AO101" s="65">
        <f t="shared" si="168"/>
        <v>0</v>
      </c>
      <c r="AP101" s="55">
        <f>VLOOKUP(A101,'Profit Loss-Amravati-25-26'!$A$9:$R$192,17,0)</f>
        <v>475626</v>
      </c>
      <c r="AQ101" s="55">
        <f>VLOOKUP(A101,'Profit Loss-Betul-25-26'!$A$9:$R$141,17,0)</f>
        <v>0</v>
      </c>
      <c r="AR101" s="98"/>
      <c r="AS101" s="56"/>
      <c r="AT101" s="65">
        <f t="shared" si="170"/>
        <v>0</v>
      </c>
      <c r="AU101" s="55">
        <f>VLOOKUP(A101,'Profit Loss-Amravati-25-26'!$A$9:$T$192,19,0)</f>
        <v>475626</v>
      </c>
      <c r="AV101" s="55">
        <f>VLOOKUP(A101,'Profit Loss-Betul-25-26'!$A$9:$T$141,19,0)</f>
        <v>0</v>
      </c>
      <c r="AW101" s="98"/>
      <c r="AX101" s="56"/>
      <c r="AY101" s="65">
        <f t="shared" si="172"/>
        <v>0</v>
      </c>
      <c r="AZ101" s="55">
        <f>VLOOKUP(A101,'Profit Loss-Amravati-25-26'!$A$9:$V$192,21,0)</f>
        <v>475626</v>
      </c>
      <c r="BA101" s="55">
        <f>VLOOKUP(A101,'Profit Loss-Betul-25-26'!$A$9:$V$141,21,0)</f>
        <v>0</v>
      </c>
      <c r="BB101" s="98"/>
      <c r="BC101" s="56"/>
      <c r="BD101" s="65">
        <f t="shared" si="174"/>
        <v>0</v>
      </c>
      <c r="BE101" s="98"/>
      <c r="BF101" s="98"/>
    </row>
    <row r="102" spans="1:58" s="31" customFormat="1" hidden="1" x14ac:dyDescent="0.3">
      <c r="A102" s="32" t="s">
        <v>61</v>
      </c>
      <c r="B102" s="54"/>
      <c r="C102" s="54"/>
      <c r="D102" s="95"/>
      <c r="E102" s="95"/>
      <c r="F102" s="96"/>
      <c r="G102" s="54"/>
      <c r="H102" s="95"/>
      <c r="I102" s="95"/>
      <c r="J102" s="97"/>
      <c r="K102" s="96"/>
      <c r="L102" s="98"/>
      <c r="M102" s="98"/>
      <c r="N102" s="98"/>
      <c r="O102" s="97"/>
      <c r="P102" s="96"/>
      <c r="Q102" s="98"/>
      <c r="R102" s="98"/>
      <c r="S102" s="98"/>
      <c r="T102" s="97"/>
      <c r="U102" s="96"/>
      <c r="V102" s="98"/>
      <c r="W102" s="98"/>
      <c r="X102" s="98"/>
      <c r="Y102" s="97"/>
      <c r="Z102" s="96"/>
      <c r="AA102" s="98"/>
      <c r="AB102" s="98"/>
      <c r="AC102" s="98"/>
      <c r="AD102" s="97"/>
      <c r="AE102" s="96"/>
      <c r="AF102" s="55">
        <f>VLOOKUP(A102,'Profit Loss-Amravati-25-26'!$A$9:$N$192,13,0)</f>
        <v>3013914</v>
      </c>
      <c r="AG102" s="55">
        <f>VLOOKUP(A102,'Profit Loss-Betul-25-26'!$A$9:$N$141,13,0)</f>
        <v>0</v>
      </c>
      <c r="AH102" s="98"/>
      <c r="AI102" s="56"/>
      <c r="AJ102" s="65">
        <f t="shared" si="166"/>
        <v>0</v>
      </c>
      <c r="AK102" s="55">
        <f>VLOOKUP(A102,'Profit Loss-Amravati-25-26'!$A$9:$P$192,15,0)</f>
        <v>3667981.55</v>
      </c>
      <c r="AL102" s="55">
        <f>VLOOKUP(A102,'Profit Loss-Betul-25-26'!$A$9:$P$141,15,0)</f>
        <v>0</v>
      </c>
      <c r="AM102" s="98"/>
      <c r="AN102" s="56"/>
      <c r="AO102" s="65">
        <f t="shared" si="168"/>
        <v>0</v>
      </c>
      <c r="AP102" s="55">
        <f>VLOOKUP(A102,'Profit Loss-Amravati-25-26'!$A$9:$R$192,17,0)</f>
        <v>4092603.13</v>
      </c>
      <c r="AQ102" s="55">
        <f>VLOOKUP(A102,'Profit Loss-Betul-25-26'!$A$9:$R$141,17,0)</f>
        <v>0</v>
      </c>
      <c r="AR102" s="98"/>
      <c r="AS102" s="56"/>
      <c r="AT102" s="65">
        <f t="shared" si="170"/>
        <v>0</v>
      </c>
      <c r="AU102" s="55">
        <f>VLOOKUP(A102,'Profit Loss-Amravati-25-26'!$A$9:$T$192,19,0)</f>
        <v>4501551.46</v>
      </c>
      <c r="AV102" s="55">
        <f>VLOOKUP(A102,'Profit Loss-Betul-25-26'!$A$9:$T$141,19,0)</f>
        <v>84000</v>
      </c>
      <c r="AW102" s="98"/>
      <c r="AX102" s="56"/>
      <c r="AY102" s="65">
        <f t="shared" si="172"/>
        <v>0</v>
      </c>
      <c r="AZ102" s="55">
        <f>VLOOKUP(A102,'Profit Loss-Amravati-25-26'!$A$9:$V$192,21,0)</f>
        <v>5160162.76</v>
      </c>
      <c r="BA102" s="55">
        <f>VLOOKUP(A102,'Profit Loss-Betul-25-26'!$A$9:$V$141,21,0)</f>
        <v>84000</v>
      </c>
      <c r="BB102" s="98"/>
      <c r="BC102" s="56"/>
      <c r="BD102" s="65">
        <f t="shared" si="174"/>
        <v>0</v>
      </c>
      <c r="BE102" s="98"/>
      <c r="BF102" s="98"/>
    </row>
    <row r="103" spans="1:58" s="31" customFormat="1" hidden="1" x14ac:dyDescent="0.3">
      <c r="A103" s="32" t="s">
        <v>210</v>
      </c>
      <c r="B103" s="54"/>
      <c r="C103" s="54"/>
      <c r="D103" s="95"/>
      <c r="E103" s="95"/>
      <c r="F103" s="96"/>
      <c r="G103" s="54"/>
      <c r="H103" s="95"/>
      <c r="I103" s="95"/>
      <c r="J103" s="97"/>
      <c r="K103" s="96"/>
      <c r="L103" s="98"/>
      <c r="M103" s="98"/>
      <c r="N103" s="98"/>
      <c r="O103" s="97"/>
      <c r="P103" s="96"/>
      <c r="Q103" s="98"/>
      <c r="R103" s="98"/>
      <c r="S103" s="98"/>
      <c r="T103" s="97"/>
      <c r="U103" s="96"/>
      <c r="V103" s="98"/>
      <c r="W103" s="98"/>
      <c r="X103" s="98"/>
      <c r="Y103" s="97"/>
      <c r="Z103" s="96"/>
      <c r="AA103" s="98"/>
      <c r="AB103" s="98"/>
      <c r="AC103" s="98"/>
      <c r="AD103" s="97"/>
      <c r="AE103" s="96"/>
      <c r="AF103" s="55">
        <f>VLOOKUP(A103,'Profit Loss-Amravati-25-26'!$A$9:$N$192,13,0)</f>
        <v>1484</v>
      </c>
      <c r="AG103" s="55">
        <f>VLOOKUP(A103,'Profit Loss-Betul-25-26'!$A$9:$N$141,13,0)</f>
        <v>0</v>
      </c>
      <c r="AH103" s="98"/>
      <c r="AI103" s="56"/>
      <c r="AJ103" s="65">
        <f t="shared" si="166"/>
        <v>0</v>
      </c>
      <c r="AK103" s="55">
        <f>VLOOKUP(A103,'Profit Loss-Amravati-25-26'!$A$9:$P$192,15,0)</f>
        <v>1696</v>
      </c>
      <c r="AL103" s="55">
        <f>VLOOKUP(A103,'Profit Loss-Betul-25-26'!$A$9:$P$141,15,0)</f>
        <v>0</v>
      </c>
      <c r="AM103" s="98"/>
      <c r="AN103" s="56"/>
      <c r="AO103" s="65">
        <f t="shared" si="168"/>
        <v>0</v>
      </c>
      <c r="AP103" s="55">
        <f>VLOOKUP(A103,'Profit Loss-Amravati-25-26'!$A$9:$R$192,17,0)</f>
        <v>1696</v>
      </c>
      <c r="AQ103" s="55">
        <f>VLOOKUP(A103,'Profit Loss-Betul-25-26'!$A$9:$R$141,17,0)</f>
        <v>0</v>
      </c>
      <c r="AR103" s="98"/>
      <c r="AS103" s="56"/>
      <c r="AT103" s="65">
        <f t="shared" si="170"/>
        <v>0</v>
      </c>
      <c r="AU103" s="55">
        <f>VLOOKUP(A103,'Profit Loss-Amravati-25-26'!$A$9:$T$192,19,0)</f>
        <v>1696</v>
      </c>
      <c r="AV103" s="55">
        <f>VLOOKUP(A103,'Profit Loss-Betul-25-26'!$A$9:$T$141,19,0)</f>
        <v>0</v>
      </c>
      <c r="AW103" s="98"/>
      <c r="AX103" s="56"/>
      <c r="AY103" s="65">
        <f t="shared" si="172"/>
        <v>0</v>
      </c>
      <c r="AZ103" s="55">
        <f>VLOOKUP(A103,'Profit Loss-Amravati-25-26'!$A$9:$V$192,21,0)</f>
        <v>1696</v>
      </c>
      <c r="BA103" s="55">
        <f>VLOOKUP(A103,'Profit Loss-Betul-25-26'!$A$9:$V$141,21,0)</f>
        <v>0</v>
      </c>
      <c r="BB103" s="98"/>
      <c r="BC103" s="56"/>
      <c r="BD103" s="65">
        <f t="shared" si="174"/>
        <v>0</v>
      </c>
      <c r="BE103" s="98"/>
      <c r="BF103" s="98"/>
    </row>
    <row r="104" spans="1:58" s="31" customFormat="1" hidden="1" x14ac:dyDescent="0.3">
      <c r="A104" s="32" t="s">
        <v>211</v>
      </c>
      <c r="B104" s="54"/>
      <c r="C104" s="54"/>
      <c r="D104" s="95"/>
      <c r="E104" s="95"/>
      <c r="F104" s="96"/>
      <c r="G104" s="54"/>
      <c r="H104" s="95"/>
      <c r="I104" s="95"/>
      <c r="J104" s="97"/>
      <c r="K104" s="96"/>
      <c r="L104" s="98"/>
      <c r="M104" s="98"/>
      <c r="N104" s="98"/>
      <c r="O104" s="97"/>
      <c r="P104" s="96"/>
      <c r="Q104" s="98"/>
      <c r="R104" s="98"/>
      <c r="S104" s="98"/>
      <c r="T104" s="97"/>
      <c r="U104" s="96"/>
      <c r="V104" s="98"/>
      <c r="W104" s="98"/>
      <c r="X104" s="98"/>
      <c r="Y104" s="97"/>
      <c r="Z104" s="96"/>
      <c r="AA104" s="98"/>
      <c r="AB104" s="98"/>
      <c r="AC104" s="98"/>
      <c r="AD104" s="97"/>
      <c r="AE104" s="96"/>
      <c r="AF104" s="55">
        <f>VLOOKUP(A104,'Profit Loss-Amravati-25-26'!$A$9:$N$192,13,0)</f>
        <v>1289</v>
      </c>
      <c r="AG104" s="55">
        <f>VLOOKUP(A104,'Profit Loss-Betul-25-26'!$A$9:$N$141,13,0)</f>
        <v>0</v>
      </c>
      <c r="AH104" s="98"/>
      <c r="AI104" s="56"/>
      <c r="AJ104" s="65">
        <f t="shared" si="166"/>
        <v>0</v>
      </c>
      <c r="AK104" s="55">
        <f>VLOOKUP(A104,'Profit Loss-Amravati-25-26'!$A$9:$P$192,15,0)</f>
        <v>1289</v>
      </c>
      <c r="AL104" s="55">
        <f>VLOOKUP(A104,'Profit Loss-Betul-25-26'!$A$9:$P$141,15,0)</f>
        <v>0</v>
      </c>
      <c r="AM104" s="98"/>
      <c r="AN104" s="56"/>
      <c r="AO104" s="65">
        <f t="shared" si="168"/>
        <v>0</v>
      </c>
      <c r="AP104" s="55">
        <f>VLOOKUP(A104,'Profit Loss-Amravati-25-26'!$A$9:$R$192,17,0)</f>
        <v>1289</v>
      </c>
      <c r="AQ104" s="55">
        <f>VLOOKUP(A104,'Profit Loss-Betul-25-26'!$A$9:$R$141,17,0)</f>
        <v>0</v>
      </c>
      <c r="AR104" s="98"/>
      <c r="AS104" s="56"/>
      <c r="AT104" s="65">
        <f t="shared" si="170"/>
        <v>0</v>
      </c>
      <c r="AU104" s="55">
        <f>VLOOKUP(A104,'Profit Loss-Amravati-25-26'!$A$9:$T$192,19,0)</f>
        <v>1289</v>
      </c>
      <c r="AV104" s="55">
        <f>VLOOKUP(A104,'Profit Loss-Betul-25-26'!$A$9:$T$141,19,0)</f>
        <v>0</v>
      </c>
      <c r="AW104" s="98"/>
      <c r="AX104" s="56"/>
      <c r="AY104" s="65">
        <f t="shared" si="172"/>
        <v>0</v>
      </c>
      <c r="AZ104" s="55">
        <f>VLOOKUP(A104,'Profit Loss-Amravati-25-26'!$A$9:$V$192,21,0)</f>
        <v>1289</v>
      </c>
      <c r="BA104" s="55">
        <f>VLOOKUP(A104,'Profit Loss-Betul-25-26'!$A$9:$V$141,21,0)</f>
        <v>0</v>
      </c>
      <c r="BB104" s="98"/>
      <c r="BC104" s="56"/>
      <c r="BD104" s="65">
        <f t="shared" si="174"/>
        <v>0</v>
      </c>
      <c r="BE104" s="98"/>
      <c r="BF104" s="98"/>
    </row>
    <row r="105" spans="1:58" s="31" customFormat="1" hidden="1" x14ac:dyDescent="0.3">
      <c r="A105" s="94" t="s">
        <v>76</v>
      </c>
      <c r="B105" s="54"/>
      <c r="C105" s="54"/>
      <c r="D105" s="95"/>
      <c r="E105" s="95"/>
      <c r="F105" s="96"/>
      <c r="G105" s="54"/>
      <c r="H105" s="95"/>
      <c r="I105" s="95"/>
      <c r="J105" s="97"/>
      <c r="K105" s="96"/>
      <c r="L105" s="98"/>
      <c r="M105" s="98"/>
      <c r="N105" s="98"/>
      <c r="O105" s="97"/>
      <c r="P105" s="96"/>
      <c r="Q105" s="98"/>
      <c r="R105" s="98"/>
      <c r="S105" s="98"/>
      <c r="T105" s="97"/>
      <c r="U105" s="96"/>
      <c r="V105" s="98"/>
      <c r="W105" s="98"/>
      <c r="X105" s="98"/>
      <c r="Y105" s="97"/>
      <c r="Z105" s="96"/>
      <c r="AA105" s="98"/>
      <c r="AB105" s="98"/>
      <c r="AC105" s="98"/>
      <c r="AD105" s="97"/>
      <c r="AE105" s="96"/>
      <c r="AF105" s="55">
        <f>VLOOKUP(A105,'Profit Loss-Amravati-25-26'!$A$9:$N$192,13,0)</f>
        <v>24290</v>
      </c>
      <c r="AG105" s="55">
        <f>VLOOKUP(A105,'Profit Loss-Betul-25-26'!$A$9:$N$141,13,0)</f>
        <v>0</v>
      </c>
      <c r="AH105" s="98"/>
      <c r="AI105" s="56"/>
      <c r="AJ105" s="65">
        <f t="shared" si="166"/>
        <v>0</v>
      </c>
      <c r="AK105" s="55">
        <f>VLOOKUP(A105,'Profit Loss-Amravati-25-26'!$A$9:$P$192,15,0)</f>
        <v>24290</v>
      </c>
      <c r="AL105" s="55">
        <f>VLOOKUP(A105,'Profit Loss-Betul-25-26'!$A$9:$P$141,15,0)</f>
        <v>0</v>
      </c>
      <c r="AM105" s="98"/>
      <c r="AN105" s="56"/>
      <c r="AO105" s="65">
        <f t="shared" si="168"/>
        <v>0</v>
      </c>
      <c r="AP105" s="55">
        <f>VLOOKUP(A105,'Profit Loss-Amravati-25-26'!$A$9:$R$192,17,0)</f>
        <v>24290</v>
      </c>
      <c r="AQ105" s="55">
        <f>VLOOKUP(A105,'Profit Loss-Betul-25-26'!$A$9:$R$141,17,0)</f>
        <v>0</v>
      </c>
      <c r="AR105" s="98"/>
      <c r="AS105" s="56"/>
      <c r="AT105" s="65">
        <f t="shared" si="170"/>
        <v>0</v>
      </c>
      <c r="AU105" s="55">
        <f>VLOOKUP(A105,'Profit Loss-Amravati-25-26'!$A$9:$T$192,19,0)</f>
        <v>24290</v>
      </c>
      <c r="AV105" s="55">
        <f>VLOOKUP(A105,'Profit Loss-Betul-25-26'!$A$9:$T$141,19,0)</f>
        <v>0</v>
      </c>
      <c r="AW105" s="98"/>
      <c r="AX105" s="56"/>
      <c r="AY105" s="65">
        <f t="shared" si="172"/>
        <v>0</v>
      </c>
      <c r="AZ105" s="55">
        <f>VLOOKUP(A105,'Profit Loss-Amravati-25-26'!$A$9:$V$192,21,0)</f>
        <v>24290</v>
      </c>
      <c r="BA105" s="55">
        <f>VLOOKUP(A105,'Profit Loss-Betul-25-26'!$A$9:$V$141,21,0)</f>
        <v>0</v>
      </c>
      <c r="BB105" s="98"/>
      <c r="BC105" s="56"/>
      <c r="BD105" s="65">
        <f t="shared" si="174"/>
        <v>0</v>
      </c>
      <c r="BE105" s="98"/>
      <c r="BF105" s="98"/>
    </row>
    <row r="106" spans="1:58" s="31" customFormat="1" hidden="1" x14ac:dyDescent="0.3">
      <c r="A106" s="94" t="s">
        <v>77</v>
      </c>
      <c r="B106" s="54"/>
      <c r="C106" s="54"/>
      <c r="D106" s="95"/>
      <c r="E106" s="95"/>
      <c r="F106" s="96"/>
      <c r="G106" s="54"/>
      <c r="H106" s="95"/>
      <c r="I106" s="95"/>
      <c r="J106" s="97"/>
      <c r="K106" s="96"/>
      <c r="L106" s="98"/>
      <c r="M106" s="98"/>
      <c r="N106" s="98"/>
      <c r="O106" s="97"/>
      <c r="P106" s="96"/>
      <c r="Q106" s="98"/>
      <c r="R106" s="98"/>
      <c r="S106" s="98"/>
      <c r="T106" s="97"/>
      <c r="U106" s="96"/>
      <c r="V106" s="98"/>
      <c r="W106" s="98"/>
      <c r="X106" s="98"/>
      <c r="Y106" s="97"/>
      <c r="Z106" s="96"/>
      <c r="AA106" s="98"/>
      <c r="AB106" s="98"/>
      <c r="AC106" s="98"/>
      <c r="AD106" s="97"/>
      <c r="AE106" s="96"/>
      <c r="AF106" s="55">
        <f>VLOOKUP(A106,'Profit Loss-Amravati-25-26'!$A$9:$N$192,13,0)</f>
        <v>31176</v>
      </c>
      <c r="AG106" s="55">
        <f>VLOOKUP(A106,'Profit Loss-Betul-25-26'!$A$9:$N$141,13,0)</f>
        <v>0</v>
      </c>
      <c r="AH106" s="98"/>
      <c r="AI106" s="56"/>
      <c r="AJ106" s="65">
        <f t="shared" si="166"/>
        <v>0</v>
      </c>
      <c r="AK106" s="55">
        <f>VLOOKUP(A106,'Profit Loss-Amravati-25-26'!$A$9:$P$192,15,0)</f>
        <v>32112</v>
      </c>
      <c r="AL106" s="55">
        <f>VLOOKUP(A106,'Profit Loss-Betul-25-26'!$A$9:$P$141,15,0)</f>
        <v>0</v>
      </c>
      <c r="AM106" s="98"/>
      <c r="AN106" s="56"/>
      <c r="AO106" s="65">
        <f t="shared" si="168"/>
        <v>0</v>
      </c>
      <c r="AP106" s="55">
        <f>VLOOKUP(A106,'Profit Loss-Amravati-25-26'!$A$9:$R$192,17,0)</f>
        <v>32112</v>
      </c>
      <c r="AQ106" s="55">
        <f>VLOOKUP(A106,'Profit Loss-Betul-25-26'!$A$9:$R$141,17,0)</f>
        <v>0</v>
      </c>
      <c r="AR106" s="98"/>
      <c r="AS106" s="56"/>
      <c r="AT106" s="65">
        <f t="shared" si="170"/>
        <v>0</v>
      </c>
      <c r="AU106" s="55">
        <f>VLOOKUP(A106,'Profit Loss-Amravati-25-26'!$A$9:$T$192,19,0)</f>
        <v>32112</v>
      </c>
      <c r="AV106" s="55">
        <f>VLOOKUP(A106,'Profit Loss-Betul-25-26'!$A$9:$T$141,19,0)</f>
        <v>0</v>
      </c>
      <c r="AW106" s="98"/>
      <c r="AX106" s="56"/>
      <c r="AY106" s="65">
        <f t="shared" si="172"/>
        <v>0</v>
      </c>
      <c r="AZ106" s="55">
        <f>VLOOKUP(A106,'Profit Loss-Amravati-25-26'!$A$9:$V$192,21,0)</f>
        <v>32112</v>
      </c>
      <c r="BA106" s="55">
        <f>VLOOKUP(A106,'Profit Loss-Betul-25-26'!$A$9:$V$141,21,0)</f>
        <v>0</v>
      </c>
      <c r="BB106" s="98"/>
      <c r="BC106" s="56"/>
      <c r="BD106" s="65">
        <f t="shared" si="174"/>
        <v>0</v>
      </c>
      <c r="BE106" s="98"/>
      <c r="BF106" s="98"/>
    </row>
    <row r="107" spans="1:58" s="31" customFormat="1" hidden="1" x14ac:dyDescent="0.3">
      <c r="A107" s="32" t="s">
        <v>79</v>
      </c>
      <c r="B107" s="54"/>
      <c r="C107" s="54"/>
      <c r="D107" s="95"/>
      <c r="E107" s="95"/>
      <c r="F107" s="96"/>
      <c r="G107" s="54"/>
      <c r="H107" s="95"/>
      <c r="I107" s="95"/>
      <c r="J107" s="97"/>
      <c r="K107" s="96"/>
      <c r="L107" s="98"/>
      <c r="M107" s="98"/>
      <c r="N107" s="98"/>
      <c r="O107" s="97"/>
      <c r="P107" s="96"/>
      <c r="Q107" s="98"/>
      <c r="R107" s="98"/>
      <c r="S107" s="98"/>
      <c r="T107" s="97"/>
      <c r="U107" s="96"/>
      <c r="V107" s="98"/>
      <c r="W107" s="98"/>
      <c r="X107" s="98"/>
      <c r="Y107" s="97"/>
      <c r="Z107" s="96"/>
      <c r="AA107" s="98"/>
      <c r="AB107" s="98"/>
      <c r="AC107" s="98"/>
      <c r="AD107" s="97"/>
      <c r="AE107" s="96"/>
      <c r="AF107" s="55">
        <f>VLOOKUP(A107,'Profit Loss-Amravati-25-26'!$A$9:$N$192,13,0)</f>
        <v>6248480.5</v>
      </c>
      <c r="AG107" s="55">
        <f>VLOOKUP(A107,'Profit Loss-Betul-25-26'!$A$9:$N$141,13,0)</f>
        <v>0</v>
      </c>
      <c r="AH107" s="98"/>
      <c r="AI107" s="56"/>
      <c r="AJ107" s="65">
        <f t="shared" si="166"/>
        <v>0</v>
      </c>
      <c r="AK107" s="55">
        <f>VLOOKUP(A107,'Profit Loss-Amravati-25-26'!$A$9:$P$192,15,0)</f>
        <v>7244737.9000000004</v>
      </c>
      <c r="AL107" s="55">
        <f>VLOOKUP(A107,'Profit Loss-Betul-25-26'!$A$9:$P$141,15,0)</f>
        <v>0</v>
      </c>
      <c r="AM107" s="98"/>
      <c r="AN107" s="56"/>
      <c r="AO107" s="65">
        <f t="shared" si="168"/>
        <v>0</v>
      </c>
      <c r="AP107" s="55">
        <f>VLOOKUP(A107,'Profit Loss-Amravati-25-26'!$A$9:$R$192,17,0)</f>
        <v>8394576.6000000015</v>
      </c>
      <c r="AQ107" s="55">
        <f>VLOOKUP(A107,'Profit Loss-Betul-25-26'!$A$9:$R$141,17,0)</f>
        <v>0</v>
      </c>
      <c r="AR107" s="98"/>
      <c r="AS107" s="56"/>
      <c r="AT107" s="65">
        <f t="shared" si="170"/>
        <v>0</v>
      </c>
      <c r="AU107" s="55">
        <f>VLOOKUP(A107,'Profit Loss-Amravati-25-26'!$A$9:$T$192,19,0)</f>
        <v>9517261</v>
      </c>
      <c r="AV107" s="55">
        <f>VLOOKUP(A107,'Profit Loss-Betul-25-26'!$A$9:$T$141,19,0)</f>
        <v>0</v>
      </c>
      <c r="AW107" s="98"/>
      <c r="AX107" s="56"/>
      <c r="AY107" s="65">
        <f t="shared" si="172"/>
        <v>0</v>
      </c>
      <c r="AZ107" s="55">
        <f>VLOOKUP(A107,'Profit Loss-Amravati-25-26'!$A$9:$V$192,21,0)</f>
        <v>10707839</v>
      </c>
      <c r="BA107" s="55">
        <f>VLOOKUP(A107,'Profit Loss-Betul-25-26'!$A$9:$V$141,21,0)</f>
        <v>0</v>
      </c>
      <c r="BB107" s="98"/>
      <c r="BC107" s="56"/>
      <c r="BD107" s="65">
        <f t="shared" si="174"/>
        <v>0</v>
      </c>
      <c r="BE107" s="98"/>
      <c r="BF107" s="98"/>
    </row>
    <row r="108" spans="1:58" s="31" customFormat="1" hidden="1" x14ac:dyDescent="0.3">
      <c r="A108" s="32" t="s">
        <v>80</v>
      </c>
      <c r="B108" s="54"/>
      <c r="C108" s="54"/>
      <c r="D108" s="95"/>
      <c r="E108" s="95"/>
      <c r="F108" s="96"/>
      <c r="G108" s="54"/>
      <c r="H108" s="95"/>
      <c r="I108" s="95"/>
      <c r="J108" s="97"/>
      <c r="K108" s="96"/>
      <c r="L108" s="98"/>
      <c r="M108" s="98"/>
      <c r="N108" s="98"/>
      <c r="O108" s="97"/>
      <c r="P108" s="96"/>
      <c r="Q108" s="98"/>
      <c r="R108" s="98"/>
      <c r="S108" s="98"/>
      <c r="T108" s="97"/>
      <c r="U108" s="96"/>
      <c r="V108" s="98"/>
      <c r="W108" s="98"/>
      <c r="X108" s="98"/>
      <c r="Y108" s="97"/>
      <c r="Z108" s="96"/>
      <c r="AA108" s="98"/>
      <c r="AB108" s="98"/>
      <c r="AC108" s="98"/>
      <c r="AD108" s="97"/>
      <c r="AE108" s="96"/>
      <c r="AF108" s="55">
        <f>VLOOKUP(A108,'Profit Loss-Amravati-25-26'!$A$9:$N$192,13,0)</f>
        <v>3254827.75</v>
      </c>
      <c r="AG108" s="55">
        <f>VLOOKUP(A108,'Profit Loss-Betul-25-26'!$A$9:$N$141,13,0)</f>
        <v>0</v>
      </c>
      <c r="AH108" s="98"/>
      <c r="AI108" s="56"/>
      <c r="AJ108" s="65">
        <f t="shared" si="166"/>
        <v>0</v>
      </c>
      <c r="AK108" s="55">
        <f>VLOOKUP(A108,'Profit Loss-Amravati-25-26'!$A$9:$P$192,15,0)</f>
        <v>3769146.45</v>
      </c>
      <c r="AL108" s="55">
        <f>VLOOKUP(A108,'Profit Loss-Betul-25-26'!$A$9:$P$141,15,0)</f>
        <v>0</v>
      </c>
      <c r="AM108" s="98"/>
      <c r="AN108" s="56"/>
      <c r="AO108" s="65">
        <f t="shared" si="168"/>
        <v>0</v>
      </c>
      <c r="AP108" s="55">
        <f>VLOOKUP(A108,'Profit Loss-Amravati-25-26'!$A$9:$R$192,17,0)</f>
        <v>4383825.8000000007</v>
      </c>
      <c r="AQ108" s="55">
        <f>VLOOKUP(A108,'Profit Loss-Betul-25-26'!$A$9:$R$141,17,0)</f>
        <v>22904</v>
      </c>
      <c r="AR108" s="98"/>
      <c r="AS108" s="56"/>
      <c r="AT108" s="65">
        <f t="shared" si="170"/>
        <v>0</v>
      </c>
      <c r="AU108" s="55">
        <f>VLOOKUP(A108,'Profit Loss-Amravati-25-26'!$A$9:$T$192,19,0)</f>
        <v>4945168</v>
      </c>
      <c r="AV108" s="55">
        <f>VLOOKUP(A108,'Profit Loss-Betul-25-26'!$A$9:$T$141,19,0)</f>
        <v>22904</v>
      </c>
      <c r="AW108" s="98"/>
      <c r="AX108" s="56"/>
      <c r="AY108" s="65">
        <f t="shared" si="172"/>
        <v>0</v>
      </c>
      <c r="AZ108" s="55">
        <f>VLOOKUP(A108,'Profit Loss-Amravati-25-26'!$A$9:$V$192,21,0)</f>
        <v>5606352</v>
      </c>
      <c r="BA108" s="55">
        <f>VLOOKUP(A108,'Profit Loss-Betul-25-26'!$A$9:$V$141,21,0)</f>
        <v>22904</v>
      </c>
      <c r="BB108" s="98"/>
      <c r="BC108" s="56"/>
      <c r="BD108" s="65">
        <f t="shared" si="174"/>
        <v>0</v>
      </c>
      <c r="BE108" s="98"/>
      <c r="BF108" s="98"/>
    </row>
    <row r="109" spans="1:58" s="31" customFormat="1" hidden="1" x14ac:dyDescent="0.3">
      <c r="A109" s="32" t="s">
        <v>218</v>
      </c>
      <c r="B109" s="54"/>
      <c r="C109" s="54"/>
      <c r="D109" s="95"/>
      <c r="E109" s="95"/>
      <c r="F109" s="96"/>
      <c r="G109" s="54"/>
      <c r="H109" s="95"/>
      <c r="I109" s="95"/>
      <c r="J109" s="97"/>
      <c r="K109" s="96"/>
      <c r="L109" s="98"/>
      <c r="M109" s="98"/>
      <c r="N109" s="98"/>
      <c r="O109" s="97"/>
      <c r="P109" s="96"/>
      <c r="Q109" s="98"/>
      <c r="R109" s="98"/>
      <c r="S109" s="98"/>
      <c r="T109" s="97"/>
      <c r="U109" s="96"/>
      <c r="V109" s="98"/>
      <c r="W109" s="98"/>
      <c r="X109" s="98"/>
      <c r="Y109" s="97"/>
      <c r="Z109" s="96"/>
      <c r="AA109" s="98"/>
      <c r="AB109" s="98"/>
      <c r="AC109" s="98"/>
      <c r="AD109" s="97"/>
      <c r="AE109" s="96"/>
      <c r="AF109" s="55">
        <f>VLOOKUP(A109,'Profit Loss-Amravati-25-26'!$A$9:$N$192,13,0)</f>
        <v>-1371</v>
      </c>
      <c r="AG109" s="55">
        <f>VLOOKUP(A109,'Profit Loss-Betul-25-26'!$A$9:$N$141,13,0)</f>
        <v>0</v>
      </c>
      <c r="AH109" s="98"/>
      <c r="AI109" s="56"/>
      <c r="AJ109" s="65">
        <f t="shared" si="166"/>
        <v>0</v>
      </c>
      <c r="AK109" s="55">
        <f>VLOOKUP(A109,'Profit Loss-Amravati-25-26'!$A$9:$P$192,15,0)</f>
        <v>-1371</v>
      </c>
      <c r="AL109" s="55">
        <f>VLOOKUP(A109,'Profit Loss-Betul-25-26'!$A$9:$P$141,15,0)</f>
        <v>0</v>
      </c>
      <c r="AM109" s="98"/>
      <c r="AN109" s="56"/>
      <c r="AO109" s="65">
        <f t="shared" si="168"/>
        <v>0</v>
      </c>
      <c r="AP109" s="55">
        <f>VLOOKUP(A109,'Profit Loss-Amravati-25-26'!$A$9:$R$192,17,0)</f>
        <v>-1371</v>
      </c>
      <c r="AQ109" s="55">
        <f>VLOOKUP(A109,'Profit Loss-Betul-25-26'!$A$9:$R$141,17,0)</f>
        <v>0</v>
      </c>
      <c r="AR109" s="98"/>
      <c r="AS109" s="56"/>
      <c r="AT109" s="65">
        <f t="shared" si="170"/>
        <v>0</v>
      </c>
      <c r="AU109" s="55">
        <f>VLOOKUP(A109,'Profit Loss-Amravati-25-26'!$A$9:$T$192,19,0)</f>
        <v>-1371</v>
      </c>
      <c r="AV109" s="55">
        <f>VLOOKUP(A109,'Profit Loss-Betul-25-26'!$A$9:$T$141,19,0)</f>
        <v>0</v>
      </c>
      <c r="AW109" s="98"/>
      <c r="AX109" s="56"/>
      <c r="AY109" s="65">
        <f t="shared" si="172"/>
        <v>0</v>
      </c>
      <c r="AZ109" s="55">
        <f>VLOOKUP(A109,'Profit Loss-Amravati-25-26'!$A$9:$V$192,21,0)</f>
        <v>-1371</v>
      </c>
      <c r="BA109" s="55">
        <f>VLOOKUP(A109,'Profit Loss-Betul-25-26'!$A$9:$V$141,21,0)</f>
        <v>0</v>
      </c>
      <c r="BB109" s="98"/>
      <c r="BC109" s="56"/>
      <c r="BD109" s="65">
        <f t="shared" si="174"/>
        <v>0</v>
      </c>
      <c r="BE109" s="98"/>
      <c r="BF109" s="98"/>
    </row>
    <row r="110" spans="1:58" s="31" customFormat="1" hidden="1" x14ac:dyDescent="0.3">
      <c r="A110" s="32" t="s">
        <v>221</v>
      </c>
      <c r="B110" s="54"/>
      <c r="C110" s="54"/>
      <c r="D110" s="95"/>
      <c r="E110" s="95"/>
      <c r="F110" s="96"/>
      <c r="G110" s="54"/>
      <c r="H110" s="95"/>
      <c r="I110" s="95"/>
      <c r="J110" s="97"/>
      <c r="K110" s="96"/>
      <c r="L110" s="98"/>
      <c r="M110" s="98"/>
      <c r="N110" s="98"/>
      <c r="O110" s="97"/>
      <c r="P110" s="96"/>
      <c r="Q110" s="98"/>
      <c r="R110" s="98"/>
      <c r="S110" s="98"/>
      <c r="T110" s="97"/>
      <c r="U110" s="96"/>
      <c r="V110" s="98"/>
      <c r="W110" s="98"/>
      <c r="X110" s="98"/>
      <c r="Y110" s="97"/>
      <c r="Z110" s="96"/>
      <c r="AA110" s="98"/>
      <c r="AB110" s="98"/>
      <c r="AC110" s="98"/>
      <c r="AD110" s="97"/>
      <c r="AE110" s="96"/>
      <c r="AF110" s="55">
        <f>VLOOKUP(A110,'Profit Loss-Amravati-25-26'!$A$9:$N$192,13,0)</f>
        <v>177760.28666666665</v>
      </c>
      <c r="AG110" s="55">
        <f>VLOOKUP(A110,'Profit Loss-Betul-25-26'!$A$9:$N$141,13,0)</f>
        <v>0</v>
      </c>
      <c r="AH110" s="98"/>
      <c r="AI110" s="56"/>
      <c r="AJ110" s="65">
        <f t="shared" si="166"/>
        <v>0</v>
      </c>
      <c r="AK110" s="55">
        <f>VLOOKUP(A110,'Profit Loss-Amravati-25-26'!$A$9:$P$192,15,0)</f>
        <v>198091.45333333331</v>
      </c>
      <c r="AL110" s="55">
        <f>VLOOKUP(A110,'Profit Loss-Betul-25-26'!$A$9:$P$141,15,0)</f>
        <v>0</v>
      </c>
      <c r="AM110" s="98"/>
      <c r="AN110" s="56"/>
      <c r="AO110" s="65">
        <f t="shared" si="168"/>
        <v>0</v>
      </c>
      <c r="AP110" s="55">
        <f>VLOOKUP(A110,'Profit Loss-Amravati-25-26'!$A$9:$R$192,17,0)</f>
        <v>218422.62</v>
      </c>
      <c r="AQ110" s="55">
        <f>VLOOKUP(A110,'Profit Loss-Betul-25-26'!$A$9:$R$141,17,0)</f>
        <v>0</v>
      </c>
      <c r="AR110" s="98"/>
      <c r="AS110" s="56"/>
      <c r="AT110" s="65">
        <f t="shared" si="170"/>
        <v>0</v>
      </c>
      <c r="AU110" s="55">
        <f>VLOOKUP(A110,'Profit Loss-Amravati-25-26'!$A$9:$T$192,19,0)</f>
        <v>256101.96666666665</v>
      </c>
      <c r="AV110" s="55">
        <f>VLOOKUP(A110,'Profit Loss-Betul-25-26'!$A$9:$T$141,19,0)</f>
        <v>0</v>
      </c>
      <c r="AW110" s="98"/>
      <c r="AX110" s="56"/>
      <c r="AY110" s="65">
        <f t="shared" si="172"/>
        <v>0</v>
      </c>
      <c r="AZ110" s="55">
        <f>VLOOKUP(A110,'Profit Loss-Amravati-25-26'!$A$9:$V$192,21,0)</f>
        <v>276433.1333333333</v>
      </c>
      <c r="BA110" s="55">
        <f>VLOOKUP(A110,'Profit Loss-Betul-25-26'!$A$9:$V$141,21,0)</f>
        <v>0</v>
      </c>
      <c r="BB110" s="98"/>
      <c r="BC110" s="56"/>
      <c r="BD110" s="65">
        <f t="shared" si="174"/>
        <v>0</v>
      </c>
      <c r="BE110" s="98"/>
      <c r="BF110" s="98"/>
    </row>
    <row r="111" spans="1:58" s="31" customFormat="1" hidden="1" x14ac:dyDescent="0.3">
      <c r="A111" s="32" t="s">
        <v>82</v>
      </c>
      <c r="B111" s="54"/>
      <c r="C111" s="54"/>
      <c r="D111" s="95"/>
      <c r="E111" s="95"/>
      <c r="F111" s="96"/>
      <c r="G111" s="54"/>
      <c r="H111" s="95"/>
      <c r="I111" s="95"/>
      <c r="J111" s="97"/>
      <c r="K111" s="96"/>
      <c r="L111" s="98"/>
      <c r="M111" s="98"/>
      <c r="N111" s="98"/>
      <c r="O111" s="97"/>
      <c r="P111" s="96"/>
      <c r="Q111" s="98"/>
      <c r="R111" s="98"/>
      <c r="S111" s="98"/>
      <c r="T111" s="97"/>
      <c r="U111" s="96"/>
      <c r="V111" s="98"/>
      <c r="W111" s="98"/>
      <c r="X111" s="98"/>
      <c r="Y111" s="97"/>
      <c r="Z111" s="96"/>
      <c r="AA111" s="98"/>
      <c r="AB111" s="98"/>
      <c r="AC111" s="98"/>
      <c r="AD111" s="97"/>
      <c r="AE111" s="96"/>
      <c r="AF111" s="55">
        <f>VLOOKUP(A111,'Profit Loss-Amravati-25-26'!$A$9:$N$192,13,0)</f>
        <v>6133423</v>
      </c>
      <c r="AG111" s="55">
        <f>VLOOKUP(A111,'Profit Loss-Betul-25-26'!$A$9:$N$141,13,0)</f>
        <v>275561</v>
      </c>
      <c r="AH111" s="98"/>
      <c r="AI111" s="56"/>
      <c r="AJ111" s="65">
        <f t="shared" si="166"/>
        <v>0</v>
      </c>
      <c r="AK111" s="55">
        <f>VLOOKUP(A111,'Profit Loss-Amravati-25-26'!$A$9:$P$192,15,0)</f>
        <v>7022301</v>
      </c>
      <c r="AL111" s="55">
        <f>VLOOKUP(A111,'Profit Loss-Betul-25-26'!$A$9:$P$141,15,0)</f>
        <v>310160</v>
      </c>
      <c r="AM111" s="98"/>
      <c r="AN111" s="56"/>
      <c r="AO111" s="65">
        <f t="shared" si="168"/>
        <v>0</v>
      </c>
      <c r="AP111" s="55">
        <f>VLOOKUP(A111,'Profit Loss-Amravati-25-26'!$A$9:$R$192,17,0)</f>
        <v>8055638</v>
      </c>
      <c r="AQ111" s="55">
        <f>VLOOKUP(A111,'Profit Loss-Betul-25-26'!$A$9:$R$141,17,0)</f>
        <v>400385</v>
      </c>
      <c r="AR111" s="98"/>
      <c r="AS111" s="56"/>
      <c r="AT111" s="65">
        <f t="shared" si="170"/>
        <v>0</v>
      </c>
      <c r="AU111" s="55">
        <f>VLOOKUP(A111,'Profit Loss-Amravati-25-26'!$A$9:$T$192,19,0)</f>
        <v>9110376</v>
      </c>
      <c r="AV111" s="55">
        <f>VLOOKUP(A111,'Profit Loss-Betul-25-26'!$A$9:$T$141,19,0)</f>
        <v>490682</v>
      </c>
      <c r="AW111" s="98"/>
      <c r="AX111" s="56"/>
      <c r="AY111" s="65">
        <f t="shared" si="172"/>
        <v>0</v>
      </c>
      <c r="AZ111" s="55">
        <f>VLOOKUP(A111,'Profit Loss-Amravati-25-26'!$A$9:$V$192,21,0)</f>
        <v>10236180</v>
      </c>
      <c r="BA111" s="55">
        <f>VLOOKUP(A111,'Profit Loss-Betul-25-26'!$A$9:$V$141,21,0)</f>
        <v>613878</v>
      </c>
      <c r="BB111" s="98"/>
      <c r="BC111" s="56"/>
      <c r="BD111" s="65">
        <f t="shared" si="174"/>
        <v>0</v>
      </c>
      <c r="BE111" s="98"/>
      <c r="BF111" s="98"/>
    </row>
    <row r="112" spans="1:58" s="31" customFormat="1" hidden="1" x14ac:dyDescent="0.3">
      <c r="A112" s="32" t="s">
        <v>83</v>
      </c>
      <c r="B112" s="54"/>
      <c r="C112" s="54"/>
      <c r="D112" s="95"/>
      <c r="E112" s="95"/>
      <c r="F112" s="96"/>
      <c r="G112" s="54"/>
      <c r="H112" s="95"/>
      <c r="I112" s="95"/>
      <c r="J112" s="97"/>
      <c r="K112" s="96"/>
      <c r="L112" s="98"/>
      <c r="M112" s="98"/>
      <c r="N112" s="98"/>
      <c r="O112" s="97"/>
      <c r="P112" s="96"/>
      <c r="Q112" s="98"/>
      <c r="R112" s="98"/>
      <c r="S112" s="98"/>
      <c r="T112" s="97"/>
      <c r="U112" s="96"/>
      <c r="V112" s="98"/>
      <c r="W112" s="98"/>
      <c r="X112" s="98"/>
      <c r="Y112" s="97"/>
      <c r="Z112" s="96"/>
      <c r="AA112" s="98"/>
      <c r="AB112" s="98"/>
      <c r="AC112" s="98"/>
      <c r="AD112" s="97"/>
      <c r="AE112" s="96"/>
      <c r="AF112" s="55">
        <f>VLOOKUP(A112,'Profit Loss-Amravati-25-26'!$A$9:$N$192,13,0)</f>
        <v>1617550</v>
      </c>
      <c r="AG112" s="55">
        <f>VLOOKUP(A112,'Profit Loss-Betul-25-26'!$A$9:$N$141,13,0)</f>
        <v>79439</v>
      </c>
      <c r="AH112" s="98"/>
      <c r="AI112" s="56"/>
      <c r="AJ112" s="65">
        <f t="shared" si="166"/>
        <v>0</v>
      </c>
      <c r="AK112" s="55">
        <f>VLOOKUP(A112,'Profit Loss-Amravati-25-26'!$A$9:$P$192,15,0)</f>
        <v>1877718</v>
      </c>
      <c r="AL112" s="55">
        <f>VLOOKUP(A112,'Profit Loss-Betul-25-26'!$A$9:$P$141,15,0)</f>
        <v>88816</v>
      </c>
      <c r="AM112" s="98"/>
      <c r="AN112" s="56"/>
      <c r="AO112" s="65">
        <f t="shared" si="168"/>
        <v>0</v>
      </c>
      <c r="AP112" s="55">
        <f>VLOOKUP(A112,'Profit Loss-Amravati-25-26'!$A$9:$R$192,17,0)</f>
        <v>2167718</v>
      </c>
      <c r="AQ112" s="55">
        <f>VLOOKUP(A112,'Profit Loss-Betul-25-26'!$A$9:$R$141,17,0)</f>
        <v>113689</v>
      </c>
      <c r="AR112" s="98"/>
      <c r="AS112" s="56"/>
      <c r="AT112" s="65">
        <f t="shared" si="170"/>
        <v>0</v>
      </c>
      <c r="AU112" s="55">
        <f>VLOOKUP(A112,'Profit Loss-Amravati-25-26'!$A$9:$T$192,19,0)</f>
        <v>2425153</v>
      </c>
      <c r="AV112" s="55">
        <f>VLOOKUP(A112,'Profit Loss-Betul-25-26'!$A$9:$T$141,19,0)</f>
        <v>138619</v>
      </c>
      <c r="AW112" s="98"/>
      <c r="AX112" s="56"/>
      <c r="AY112" s="65">
        <f t="shared" si="172"/>
        <v>0</v>
      </c>
      <c r="AZ112" s="55">
        <f>VLOOKUP(A112,'Profit Loss-Amravati-25-26'!$A$9:$V$192,21,0)</f>
        <v>2712569</v>
      </c>
      <c r="BA112" s="55">
        <f>VLOOKUP(A112,'Profit Loss-Betul-25-26'!$A$9:$V$141,21,0)</f>
        <v>171139</v>
      </c>
      <c r="BB112" s="98"/>
      <c r="BC112" s="56"/>
      <c r="BD112" s="65">
        <f t="shared" si="174"/>
        <v>0</v>
      </c>
      <c r="BE112" s="98"/>
      <c r="BF112" s="98"/>
    </row>
    <row r="113" spans="1:58" s="31" customFormat="1" hidden="1" x14ac:dyDescent="0.3">
      <c r="A113" s="32" t="s">
        <v>87</v>
      </c>
      <c r="B113" s="54"/>
      <c r="C113" s="54"/>
      <c r="D113" s="95"/>
      <c r="E113" s="95"/>
      <c r="F113" s="96"/>
      <c r="G113" s="54"/>
      <c r="H113" s="95"/>
      <c r="I113" s="95"/>
      <c r="J113" s="97"/>
      <c r="K113" s="96"/>
      <c r="L113" s="98"/>
      <c r="M113" s="98"/>
      <c r="N113" s="98"/>
      <c r="O113" s="97"/>
      <c r="P113" s="96"/>
      <c r="Q113" s="98"/>
      <c r="R113" s="98"/>
      <c r="S113" s="98"/>
      <c r="T113" s="97"/>
      <c r="U113" s="96"/>
      <c r="V113" s="98"/>
      <c r="W113" s="98"/>
      <c r="X113" s="98"/>
      <c r="Y113" s="97"/>
      <c r="Z113" s="96"/>
      <c r="AA113" s="98"/>
      <c r="AB113" s="98"/>
      <c r="AC113" s="98"/>
      <c r="AD113" s="97"/>
      <c r="AE113" s="96"/>
      <c r="AF113" s="55">
        <f>VLOOKUP(A113,'Profit Loss-Amravati-25-26'!$A$9:$N$192,13,0)</f>
        <v>69675</v>
      </c>
      <c r="AG113" s="55">
        <f>VLOOKUP(A113,'Profit Loss-Betul-25-26'!$A$9:$N$141,13,0)</f>
        <v>24500</v>
      </c>
      <c r="AH113" s="98"/>
      <c r="AI113" s="56"/>
      <c r="AJ113" s="65">
        <f t="shared" si="166"/>
        <v>0</v>
      </c>
      <c r="AK113" s="55">
        <f>VLOOKUP(A113,'Profit Loss-Amravati-25-26'!$A$9:$P$192,15,0)</f>
        <v>141680</v>
      </c>
      <c r="AL113" s="55">
        <f>VLOOKUP(A113,'Profit Loss-Betul-25-26'!$A$9:$P$141,15,0)</f>
        <v>24500</v>
      </c>
      <c r="AM113" s="98"/>
      <c r="AN113" s="56"/>
      <c r="AO113" s="65">
        <f t="shared" si="168"/>
        <v>0</v>
      </c>
      <c r="AP113" s="55">
        <f>VLOOKUP(A113,'Profit Loss-Amravati-25-26'!$A$9:$R$192,17,0)</f>
        <v>148950</v>
      </c>
      <c r="AQ113" s="55">
        <f>VLOOKUP(A113,'Profit Loss-Betul-25-26'!$A$9:$R$141,17,0)</f>
        <v>45330</v>
      </c>
      <c r="AR113" s="98"/>
      <c r="AS113" s="56"/>
      <c r="AT113" s="65">
        <f t="shared" si="170"/>
        <v>0</v>
      </c>
      <c r="AU113" s="55">
        <f>VLOOKUP(A113,'Profit Loss-Amravati-25-26'!$A$9:$T$192,19,0)</f>
        <v>147625</v>
      </c>
      <c r="AV113" s="55">
        <f>VLOOKUP(A113,'Profit Loss-Betul-25-26'!$A$9:$T$141,19,0)</f>
        <v>35320</v>
      </c>
      <c r="AW113" s="98"/>
      <c r="AX113" s="56"/>
      <c r="AY113" s="65">
        <f t="shared" si="172"/>
        <v>0</v>
      </c>
      <c r="AZ113" s="55">
        <f>VLOOKUP(A113,'Profit Loss-Amravati-25-26'!$A$9:$V$192,21,0)</f>
        <v>147625</v>
      </c>
      <c r="BA113" s="55">
        <f>VLOOKUP(A113,'Profit Loss-Betul-25-26'!$A$9:$V$141,21,0)</f>
        <v>35320</v>
      </c>
      <c r="BB113" s="98"/>
      <c r="BC113" s="56"/>
      <c r="BD113" s="65">
        <f t="shared" si="174"/>
        <v>0</v>
      </c>
      <c r="BE113" s="98"/>
      <c r="BF113" s="98"/>
    </row>
    <row r="114" spans="1:58" s="31" customFormat="1" hidden="1" x14ac:dyDescent="0.3">
      <c r="A114" s="32" t="s">
        <v>88</v>
      </c>
      <c r="B114" s="54"/>
      <c r="C114" s="54"/>
      <c r="D114" s="95"/>
      <c r="E114" s="95"/>
      <c r="F114" s="96"/>
      <c r="G114" s="54"/>
      <c r="H114" s="95"/>
      <c r="I114" s="95"/>
      <c r="J114" s="97"/>
      <c r="K114" s="96"/>
      <c r="L114" s="98"/>
      <c r="M114" s="98"/>
      <c r="N114" s="98"/>
      <c r="O114" s="97"/>
      <c r="P114" s="96"/>
      <c r="Q114" s="98"/>
      <c r="R114" s="98"/>
      <c r="S114" s="98"/>
      <c r="T114" s="97"/>
      <c r="U114" s="96"/>
      <c r="V114" s="98"/>
      <c r="W114" s="98"/>
      <c r="X114" s="98"/>
      <c r="Y114" s="97"/>
      <c r="Z114" s="96"/>
      <c r="AA114" s="98"/>
      <c r="AB114" s="98"/>
      <c r="AC114" s="98"/>
      <c r="AD114" s="97"/>
      <c r="AE114" s="96"/>
      <c r="AF114" s="55">
        <f>VLOOKUP(A114,'Profit Loss-Amravati-25-26'!$A$9:$N$192,13,0)</f>
        <v>493925</v>
      </c>
      <c r="AG114" s="55">
        <f>VLOOKUP(A114,'Profit Loss-Betul-25-26'!$A$9:$N$141,13,0)</f>
        <v>22817</v>
      </c>
      <c r="AH114" s="98"/>
      <c r="AI114" s="56"/>
      <c r="AJ114" s="65">
        <f t="shared" si="166"/>
        <v>0</v>
      </c>
      <c r="AK114" s="55">
        <f>VLOOKUP(A114,'Profit Loss-Amravati-25-26'!$A$9:$P$192,15,0)</f>
        <v>493925</v>
      </c>
      <c r="AL114" s="55">
        <f>VLOOKUP(A114,'Profit Loss-Betul-25-26'!$A$9:$P$141,15,0)</f>
        <v>25691</v>
      </c>
      <c r="AM114" s="98"/>
      <c r="AN114" s="56"/>
      <c r="AO114" s="65">
        <f t="shared" si="168"/>
        <v>0</v>
      </c>
      <c r="AP114" s="55">
        <f>VLOOKUP(A114,'Profit Loss-Amravati-25-26'!$A$9:$R$192,17,0)</f>
        <v>650043</v>
      </c>
      <c r="AQ114" s="55">
        <f>VLOOKUP(A114,'Profit Loss-Betul-25-26'!$A$9:$R$141,17,0)</f>
        <v>33036</v>
      </c>
      <c r="AR114" s="98"/>
      <c r="AS114" s="56"/>
      <c r="AT114" s="65">
        <f t="shared" si="170"/>
        <v>0</v>
      </c>
      <c r="AU114" s="55">
        <f>VLOOKUP(A114,'Profit Loss-Amravati-25-26'!$A$9:$T$192,19,0)</f>
        <v>735910</v>
      </c>
      <c r="AV114" s="55">
        <f>VLOOKUP(A114,'Profit Loss-Betul-25-26'!$A$9:$T$141,19,0)</f>
        <v>40430</v>
      </c>
      <c r="AW114" s="98"/>
      <c r="AX114" s="56"/>
      <c r="AY114" s="65">
        <f t="shared" si="172"/>
        <v>0</v>
      </c>
      <c r="AZ114" s="55">
        <f>VLOOKUP(A114,'Profit Loss-Amravati-25-26'!$A$9:$V$192,21,0)</f>
        <v>830910</v>
      </c>
      <c r="BA114" s="55">
        <f>VLOOKUP(A114,'Profit Loss-Betul-25-26'!$A$9:$V$141,21,0)</f>
        <v>50430</v>
      </c>
      <c r="BB114" s="98"/>
      <c r="BC114" s="56"/>
      <c r="BD114" s="65">
        <f t="shared" si="174"/>
        <v>0</v>
      </c>
      <c r="BE114" s="98"/>
      <c r="BF114" s="98"/>
    </row>
    <row r="115" spans="1:58" s="31" customFormat="1" hidden="1" x14ac:dyDescent="0.3">
      <c r="A115" s="32" t="s">
        <v>220</v>
      </c>
      <c r="B115" s="54"/>
      <c r="C115" s="54"/>
      <c r="D115" s="95"/>
      <c r="E115" s="95"/>
      <c r="F115" s="96"/>
      <c r="G115" s="54"/>
      <c r="H115" s="95"/>
      <c r="I115" s="95"/>
      <c r="J115" s="97"/>
      <c r="K115" s="96"/>
      <c r="L115" s="98"/>
      <c r="M115" s="98"/>
      <c r="N115" s="98"/>
      <c r="O115" s="97"/>
      <c r="P115" s="96"/>
      <c r="Q115" s="98"/>
      <c r="R115" s="98"/>
      <c r="S115" s="98"/>
      <c r="T115" s="97"/>
      <c r="U115" s="96"/>
      <c r="V115" s="98"/>
      <c r="W115" s="98"/>
      <c r="X115" s="98"/>
      <c r="Y115" s="97"/>
      <c r="Z115" s="96"/>
      <c r="AA115" s="98"/>
      <c r="AB115" s="98"/>
      <c r="AC115" s="98"/>
      <c r="AD115" s="97"/>
      <c r="AE115" s="96"/>
      <c r="AF115" s="55">
        <f>VLOOKUP(A115,'Profit Loss-Amravati-25-26'!$A$9:$N$192,13,0)</f>
        <v>79843</v>
      </c>
      <c r="AG115" s="55">
        <f>VLOOKUP(A115,'Profit Loss-Betul-25-26'!$A$9:$N$141,13,0)</f>
        <v>1632</v>
      </c>
      <c r="AH115" s="98"/>
      <c r="AI115" s="56"/>
      <c r="AJ115" s="65">
        <f t="shared" si="166"/>
        <v>0</v>
      </c>
      <c r="AK115" s="55">
        <f>VLOOKUP(A115,'Profit Loss-Amravati-25-26'!$A$9:$P$192,15,0)</f>
        <v>114699</v>
      </c>
      <c r="AL115" s="55">
        <f>VLOOKUP(A115,'Profit Loss-Betul-25-26'!$A$9:$P$141,15,0)</f>
        <v>1632</v>
      </c>
      <c r="AM115" s="98"/>
      <c r="AN115" s="56"/>
      <c r="AO115" s="65">
        <f t="shared" si="168"/>
        <v>0</v>
      </c>
      <c r="AP115" s="55">
        <f>VLOOKUP(A115,'Profit Loss-Amravati-25-26'!$A$9:$R$192,17,0)</f>
        <v>127002</v>
      </c>
      <c r="AQ115" s="55">
        <f>VLOOKUP(A115,'Profit Loss-Betul-25-26'!$A$9:$R$141,17,0)</f>
        <v>1632</v>
      </c>
      <c r="AR115" s="98"/>
      <c r="AS115" s="56"/>
      <c r="AT115" s="65">
        <f t="shared" si="170"/>
        <v>0</v>
      </c>
      <c r="AU115" s="55">
        <f>VLOOKUP(A115,'Profit Loss-Amravati-25-26'!$A$9:$T$192,19,0)</f>
        <v>131805</v>
      </c>
      <c r="AV115" s="55">
        <f>VLOOKUP(A115,'Profit Loss-Betul-25-26'!$A$9:$T$141,19,0)</f>
        <v>1632</v>
      </c>
      <c r="AW115" s="98"/>
      <c r="AX115" s="56"/>
      <c r="AY115" s="65">
        <f t="shared" si="172"/>
        <v>0</v>
      </c>
      <c r="AZ115" s="55">
        <f>VLOOKUP(A115,'Profit Loss-Amravati-25-26'!$A$9:$V$192,21,0)</f>
        <v>133589</v>
      </c>
      <c r="BA115" s="55">
        <f>VLOOKUP(A115,'Profit Loss-Betul-25-26'!$A$9:$V$141,21,0)</f>
        <v>2422</v>
      </c>
      <c r="BB115" s="98"/>
      <c r="BC115" s="56"/>
      <c r="BD115" s="65">
        <f t="shared" si="174"/>
        <v>0</v>
      </c>
      <c r="BE115" s="98"/>
      <c r="BF115" s="98"/>
    </row>
    <row r="116" spans="1:58" s="31" customFormat="1" hidden="1" x14ac:dyDescent="0.3">
      <c r="A116" s="32" t="s">
        <v>89</v>
      </c>
      <c r="B116" s="54"/>
      <c r="C116" s="54"/>
      <c r="D116" s="95"/>
      <c r="E116" s="95"/>
      <c r="F116" s="96"/>
      <c r="G116" s="54"/>
      <c r="H116" s="95"/>
      <c r="I116" s="95"/>
      <c r="J116" s="97"/>
      <c r="K116" s="96"/>
      <c r="L116" s="98"/>
      <c r="M116" s="98"/>
      <c r="N116" s="98"/>
      <c r="O116" s="97"/>
      <c r="P116" s="96"/>
      <c r="Q116" s="98"/>
      <c r="R116" s="98"/>
      <c r="S116" s="98"/>
      <c r="T116" s="97"/>
      <c r="U116" s="96"/>
      <c r="V116" s="98"/>
      <c r="W116" s="98"/>
      <c r="X116" s="98"/>
      <c r="Y116" s="97"/>
      <c r="Z116" s="96"/>
      <c r="AA116" s="98"/>
      <c r="AB116" s="98"/>
      <c r="AC116" s="98"/>
      <c r="AD116" s="97"/>
      <c r="AE116" s="96"/>
      <c r="AF116" s="55">
        <f>VLOOKUP(A116,'Profit Loss-Amravati-25-26'!$A$9:$N$192,13,0)</f>
        <v>1109381.3600000001</v>
      </c>
      <c r="AG116" s="55">
        <f>VLOOKUP(A116,'Profit Loss-Betul-25-26'!$A$9:$N$141,13,0)</f>
        <v>244832</v>
      </c>
      <c r="AH116" s="98"/>
      <c r="AI116" s="56"/>
      <c r="AJ116" s="65">
        <f t="shared" si="166"/>
        <v>0</v>
      </c>
      <c r="AK116" s="55">
        <f>VLOOKUP(A116,'Profit Loss-Amravati-25-26'!$A$9:$P$192,15,0)</f>
        <v>1237717.3600000001</v>
      </c>
      <c r="AL116" s="55">
        <f>VLOOKUP(A116,'Profit Loss-Betul-25-26'!$A$9:$P$141,15,0)</f>
        <v>359238</v>
      </c>
      <c r="AM116" s="98"/>
      <c r="AN116" s="56"/>
      <c r="AO116" s="65">
        <f t="shared" si="168"/>
        <v>0</v>
      </c>
      <c r="AP116" s="55">
        <f>VLOOKUP(A116,'Profit Loss-Amravati-25-26'!$A$9:$R$192,17,0)</f>
        <v>1385306.36</v>
      </c>
      <c r="AQ116" s="55">
        <f>VLOOKUP(A116,'Profit Loss-Betul-25-26'!$A$9:$R$141,17,0)</f>
        <v>371638</v>
      </c>
      <c r="AR116" s="98"/>
      <c r="AS116" s="56"/>
      <c r="AT116" s="65">
        <f t="shared" si="170"/>
        <v>0</v>
      </c>
      <c r="AU116" s="55">
        <f>VLOOKUP(A116,'Profit Loss-Amravati-25-26'!$A$9:$T$192,19,0)</f>
        <v>1560608.36</v>
      </c>
      <c r="AV116" s="55">
        <f>VLOOKUP(A116,'Profit Loss-Betul-25-26'!$A$9:$T$141,19,0)</f>
        <v>416918</v>
      </c>
      <c r="AW116" s="98"/>
      <c r="AX116" s="56"/>
      <c r="AY116" s="65">
        <f t="shared" si="172"/>
        <v>0</v>
      </c>
      <c r="AZ116" s="55">
        <f>VLOOKUP(A116,'Profit Loss-Amravati-25-26'!$A$9:$V$192,21,0)</f>
        <v>1588814.36</v>
      </c>
      <c r="BA116" s="55">
        <f>VLOOKUP(A116,'Profit Loss-Betul-25-26'!$A$9:$V$141,21,0)</f>
        <v>490220</v>
      </c>
      <c r="BB116" s="98"/>
      <c r="BC116" s="56"/>
      <c r="BD116" s="65">
        <f t="shared" si="174"/>
        <v>0</v>
      </c>
      <c r="BE116" s="98"/>
      <c r="BF116" s="98"/>
    </row>
    <row r="117" spans="1:58" hidden="1" x14ac:dyDescent="0.3">
      <c r="A117" s="32" t="s">
        <v>229</v>
      </c>
      <c r="B117" s="54"/>
      <c r="C117" s="54"/>
      <c r="D117" s="95"/>
      <c r="E117" s="95"/>
      <c r="F117" s="96"/>
      <c r="G117" s="54"/>
      <c r="H117" s="95"/>
      <c r="I117" s="95"/>
      <c r="J117" s="97">
        <f>SUM(G117:I117)</f>
        <v>0</v>
      </c>
      <c r="K117" s="96">
        <f t="shared" ref="K117:K122" si="185">+H117+G117-F117</f>
        <v>0</v>
      </c>
      <c r="L117" s="98"/>
      <c r="M117" s="98"/>
      <c r="N117" s="98"/>
      <c r="O117" s="97">
        <f t="shared" ref="O117:O122" si="186">SUM(L117:M117)</f>
        <v>0</v>
      </c>
      <c r="P117" s="96">
        <f t="shared" ref="P117:P122" si="187">+O117-J117</f>
        <v>0</v>
      </c>
      <c r="Q117" s="98"/>
      <c r="R117" s="98"/>
      <c r="S117" s="98"/>
      <c r="T117" s="97">
        <f t="shared" ref="T117:T122" si="188">SUM(Q117:S117)</f>
        <v>0</v>
      </c>
      <c r="U117" s="96">
        <f t="shared" ref="U117:U122" si="189">+T117-O117</f>
        <v>0</v>
      </c>
      <c r="V117" s="98"/>
      <c r="W117" s="98"/>
      <c r="X117" s="98"/>
      <c r="Y117" s="97">
        <f>SUM(V117:X117)</f>
        <v>0</v>
      </c>
      <c r="Z117" s="96">
        <f t="shared" ref="Z117:Z122" si="190">+Y117-T117</f>
        <v>0</v>
      </c>
      <c r="AA117" s="98"/>
      <c r="AB117" s="98"/>
      <c r="AC117" s="98"/>
      <c r="AD117" s="97">
        <f t="shared" ref="AD117:AD122" si="191">+AA117+AB117</f>
        <v>0</v>
      </c>
      <c r="AE117" s="96">
        <f t="shared" ref="AE117:AE122" si="192">+AD117-Y117</f>
        <v>0</v>
      </c>
      <c r="AF117" s="55">
        <f>VLOOKUP(A117,'Profit Loss-Amravati-25-26'!$A$9:$N$192,13,0)</f>
        <v>0</v>
      </c>
      <c r="AG117" s="55">
        <f>VLOOKUP(A117,'Profit Loss-Betul-25-26'!$A$9:$N$141,13,0)</f>
        <v>20000</v>
      </c>
      <c r="AH117" s="98"/>
      <c r="AI117" s="56"/>
      <c r="AJ117" s="96">
        <f t="shared" ref="AJ117:AJ122" si="193">+AI117-AD117</f>
        <v>0</v>
      </c>
      <c r="AK117" s="55">
        <f>VLOOKUP(A117,'Profit Loss-Amravati-25-26'!$A$9:$P$192,15,0)</f>
        <v>12100</v>
      </c>
      <c r="AL117" s="55">
        <f>VLOOKUP(A117,'Profit Loss-Betul-25-26'!$A$9:$P$141,15,0)</f>
        <v>20000</v>
      </c>
      <c r="AM117" s="98"/>
      <c r="AN117" s="56"/>
      <c r="AO117" s="96">
        <f t="shared" ref="AO117:AO122" si="194">+AN117-AI117</f>
        <v>0</v>
      </c>
      <c r="AP117" s="55">
        <f>VLOOKUP(A117,'Profit Loss-Amravati-25-26'!$A$9:$R$192,17,0)</f>
        <v>12100</v>
      </c>
      <c r="AQ117" s="55">
        <f>VLOOKUP(A117,'Profit Loss-Betul-25-26'!$A$9:$R$141,17,0)</f>
        <v>30000</v>
      </c>
      <c r="AR117" s="98"/>
      <c r="AS117" s="56"/>
      <c r="AT117" s="96">
        <f t="shared" ref="AT117:AT122" si="195">+AS117-AN117</f>
        <v>0</v>
      </c>
      <c r="AU117" s="55">
        <f>VLOOKUP(A117,'Profit Loss-Amravati-25-26'!$A$9:$T$192,19,0)</f>
        <v>12100</v>
      </c>
      <c r="AV117" s="55">
        <f>VLOOKUP(A117,'Profit Loss-Betul-25-26'!$A$9:$T$141,19,0)</f>
        <v>30000</v>
      </c>
      <c r="AW117" s="98"/>
      <c r="AX117" s="56"/>
      <c r="AY117" s="96">
        <f t="shared" ref="AY117:AY122" si="196">+AX117-AS117</f>
        <v>0</v>
      </c>
      <c r="AZ117" s="55">
        <f>VLOOKUP(A117,'Profit Loss-Amravati-25-26'!$A$9:$V$192,21,0)</f>
        <v>12100</v>
      </c>
      <c r="BA117" s="55">
        <f>VLOOKUP(A117,'Profit Loss-Betul-25-26'!$A$9:$V$141,21,0)</f>
        <v>30000</v>
      </c>
      <c r="BB117" s="98"/>
      <c r="BC117" s="56"/>
      <c r="BD117" s="96">
        <f t="shared" si="174"/>
        <v>0</v>
      </c>
      <c r="BE117" s="55"/>
      <c r="BF117" s="55"/>
    </row>
    <row r="118" spans="1:58" hidden="1" x14ac:dyDescent="0.3">
      <c r="A118" s="32" t="s">
        <v>235</v>
      </c>
      <c r="B118" s="54"/>
      <c r="C118" s="54"/>
      <c r="D118" s="95"/>
      <c r="E118" s="95"/>
      <c r="F118" s="96"/>
      <c r="G118" s="54"/>
      <c r="H118" s="95"/>
      <c r="I118" s="95"/>
      <c r="J118" s="97"/>
      <c r="K118" s="96">
        <f t="shared" si="185"/>
        <v>0</v>
      </c>
      <c r="L118" s="98"/>
      <c r="M118" s="98"/>
      <c r="N118" s="98"/>
      <c r="O118" s="97">
        <f t="shared" si="186"/>
        <v>0</v>
      </c>
      <c r="P118" s="96">
        <f t="shared" si="187"/>
        <v>0</v>
      </c>
      <c r="Q118" s="98"/>
      <c r="R118" s="98"/>
      <c r="S118" s="98"/>
      <c r="T118" s="97">
        <f t="shared" si="188"/>
        <v>0</v>
      </c>
      <c r="U118" s="96">
        <f t="shared" si="189"/>
        <v>0</v>
      </c>
      <c r="V118" s="98"/>
      <c r="W118" s="98"/>
      <c r="X118" s="98"/>
      <c r="Y118" s="97">
        <f>SUM(V118:X118)</f>
        <v>0</v>
      </c>
      <c r="Z118" s="96">
        <f t="shared" si="190"/>
        <v>0</v>
      </c>
      <c r="AA118" s="98"/>
      <c r="AB118" s="98"/>
      <c r="AC118" s="98"/>
      <c r="AD118" s="97">
        <f t="shared" si="191"/>
        <v>0</v>
      </c>
      <c r="AE118" s="96">
        <f t="shared" si="192"/>
        <v>0</v>
      </c>
      <c r="AF118" s="55">
        <f>VLOOKUP(A118,'Profit Loss-Amravati-25-26'!$A$9:$N$192,13,0)</f>
        <v>57725</v>
      </c>
      <c r="AG118" s="55">
        <f>VLOOKUP(A118,'Profit Loss-Betul-25-26'!$A$9:$N$141,13,0)</f>
        <v>0</v>
      </c>
      <c r="AH118" s="98"/>
      <c r="AI118" s="56"/>
      <c r="AJ118" s="96">
        <f t="shared" si="193"/>
        <v>0</v>
      </c>
      <c r="AK118" s="55">
        <f>VLOOKUP(A118,'Profit Loss-Amravati-25-26'!$A$9:$P$192,15,0)</f>
        <v>57725</v>
      </c>
      <c r="AL118" s="55">
        <f>VLOOKUP(A118,'Profit Loss-Betul-25-26'!$A$9:$P$141,15,0)</f>
        <v>0</v>
      </c>
      <c r="AM118" s="98"/>
      <c r="AN118" s="56"/>
      <c r="AO118" s="96">
        <f t="shared" si="194"/>
        <v>0</v>
      </c>
      <c r="AP118" s="55">
        <f>VLOOKUP(A118,'Profit Loss-Amravati-25-26'!$A$9:$R$192,17,0)</f>
        <v>57725</v>
      </c>
      <c r="AQ118" s="55">
        <f>VLOOKUP(A118,'Profit Loss-Betul-25-26'!$A$9:$R$141,17,0)</f>
        <v>0</v>
      </c>
      <c r="AR118" s="98"/>
      <c r="AS118" s="56"/>
      <c r="AT118" s="96">
        <f t="shared" si="195"/>
        <v>0</v>
      </c>
      <c r="AU118" s="55">
        <f>VLOOKUP(A118,'Profit Loss-Amravati-25-26'!$A$9:$T$192,19,0)</f>
        <v>57725</v>
      </c>
      <c r="AV118" s="55">
        <f>VLOOKUP(A118,'Profit Loss-Betul-25-26'!$A$9:$T$141,19,0)</f>
        <v>0</v>
      </c>
      <c r="AW118" s="98"/>
      <c r="AX118" s="56"/>
      <c r="AY118" s="96">
        <f t="shared" si="196"/>
        <v>0</v>
      </c>
      <c r="AZ118" s="55">
        <f>VLOOKUP(A118,'Profit Loss-Amravati-25-26'!$A$9:$V$192,21,0)</f>
        <v>57725</v>
      </c>
      <c r="BA118" s="55">
        <f>VLOOKUP(A118,'Profit Loss-Betul-25-26'!$A$9:$V$141,21,0)</f>
        <v>0</v>
      </c>
      <c r="BB118" s="98"/>
      <c r="BC118" s="56"/>
      <c r="BD118" s="96">
        <f t="shared" si="174"/>
        <v>0</v>
      </c>
      <c r="BE118" s="55"/>
      <c r="BF118" s="55"/>
    </row>
    <row r="119" spans="1:58" hidden="1" x14ac:dyDescent="0.3">
      <c r="A119" s="32" t="s">
        <v>98</v>
      </c>
      <c r="B119" s="54"/>
      <c r="C119" s="54"/>
      <c r="D119" s="95"/>
      <c r="E119" s="95"/>
      <c r="F119" s="96">
        <f>+B119+C119+D119</f>
        <v>0</v>
      </c>
      <c r="G119" s="54"/>
      <c r="H119" s="95"/>
      <c r="I119" s="95"/>
      <c r="J119" s="97">
        <f>SUM(G119:I119)</f>
        <v>0</v>
      </c>
      <c r="K119" s="96">
        <f t="shared" si="185"/>
        <v>0</v>
      </c>
      <c r="L119" s="98"/>
      <c r="M119" s="98"/>
      <c r="N119" s="98"/>
      <c r="O119" s="97">
        <f t="shared" si="186"/>
        <v>0</v>
      </c>
      <c r="P119" s="96">
        <f t="shared" si="187"/>
        <v>0</v>
      </c>
      <c r="Q119" s="98"/>
      <c r="R119" s="98"/>
      <c r="S119" s="98"/>
      <c r="T119" s="97">
        <f t="shared" si="188"/>
        <v>0</v>
      </c>
      <c r="U119" s="96">
        <f t="shared" si="189"/>
        <v>0</v>
      </c>
      <c r="V119" s="98"/>
      <c r="W119" s="98"/>
      <c r="X119" s="98"/>
      <c r="Y119" s="97">
        <f>SUM(V119:X119)</f>
        <v>0</v>
      </c>
      <c r="Z119" s="96">
        <f t="shared" si="190"/>
        <v>0</v>
      </c>
      <c r="AA119" s="98"/>
      <c r="AB119" s="98"/>
      <c r="AC119" s="98"/>
      <c r="AD119" s="97">
        <f t="shared" si="191"/>
        <v>0</v>
      </c>
      <c r="AE119" s="96">
        <f t="shared" si="192"/>
        <v>0</v>
      </c>
      <c r="AF119" s="55">
        <f>VLOOKUP(A119,'Profit Loss-Amravati-25-26'!$A$9:$N$192,13,0)</f>
        <v>23919677</v>
      </c>
      <c r="AG119" s="55">
        <f>VLOOKUP(A119,'Profit Loss-Betul-25-26'!$A$9:$N$141,13,0)</f>
        <v>14741990</v>
      </c>
      <c r="AH119" s="98"/>
      <c r="AI119" s="56"/>
      <c r="AJ119" s="96">
        <f t="shared" si="193"/>
        <v>0</v>
      </c>
      <c r="AK119" s="55">
        <f>VLOOKUP(A119,'Profit Loss-Amravati-25-26'!$A$9:$P$192,15,0)</f>
        <v>27132713</v>
      </c>
      <c r="AL119" s="55">
        <f>VLOOKUP(A119,'Profit Loss-Betul-25-26'!$A$9:$P$141,15,0)</f>
        <v>17161563</v>
      </c>
      <c r="AM119" s="98"/>
      <c r="AN119" s="56"/>
      <c r="AO119" s="96">
        <f t="shared" si="194"/>
        <v>0</v>
      </c>
      <c r="AP119" s="55">
        <f>VLOOKUP(A119,'Profit Loss-Amravati-25-26'!$A$9:$R$192,17,0)</f>
        <v>29775298</v>
      </c>
      <c r="AQ119" s="55">
        <f>VLOOKUP(A119,'Profit Loss-Betul-25-26'!$A$9:$R$141,17,0)</f>
        <v>19622486</v>
      </c>
      <c r="AR119" s="98"/>
      <c r="AS119" s="56"/>
      <c r="AT119" s="96">
        <f t="shared" si="195"/>
        <v>0</v>
      </c>
      <c r="AU119" s="55">
        <f>VLOOKUP(A119,'Profit Loss-Amravati-25-26'!$A$9:$T$192,19,0)</f>
        <v>31972949</v>
      </c>
      <c r="AV119" s="55">
        <f>VLOOKUP(A119,'Profit Loss-Betul-25-26'!$A$9:$T$141,19,0)</f>
        <v>22011730</v>
      </c>
      <c r="AW119" s="98"/>
      <c r="AX119" s="56"/>
      <c r="AY119" s="96">
        <f t="shared" si="196"/>
        <v>0</v>
      </c>
      <c r="AZ119" s="55">
        <f>VLOOKUP(A119,'Profit Loss-Amravati-25-26'!$A$9:$V$192,21,0)</f>
        <v>33623577</v>
      </c>
      <c r="BA119" s="55">
        <f>VLOOKUP(A119,'Profit Loss-Betul-25-26'!$A$9:$V$141,21,0)</f>
        <v>24213383</v>
      </c>
      <c r="BB119" s="98"/>
      <c r="BC119" s="56"/>
      <c r="BD119" s="96">
        <f t="shared" si="174"/>
        <v>0</v>
      </c>
      <c r="BE119" s="55"/>
      <c r="BF119" s="55"/>
    </row>
    <row r="120" spans="1:58" hidden="1" x14ac:dyDescent="0.3">
      <c r="A120" s="32" t="s">
        <v>217</v>
      </c>
      <c r="B120" s="54"/>
      <c r="C120" s="54"/>
      <c r="D120" s="95">
        <f>VLOOKUP(A120,'Profit Loss-Betul-25-26'!$A$9:$B$140,2,0)</f>
        <v>0</v>
      </c>
      <c r="E120" s="95"/>
      <c r="F120" s="96">
        <f>+B120+C120+D120</f>
        <v>0</v>
      </c>
      <c r="G120" s="54"/>
      <c r="H120" s="95">
        <f>VLOOKUP(A120,'Profit Loss-Betul-25-26'!$A$9:$D$140,3,0)</f>
        <v>0</v>
      </c>
      <c r="I120" s="95"/>
      <c r="J120" s="97">
        <f>SUM(G120:I120)</f>
        <v>0</v>
      </c>
      <c r="K120" s="96">
        <f t="shared" si="185"/>
        <v>0</v>
      </c>
      <c r="L120" s="98"/>
      <c r="M120" s="98"/>
      <c r="N120" s="98"/>
      <c r="O120" s="97">
        <f t="shared" si="186"/>
        <v>0</v>
      </c>
      <c r="P120" s="96">
        <f t="shared" si="187"/>
        <v>0</v>
      </c>
      <c r="Q120" s="98"/>
      <c r="R120" s="98"/>
      <c r="S120" s="98"/>
      <c r="T120" s="97">
        <f t="shared" si="188"/>
        <v>0</v>
      </c>
      <c r="U120" s="96">
        <f t="shared" si="189"/>
        <v>0</v>
      </c>
      <c r="V120" s="98"/>
      <c r="W120" s="98"/>
      <c r="X120" s="98"/>
      <c r="Y120" s="97">
        <f>SUM(V120:X120)</f>
        <v>0</v>
      </c>
      <c r="Z120" s="96">
        <f t="shared" si="190"/>
        <v>0</v>
      </c>
      <c r="AA120" s="98"/>
      <c r="AB120" s="98"/>
      <c r="AC120" s="98"/>
      <c r="AD120" s="97">
        <f t="shared" si="191"/>
        <v>0</v>
      </c>
      <c r="AE120" s="96">
        <f t="shared" si="192"/>
        <v>0</v>
      </c>
      <c r="AF120" s="55">
        <f>VLOOKUP(A120,'Profit Loss-Amravati-25-26'!$A$9:$N$192,13,0)</f>
        <v>848669</v>
      </c>
      <c r="AG120" s="55">
        <f>VLOOKUP(A120,'Profit Loss-Betul-25-26'!$A$9:$N$141,13,0)</f>
        <v>0</v>
      </c>
      <c r="AH120" s="98"/>
      <c r="AI120" s="56"/>
      <c r="AJ120" s="96">
        <f t="shared" si="193"/>
        <v>0</v>
      </c>
      <c r="AK120" s="55">
        <f>VLOOKUP(A120,'Profit Loss-Amravati-25-26'!$A$9:$P$192,15,0)</f>
        <v>904623</v>
      </c>
      <c r="AL120" s="55">
        <f>VLOOKUP(A120,'Profit Loss-Betul-25-26'!$A$9:$P$141,15,0)</f>
        <v>0</v>
      </c>
      <c r="AM120" s="98"/>
      <c r="AN120" s="56"/>
      <c r="AO120" s="96">
        <f t="shared" si="194"/>
        <v>0</v>
      </c>
      <c r="AP120" s="55">
        <f>VLOOKUP(A120,'Profit Loss-Amravati-25-26'!$A$9:$R$192,17,0)</f>
        <v>935731</v>
      </c>
      <c r="AQ120" s="55">
        <f>VLOOKUP(A120,'Profit Loss-Betul-25-26'!$A$9:$R$141,17,0)</f>
        <v>0</v>
      </c>
      <c r="AR120" s="98"/>
      <c r="AS120" s="56"/>
      <c r="AT120" s="96">
        <f t="shared" si="195"/>
        <v>0</v>
      </c>
      <c r="AU120" s="55">
        <f>VLOOKUP(A120,'Profit Loss-Amravati-25-26'!$A$9:$T$192,19,0)</f>
        <v>954018</v>
      </c>
      <c r="AV120" s="55">
        <f>VLOOKUP(A120,'Profit Loss-Betul-25-26'!$A$9:$T$141,19,0)</f>
        <v>0</v>
      </c>
      <c r="AW120" s="98"/>
      <c r="AX120" s="56"/>
      <c r="AY120" s="96">
        <f t="shared" si="196"/>
        <v>0</v>
      </c>
      <c r="AZ120" s="55">
        <f>VLOOKUP(A120,'Profit Loss-Amravati-25-26'!$A$9:$V$192,21,0)</f>
        <v>966465</v>
      </c>
      <c r="BA120" s="55">
        <f>VLOOKUP(A120,'Profit Loss-Betul-25-26'!$A$9:$V$141,21,0)</f>
        <v>0</v>
      </c>
      <c r="BB120" s="98"/>
      <c r="BC120" s="56"/>
      <c r="BD120" s="96">
        <f t="shared" si="174"/>
        <v>0</v>
      </c>
      <c r="BE120" s="55"/>
      <c r="BF120" s="55"/>
    </row>
    <row r="121" spans="1:58" hidden="1" x14ac:dyDescent="0.3">
      <c r="A121" s="32" t="s">
        <v>227</v>
      </c>
      <c r="B121" s="54"/>
      <c r="C121" s="54"/>
      <c r="D121" s="95">
        <f>VLOOKUP(A121,'Profit Loss-Betul-25-26'!$A$9:$B$140,2,0)</f>
        <v>0</v>
      </c>
      <c r="E121" s="95"/>
      <c r="F121" s="96">
        <f>+B121+C121+D121</f>
        <v>0</v>
      </c>
      <c r="G121" s="54"/>
      <c r="H121" s="95">
        <f>VLOOKUP(A121,'Profit Loss-Betul-25-26'!$A$9:$D$140,3,0)</f>
        <v>0</v>
      </c>
      <c r="I121" s="95"/>
      <c r="J121" s="97">
        <f>SUM(G121:I121)</f>
        <v>0</v>
      </c>
      <c r="K121" s="96">
        <f t="shared" si="185"/>
        <v>0</v>
      </c>
      <c r="L121" s="98"/>
      <c r="M121" s="98"/>
      <c r="N121" s="98"/>
      <c r="O121" s="97">
        <f t="shared" si="186"/>
        <v>0</v>
      </c>
      <c r="P121" s="96">
        <f t="shared" si="187"/>
        <v>0</v>
      </c>
      <c r="Q121" s="98"/>
      <c r="R121" s="98"/>
      <c r="S121" s="98"/>
      <c r="T121" s="97">
        <f t="shared" si="188"/>
        <v>0</v>
      </c>
      <c r="U121" s="96">
        <f t="shared" si="189"/>
        <v>0</v>
      </c>
      <c r="V121" s="98"/>
      <c r="W121" s="98"/>
      <c r="X121" s="98"/>
      <c r="Y121" s="97"/>
      <c r="Z121" s="96">
        <f t="shared" si="190"/>
        <v>0</v>
      </c>
      <c r="AA121" s="98"/>
      <c r="AB121" s="98"/>
      <c r="AC121" s="98"/>
      <c r="AD121" s="97">
        <f t="shared" si="191"/>
        <v>0</v>
      </c>
      <c r="AE121" s="96">
        <f t="shared" si="192"/>
        <v>0</v>
      </c>
      <c r="AF121" s="55">
        <f>VLOOKUP(A121,'Profit Loss-Amravati-25-26'!$A$9:$N$192,13,0)</f>
        <v>-2590</v>
      </c>
      <c r="AG121" s="55">
        <f>VLOOKUP(A121,'Profit Loss-Betul-25-26'!$A$9:$N$141,13,0)</f>
        <v>0</v>
      </c>
      <c r="AH121" s="98"/>
      <c r="AI121" s="56"/>
      <c r="AJ121" s="96">
        <f t="shared" si="193"/>
        <v>0</v>
      </c>
      <c r="AK121" s="55">
        <f>VLOOKUP(A121,'Profit Loss-Amravati-25-26'!$A$9:$P$192,15,0)</f>
        <v>-2590</v>
      </c>
      <c r="AL121" s="55">
        <f>VLOOKUP(A121,'Profit Loss-Betul-25-26'!$A$9:$P$141,15,0)</f>
        <v>0</v>
      </c>
      <c r="AM121" s="98"/>
      <c r="AN121" s="56"/>
      <c r="AO121" s="96">
        <f t="shared" si="194"/>
        <v>0</v>
      </c>
      <c r="AP121" s="55">
        <f>VLOOKUP(A121,'Profit Loss-Amravati-25-26'!$A$9:$R$192,17,0)</f>
        <v>-2590</v>
      </c>
      <c r="AQ121" s="55">
        <f>VLOOKUP(A121,'Profit Loss-Betul-25-26'!$A$9:$R$141,17,0)</f>
        <v>0</v>
      </c>
      <c r="AR121" s="98"/>
      <c r="AS121" s="56"/>
      <c r="AT121" s="96">
        <f t="shared" si="195"/>
        <v>0</v>
      </c>
      <c r="AU121" s="55">
        <f>VLOOKUP(A121,'Profit Loss-Amravati-25-26'!$A$9:$T$192,19,0)</f>
        <v>-2590</v>
      </c>
      <c r="AV121" s="55">
        <f>VLOOKUP(A121,'Profit Loss-Betul-25-26'!$A$9:$T$141,19,0)</f>
        <v>0</v>
      </c>
      <c r="AW121" s="98"/>
      <c r="AX121" s="56"/>
      <c r="AY121" s="96">
        <f t="shared" si="196"/>
        <v>0</v>
      </c>
      <c r="AZ121" s="55">
        <f>VLOOKUP(A121,'Profit Loss-Amravati-25-26'!$A$9:$V$192,21,0)</f>
        <v>-2590</v>
      </c>
      <c r="BA121" s="55">
        <f>VLOOKUP(A121,'Profit Loss-Betul-25-26'!$A$9:$V$141,21,0)</f>
        <v>0</v>
      </c>
      <c r="BB121" s="98"/>
      <c r="BC121" s="56"/>
      <c r="BD121" s="96">
        <f t="shared" si="174"/>
        <v>0</v>
      </c>
      <c r="BE121" s="55"/>
      <c r="BF121" s="55"/>
    </row>
    <row r="122" spans="1:58" hidden="1" x14ac:dyDescent="0.3">
      <c r="A122" s="32" t="s">
        <v>214</v>
      </c>
      <c r="B122" s="54"/>
      <c r="C122" s="54"/>
      <c r="D122" s="95"/>
      <c r="E122" s="95"/>
      <c r="F122" s="96">
        <f>+B122+C122+D122</f>
        <v>0</v>
      </c>
      <c r="G122" s="54"/>
      <c r="H122" s="95"/>
      <c r="I122" s="95"/>
      <c r="J122" s="97">
        <f>SUM(G122:I122)</f>
        <v>0</v>
      </c>
      <c r="K122" s="96">
        <f t="shared" si="185"/>
        <v>0</v>
      </c>
      <c r="L122" s="98"/>
      <c r="M122" s="98"/>
      <c r="N122" s="98"/>
      <c r="O122" s="97">
        <f t="shared" si="186"/>
        <v>0</v>
      </c>
      <c r="P122" s="96">
        <f t="shared" si="187"/>
        <v>0</v>
      </c>
      <c r="Q122" s="98"/>
      <c r="R122" s="98"/>
      <c r="S122" s="98"/>
      <c r="T122" s="97">
        <f t="shared" si="188"/>
        <v>0</v>
      </c>
      <c r="U122" s="96">
        <f t="shared" si="189"/>
        <v>0</v>
      </c>
      <c r="V122" s="98"/>
      <c r="W122" s="98"/>
      <c r="X122" s="98"/>
      <c r="Y122" s="97">
        <f>SUM(V122:X122)</f>
        <v>0</v>
      </c>
      <c r="Z122" s="96">
        <f t="shared" si="190"/>
        <v>0</v>
      </c>
      <c r="AA122" s="98"/>
      <c r="AB122" s="98"/>
      <c r="AC122" s="98"/>
      <c r="AD122" s="97">
        <f t="shared" si="191"/>
        <v>0</v>
      </c>
      <c r="AE122" s="96">
        <f t="shared" si="192"/>
        <v>0</v>
      </c>
      <c r="AF122" s="55">
        <f>VLOOKUP(A122,'Profit Loss-Amravati-25-26'!$A$9:$N$192,13,0)</f>
        <v>1750000</v>
      </c>
      <c r="AG122" s="55">
        <f>VLOOKUP(A122,'Profit Loss-Betul-25-26'!$A$9:$N$141,13,0)</f>
        <v>0</v>
      </c>
      <c r="AH122" s="98"/>
      <c r="AI122" s="56"/>
      <c r="AJ122" s="96">
        <f t="shared" si="193"/>
        <v>0</v>
      </c>
      <c r="AK122" s="55">
        <f>VLOOKUP(A122,'Profit Loss-Amravati-25-26'!$A$9:$P$192,15,0)</f>
        <v>2000000</v>
      </c>
      <c r="AL122" s="55">
        <f>VLOOKUP(A122,'Profit Loss-Betul-25-26'!$A$9:$P$141,15,0)</f>
        <v>0</v>
      </c>
      <c r="AM122" s="98"/>
      <c r="AN122" s="56"/>
      <c r="AO122" s="96">
        <f t="shared" si="194"/>
        <v>0</v>
      </c>
      <c r="AP122" s="55">
        <f>VLOOKUP(A122,'Profit Loss-Amravati-25-26'!$A$9:$R$192,17,0)</f>
        <v>2250000</v>
      </c>
      <c r="AQ122" s="55">
        <f>VLOOKUP(A122,'Profit Loss-Betul-25-26'!$A$9:$R$141,17,0)</f>
        <v>0</v>
      </c>
      <c r="AR122" s="98"/>
      <c r="AS122" s="56"/>
      <c r="AT122" s="96">
        <f t="shared" si="195"/>
        <v>0</v>
      </c>
      <c r="AU122" s="55">
        <f>VLOOKUP(A122,'Profit Loss-Amravati-25-26'!$A$9:$T$192,19,0)</f>
        <v>2500000</v>
      </c>
      <c r="AV122" s="55">
        <f>VLOOKUP(A122,'Profit Loss-Betul-25-26'!$A$9:$T$141,19,0)</f>
        <v>0</v>
      </c>
      <c r="AW122" s="98"/>
      <c r="AX122" s="56"/>
      <c r="AY122" s="96">
        <f t="shared" si="196"/>
        <v>0</v>
      </c>
      <c r="AZ122" s="55">
        <f>VLOOKUP(A122,'Profit Loss-Amravati-25-26'!$A$9:$V$192,21,0)</f>
        <v>2750000</v>
      </c>
      <c r="BA122" s="55">
        <f>VLOOKUP(A122,'Profit Loss-Betul-25-26'!$A$9:$V$141,21,0)</f>
        <v>0</v>
      </c>
      <c r="BB122" s="98"/>
      <c r="BC122" s="56"/>
      <c r="BD122" s="96">
        <f t="shared" si="174"/>
        <v>0</v>
      </c>
      <c r="BE122" s="55"/>
      <c r="BF122" s="55"/>
    </row>
    <row r="123" spans="1:58" x14ac:dyDescent="0.3">
      <c r="A123" s="10" t="s">
        <v>81</v>
      </c>
      <c r="B123" s="11"/>
      <c r="C123" s="11">
        <v>16317990.699999999</v>
      </c>
      <c r="D123" s="57">
        <v>2577780</v>
      </c>
      <c r="E123" s="57">
        <v>0</v>
      </c>
      <c r="F123" s="65">
        <f>+C123+D123</f>
        <v>18895770.699999999</v>
      </c>
      <c r="G123" s="11">
        <v>33246199.449999999</v>
      </c>
      <c r="H123" s="57">
        <v>5024883</v>
      </c>
      <c r="I123" s="57">
        <v>0</v>
      </c>
      <c r="J123" s="56">
        <f>+G123+H123</f>
        <v>38271082.450000003</v>
      </c>
      <c r="K123" s="65">
        <f>+J123-F123</f>
        <v>19375311.750000004</v>
      </c>
      <c r="L123" s="55">
        <v>51120009.520000003</v>
      </c>
      <c r="M123" s="55">
        <v>7895119</v>
      </c>
      <c r="N123" s="55">
        <v>0</v>
      </c>
      <c r="O123" s="56">
        <f>+L123+M123</f>
        <v>59015128.520000003</v>
      </c>
      <c r="P123" s="65">
        <f t="shared" ref="P123" si="197">+O123-J123</f>
        <v>20744046.07</v>
      </c>
      <c r="Q123" s="55">
        <v>70649584.946666703</v>
      </c>
      <c r="R123" s="55">
        <v>11026839</v>
      </c>
      <c r="S123" s="55">
        <v>0</v>
      </c>
      <c r="T123" s="56">
        <f>+Q123+R123</f>
        <v>81676423.946666703</v>
      </c>
      <c r="U123" s="65">
        <f t="shared" ref="U123" si="198">+T123-O123</f>
        <v>22661295.426666699</v>
      </c>
      <c r="V123" s="55">
        <v>89597167.063333303</v>
      </c>
      <c r="W123" s="55">
        <v>13877192</v>
      </c>
      <c r="X123" s="55">
        <v>0</v>
      </c>
      <c r="Y123" s="56">
        <f>+V123+W123</f>
        <v>103474359.0633333</v>
      </c>
      <c r="Z123" s="65">
        <f t="shared" ref="Z123" si="199">+Y123-T123</f>
        <v>21797935.1166666</v>
      </c>
      <c r="AA123" s="55">
        <v>109643849.28</v>
      </c>
      <c r="AB123" s="55">
        <v>16931005</v>
      </c>
      <c r="AC123" s="55">
        <v>0</v>
      </c>
      <c r="AD123" s="56">
        <f t="shared" ref="AD123" si="200">+AA123+AB123</f>
        <v>126574854.28</v>
      </c>
      <c r="AE123" s="65">
        <f t="shared" ref="AE123" si="201">+AD123-Y123</f>
        <v>23100495.216666698</v>
      </c>
      <c r="AF123" s="55">
        <f>VLOOKUP(A123,'Profit Loss-Amravati-25-26'!$A$9:$N$192,13,0)</f>
        <v>62018355</v>
      </c>
      <c r="AG123" s="55">
        <f>VLOOKUP(A123,'Profit Loss-Betul-25-26'!$A$9:$N$141,13,0)</f>
        <v>3510753</v>
      </c>
      <c r="AH123" s="56"/>
      <c r="AI123" s="56">
        <f>+SUM(AF94:AF123)+SUM(AG94:AG123)</f>
        <v>148536545.89666665</v>
      </c>
      <c r="AJ123" s="65">
        <f t="shared" ref="AJ123:AJ179" si="202">+AI123-AD123</f>
        <v>21961691.616666645</v>
      </c>
      <c r="AK123" s="98"/>
      <c r="AL123" s="55"/>
      <c r="AM123" s="56"/>
      <c r="AN123" s="56">
        <f>+SUM(AK94:AK123)+SUM(AL94:AL123)</f>
        <v>170868732.71333334</v>
      </c>
      <c r="AO123" s="65">
        <f t="shared" si="168"/>
        <v>22332186.816666692</v>
      </c>
      <c r="AP123" s="55"/>
      <c r="AQ123" s="55"/>
      <c r="AR123" s="56"/>
      <c r="AS123" s="56">
        <f>+SUM(AP94:AP123)+SUM(AQ94:AQ123)</f>
        <v>195418364.50999999</v>
      </c>
      <c r="AT123" s="65">
        <f t="shared" si="170"/>
        <v>24549631.796666652</v>
      </c>
      <c r="AU123" s="55">
        <f>VLOOKUP(A123,'Profit Loss-Amravati-25-26'!$A$9:$T$192,19,0)*0</f>
        <v>0</v>
      </c>
      <c r="AV123" s="55"/>
      <c r="AW123" s="56"/>
      <c r="AX123" s="56">
        <f>+SUM(AU94:AU123)+SUM(AV94:AV123)</f>
        <v>218917304.78666666</v>
      </c>
      <c r="AY123" s="65">
        <f t="shared" si="172"/>
        <v>23498940.276666671</v>
      </c>
      <c r="AZ123" s="55"/>
      <c r="BA123" s="55"/>
      <c r="BB123" s="56"/>
      <c r="BC123" s="56">
        <f>+SUM(AZ94:AZ123)+SUM(BA94:BA123)</f>
        <v>243166644.25333333</v>
      </c>
      <c r="BD123" s="65">
        <f t="shared" si="174"/>
        <v>24249339.466666669</v>
      </c>
      <c r="BE123" s="55"/>
      <c r="BF123" s="55"/>
    </row>
    <row r="124" spans="1:58" x14ac:dyDescent="0.3">
      <c r="A124" s="10" t="s">
        <v>60</v>
      </c>
      <c r="B124" s="11"/>
      <c r="C124" s="11">
        <f>VLOOKUP(A124,'Profit Loss-Amravati-25-26'!$A$13:$B$190,2,0)</f>
        <v>5775</v>
      </c>
      <c r="D124" s="57">
        <f>VLOOKUP(A124,'Profit Loss-Betul-25-26'!$A$9:$B$140,2,0)</f>
        <v>0</v>
      </c>
      <c r="E124" s="57"/>
      <c r="F124" s="65">
        <f t="shared" si="180"/>
        <v>5775</v>
      </c>
      <c r="G124" s="11">
        <f>VLOOKUP(A124,'Profit Loss-Amravati-25-26'!$A$9:$D$190,3,0)</f>
        <v>5775</v>
      </c>
      <c r="H124" s="57">
        <f>VLOOKUP(A124,'Profit Loss-Betul-25-26'!$A$9:$D$140,3,0)</f>
        <v>0</v>
      </c>
      <c r="I124" s="57"/>
      <c r="J124" s="56">
        <f t="shared" si="183"/>
        <v>5775</v>
      </c>
      <c r="K124" s="65">
        <f t="shared" si="150"/>
        <v>0</v>
      </c>
      <c r="L124" s="55">
        <f>VLOOKUP(A124,'Profit Loss-Amravati-25-26'!$A$9:$F$190,5,0)</f>
        <v>5775</v>
      </c>
      <c r="M124" s="55">
        <f>VLOOKUP(A124,'Profit Loss-Betul-25-26'!$A$9:$F$141,5,0)</f>
        <v>0</v>
      </c>
      <c r="N124" s="55"/>
      <c r="O124" s="56">
        <f t="shared" si="184"/>
        <v>5775</v>
      </c>
      <c r="P124" s="65">
        <f t="shared" si="162"/>
        <v>0</v>
      </c>
      <c r="Q124" s="55">
        <f>VLOOKUP(A124,'Profit Loss-Amravati-25-26'!$A$9:$H$190,7,0)</f>
        <v>5775</v>
      </c>
      <c r="R124" s="55">
        <f>VLOOKUP(A124,'Profit Loss-Betul-25-26'!$A$9:$H$141,7,0)</f>
        <v>0</v>
      </c>
      <c r="S124" s="55"/>
      <c r="T124" s="56">
        <f t="shared" si="175"/>
        <v>5775</v>
      </c>
      <c r="U124" s="65">
        <f t="shared" si="176"/>
        <v>0</v>
      </c>
      <c r="V124" s="55">
        <f>VLOOKUP(A124,'Profit Loss-Amravati-25-26'!$A$9:$J$190,9,0)</f>
        <v>5775</v>
      </c>
      <c r="W124" s="55">
        <f>VLOOKUP(A124,'Profit Loss-Betul-25-26'!$A$9:$J$141,9,0)</f>
        <v>0</v>
      </c>
      <c r="X124" s="55"/>
      <c r="Y124" s="56">
        <f t="shared" si="177"/>
        <v>5775</v>
      </c>
      <c r="Z124" s="65">
        <f t="shared" si="178"/>
        <v>0</v>
      </c>
      <c r="AA124" s="55">
        <f>VLOOKUP(A124,'Profit Loss-Amravati-25-26'!$A$9:$L$192,11,0)</f>
        <v>5775</v>
      </c>
      <c r="AB124" s="55">
        <f>VLOOKUP(A124,'Profit Loss-Betul-25-26'!$A$9:$L$141,11,0)</f>
        <v>0</v>
      </c>
      <c r="AC124" s="55"/>
      <c r="AD124" s="56">
        <f t="shared" si="163"/>
        <v>5775</v>
      </c>
      <c r="AE124" s="65">
        <f t="shared" si="164"/>
        <v>0</v>
      </c>
      <c r="AF124" s="55">
        <f>VLOOKUP(A124,'Profit Loss-Amravati-25-26'!$A$9:$N$192,13,0)</f>
        <v>5775</v>
      </c>
      <c r="AG124" s="55">
        <f>VLOOKUP(A124,'Profit Loss-Betul-25-26'!$A$9:$N$141,13,0)</f>
        <v>0</v>
      </c>
      <c r="AH124" s="55"/>
      <c r="AI124" s="56">
        <f t="shared" si="165"/>
        <v>5775</v>
      </c>
      <c r="AJ124" s="65">
        <f t="shared" si="202"/>
        <v>0</v>
      </c>
      <c r="AK124" s="55">
        <f>VLOOKUP(A124,'Profit Loss-Amravati-25-26'!$A$9:$P$192,15,0)</f>
        <v>5775</v>
      </c>
      <c r="AL124" s="55">
        <f>VLOOKUP(A124,'Profit Loss-Betul-25-26'!$A$9:$P$141,15,0)</f>
        <v>0</v>
      </c>
      <c r="AM124" s="55"/>
      <c r="AN124" s="56">
        <f t="shared" ref="AN124:AN179" si="203">+AK124+AL124-AM124</f>
        <v>5775</v>
      </c>
      <c r="AO124" s="65">
        <f t="shared" si="168"/>
        <v>0</v>
      </c>
      <c r="AP124" s="55">
        <f>VLOOKUP(A124,'Profit Loss-Amravati-25-26'!$A$9:$R$192,17,0)</f>
        <v>5775</v>
      </c>
      <c r="AQ124" s="55">
        <f>VLOOKUP(A124,'Profit Loss-Betul-25-26'!$A$9:$R$141,17,0)</f>
        <v>0</v>
      </c>
      <c r="AR124" s="55"/>
      <c r="AS124" s="56">
        <f t="shared" ref="AS124:AS179" si="204">+AP124+AQ124-AR124</f>
        <v>5775</v>
      </c>
      <c r="AT124" s="65">
        <f t="shared" si="170"/>
        <v>0</v>
      </c>
      <c r="AU124" s="55">
        <f>VLOOKUP(A124,'Profit Loss-Amravati-25-26'!$A$9:$T$192,19,0)</f>
        <v>5775</v>
      </c>
      <c r="AV124" s="55">
        <f>VLOOKUP(A124,'Profit Loss-Betul-25-26'!$A$9:$T$141,19,0)</f>
        <v>0</v>
      </c>
      <c r="AW124" s="55"/>
      <c r="AX124" s="56">
        <f t="shared" ref="AX124:AX179" si="205">+AU124+AV124-AW124</f>
        <v>5775</v>
      </c>
      <c r="AY124" s="65">
        <f t="shared" si="172"/>
        <v>0</v>
      </c>
      <c r="AZ124" s="55">
        <f>VLOOKUP(A124,'Profit Loss-Amravati-25-26'!$A$9:$V$192,21,0)</f>
        <v>5775</v>
      </c>
      <c r="BA124" s="55">
        <f>VLOOKUP(A124,'Profit Loss-Betul-25-26'!$A$9:$V$141,21,0)</f>
        <v>0</v>
      </c>
      <c r="BB124" s="55"/>
      <c r="BC124" s="56">
        <f t="shared" ref="BC124:BC179" si="206">+AZ124+BA124-BB124</f>
        <v>5775</v>
      </c>
      <c r="BD124" s="65">
        <f t="shared" si="174"/>
        <v>0</v>
      </c>
      <c r="BE124" s="55"/>
      <c r="BF124" s="55"/>
    </row>
    <row r="125" spans="1:58" x14ac:dyDescent="0.3">
      <c r="A125" s="10" t="s">
        <v>224</v>
      </c>
      <c r="B125" s="11"/>
      <c r="C125" s="11"/>
      <c r="D125" s="57"/>
      <c r="E125" s="57"/>
      <c r="F125" s="65"/>
      <c r="G125" s="11">
        <f>VLOOKUP(A125,'Profit Loss-Amravati-25-26'!$A$9:$D$190,3,0)</f>
        <v>3930</v>
      </c>
      <c r="H125" s="57"/>
      <c r="I125" s="57"/>
      <c r="J125" s="56">
        <f t="shared" si="183"/>
        <v>3930</v>
      </c>
      <c r="K125" s="65">
        <f t="shared" si="150"/>
        <v>3930</v>
      </c>
      <c r="L125" s="55">
        <f>VLOOKUP(A125,'Profit Loss-Amravati-25-26'!$A$9:$F$190,5,0)</f>
        <v>3930</v>
      </c>
      <c r="M125" s="55">
        <f>VLOOKUP(A125,'Profit Loss-Betul-25-26'!$A$9:$F$141,5,0)</f>
        <v>0</v>
      </c>
      <c r="N125" s="55"/>
      <c r="O125" s="56">
        <v>0</v>
      </c>
      <c r="P125" s="65">
        <f t="shared" si="162"/>
        <v>-3930</v>
      </c>
      <c r="Q125" s="55">
        <f>VLOOKUP(A125,'Profit Loss-Amravati-25-26'!$A$9:$H$190,7,0)</f>
        <v>0</v>
      </c>
      <c r="R125" s="55">
        <f>VLOOKUP(A125,'Profit Loss-Betul-25-26'!$A$9:$H$141,7,0)</f>
        <v>0</v>
      </c>
      <c r="S125" s="55"/>
      <c r="T125" s="56">
        <f t="shared" si="175"/>
        <v>0</v>
      </c>
      <c r="U125" s="65">
        <f t="shared" si="176"/>
        <v>0</v>
      </c>
      <c r="V125" s="55">
        <f>VLOOKUP(A125,'Profit Loss-Amravati-25-26'!$A$9:$J$190,9,0)</f>
        <v>4520</v>
      </c>
      <c r="W125" s="55">
        <f>VLOOKUP(A125,'Profit Loss-Betul-25-26'!$A$9:$J$141,9,0)</f>
        <v>0</v>
      </c>
      <c r="X125" s="55"/>
      <c r="Y125" s="56">
        <f t="shared" si="177"/>
        <v>4520</v>
      </c>
      <c r="Z125" s="65">
        <f t="shared" si="178"/>
        <v>4520</v>
      </c>
      <c r="AA125" s="55">
        <f>VLOOKUP(A125,'Profit Loss-Amravati-25-26'!$A$9:$L$192,11,0)</f>
        <v>4520</v>
      </c>
      <c r="AB125" s="55">
        <f>VLOOKUP(A125,'Profit Loss-Betul-25-26'!$A$9:$L$141,11,0)</f>
        <v>0</v>
      </c>
      <c r="AC125" s="55"/>
      <c r="AD125" s="56">
        <f t="shared" si="163"/>
        <v>4520</v>
      </c>
      <c r="AE125" s="65">
        <f t="shared" si="164"/>
        <v>0</v>
      </c>
      <c r="AF125" s="55">
        <f>VLOOKUP(A125,'Profit Loss-Amravati-25-26'!$A$9:$N$192,13,0)</f>
        <v>4520</v>
      </c>
      <c r="AG125" s="55">
        <f>VLOOKUP(A125,'Profit Loss-Betul-25-26'!$A$9:$N$141,13,0)</f>
        <v>0</v>
      </c>
      <c r="AH125" s="55"/>
      <c r="AI125" s="56">
        <f t="shared" si="165"/>
        <v>4520</v>
      </c>
      <c r="AJ125" s="65">
        <f t="shared" si="202"/>
        <v>0</v>
      </c>
      <c r="AK125" s="55">
        <f>VLOOKUP(A125,'Profit Loss-Amravati-25-26'!$A$9:$P$192,15,0)</f>
        <v>4520</v>
      </c>
      <c r="AL125" s="55">
        <f>VLOOKUP(A125,'Profit Loss-Betul-25-26'!$A$9:$P$141,15,0)</f>
        <v>0</v>
      </c>
      <c r="AM125" s="55"/>
      <c r="AN125" s="56">
        <f t="shared" si="203"/>
        <v>4520</v>
      </c>
      <c r="AO125" s="65">
        <f t="shared" si="168"/>
        <v>0</v>
      </c>
      <c r="AP125" s="55">
        <f>VLOOKUP(A125,'Profit Loss-Amravati-25-26'!$A$9:$R$192,17,0)</f>
        <v>4520</v>
      </c>
      <c r="AQ125" s="55">
        <f>VLOOKUP(A125,'Profit Loss-Betul-25-26'!$A$9:$R$141,17,0)</f>
        <v>0</v>
      </c>
      <c r="AR125" s="55"/>
      <c r="AS125" s="56">
        <f t="shared" si="204"/>
        <v>4520</v>
      </c>
      <c r="AT125" s="65">
        <f t="shared" si="170"/>
        <v>0</v>
      </c>
      <c r="AU125" s="55">
        <f>VLOOKUP(A125,'Profit Loss-Amravati-25-26'!$A$9:$T$192,19,0)</f>
        <v>4520</v>
      </c>
      <c r="AV125" s="55">
        <f>VLOOKUP(A125,'Profit Loss-Betul-25-26'!$A$9:$T$141,19,0)</f>
        <v>0</v>
      </c>
      <c r="AW125" s="55"/>
      <c r="AX125" s="56">
        <f t="shared" si="205"/>
        <v>4520</v>
      </c>
      <c r="AY125" s="65">
        <f t="shared" si="172"/>
        <v>0</v>
      </c>
      <c r="AZ125" s="55">
        <f>VLOOKUP(A125,'Profit Loss-Amravati-25-26'!$A$9:$V$192,21,0)</f>
        <v>4520</v>
      </c>
      <c r="BA125" s="55">
        <f>VLOOKUP(A125,'Profit Loss-Betul-25-26'!$A$9:$V$141,21,0)</f>
        <v>0</v>
      </c>
      <c r="BB125" s="55"/>
      <c r="BC125" s="56">
        <f t="shared" si="206"/>
        <v>4520</v>
      </c>
      <c r="BD125" s="65">
        <f t="shared" si="174"/>
        <v>0</v>
      </c>
      <c r="BE125" s="55"/>
      <c r="BF125" s="55"/>
    </row>
    <row r="126" spans="1:58" x14ac:dyDescent="0.3">
      <c r="A126" s="10" t="s">
        <v>228</v>
      </c>
      <c r="B126" s="11"/>
      <c r="C126" s="11"/>
      <c r="D126" s="57"/>
      <c r="E126" s="57"/>
      <c r="F126" s="65"/>
      <c r="G126" s="11">
        <f>VLOOKUP(A126,'Profit Loss-Amravati-25-26'!$A$9:$D$190,3,0)</f>
        <v>5163</v>
      </c>
      <c r="H126" s="57"/>
      <c r="I126" s="57"/>
      <c r="J126" s="56">
        <f t="shared" si="183"/>
        <v>5163</v>
      </c>
      <c r="K126" s="65">
        <f t="shared" si="150"/>
        <v>5163</v>
      </c>
      <c r="L126" s="55">
        <f>VLOOKUP(A126,'Profit Loss-Amravati-25-26'!$A$9:$F$190,5,0)</f>
        <v>5163</v>
      </c>
      <c r="M126" s="55">
        <f>VLOOKUP(A126,'Profit Loss-Betul-25-26'!$A$9:$F$141,5,0)</f>
        <v>0</v>
      </c>
      <c r="N126" s="55"/>
      <c r="O126" s="56">
        <f t="shared" si="184"/>
        <v>5163</v>
      </c>
      <c r="P126" s="65">
        <f t="shared" si="162"/>
        <v>0</v>
      </c>
      <c r="Q126" s="55">
        <f>VLOOKUP(A126,'Profit Loss-Amravati-25-26'!$A$9:$H$190,7,0)</f>
        <v>7120</v>
      </c>
      <c r="R126" s="55">
        <f>VLOOKUP(A126,'Profit Loss-Betul-25-26'!$A$9:$H$141,7,0)</f>
        <v>0</v>
      </c>
      <c r="S126" s="55"/>
      <c r="T126" s="56">
        <f t="shared" si="175"/>
        <v>7120</v>
      </c>
      <c r="U126" s="65">
        <f t="shared" si="176"/>
        <v>1957</v>
      </c>
      <c r="V126" s="55">
        <f>VLOOKUP(A126,'Profit Loss-Amravati-25-26'!$A$9:$J$190,9,0)</f>
        <v>10097</v>
      </c>
      <c r="W126" s="55">
        <f>VLOOKUP(A126,'Profit Loss-Betul-25-26'!$A$9:$J$141,9,0)</f>
        <v>0</v>
      </c>
      <c r="X126" s="55"/>
      <c r="Y126" s="56">
        <f t="shared" si="177"/>
        <v>10097</v>
      </c>
      <c r="Z126" s="65">
        <f t="shared" si="178"/>
        <v>2977</v>
      </c>
      <c r="AA126" s="55">
        <f>VLOOKUP(A126,'Profit Loss-Amravati-25-26'!$A$9:$L$192,11,0)</f>
        <v>12822</v>
      </c>
      <c r="AB126" s="55">
        <f>VLOOKUP(A126,'Profit Loss-Betul-25-26'!$A$9:$L$141,11,0)</f>
        <v>0</v>
      </c>
      <c r="AC126" s="55"/>
      <c r="AD126" s="56">
        <f t="shared" si="163"/>
        <v>12822</v>
      </c>
      <c r="AE126" s="65">
        <f t="shared" si="164"/>
        <v>2725</v>
      </c>
      <c r="AF126" s="55">
        <f>VLOOKUP(A126,'Profit Loss-Amravati-25-26'!$A$9:$N$192,13,0)</f>
        <v>16205</v>
      </c>
      <c r="AG126" s="55">
        <f>VLOOKUP(A126,'Profit Loss-Betul-25-26'!$A$9:$N$141,13,0)</f>
        <v>3971</v>
      </c>
      <c r="AH126" s="55"/>
      <c r="AI126" s="56">
        <f t="shared" si="165"/>
        <v>20176</v>
      </c>
      <c r="AJ126" s="65">
        <f t="shared" si="202"/>
        <v>7354</v>
      </c>
      <c r="AK126" s="55">
        <f>VLOOKUP(A126,'Profit Loss-Amravati-25-26'!$A$9:$P$192,15,0)</f>
        <v>27206</v>
      </c>
      <c r="AL126" s="55">
        <f>VLOOKUP(A126,'Profit Loss-Betul-25-26'!$A$9:$P$141,15,0)</f>
        <v>3971</v>
      </c>
      <c r="AM126" s="55"/>
      <c r="AN126" s="56">
        <f t="shared" si="203"/>
        <v>31177</v>
      </c>
      <c r="AO126" s="65">
        <f t="shared" si="168"/>
        <v>11001</v>
      </c>
      <c r="AP126" s="55">
        <f>VLOOKUP(A126,'Profit Loss-Amravati-25-26'!$A$9:$R$192,17,0)</f>
        <v>30986</v>
      </c>
      <c r="AQ126" s="55">
        <f>VLOOKUP(A126,'Profit Loss-Betul-25-26'!$A$9:$R$141,17,0)</f>
        <v>3971</v>
      </c>
      <c r="AR126" s="55"/>
      <c r="AS126" s="56">
        <f t="shared" si="204"/>
        <v>34957</v>
      </c>
      <c r="AT126" s="65">
        <f t="shared" si="170"/>
        <v>3780</v>
      </c>
      <c r="AU126" s="55">
        <f>VLOOKUP(A126,'Profit Loss-Amravati-25-26'!$A$9:$T$192,19,0)</f>
        <v>33116</v>
      </c>
      <c r="AV126" s="55">
        <f>VLOOKUP(A126,'Profit Loss-Betul-25-26'!$A$9:$T$141,19,0)</f>
        <v>3971</v>
      </c>
      <c r="AW126" s="55"/>
      <c r="AX126" s="56">
        <f t="shared" si="205"/>
        <v>37087</v>
      </c>
      <c r="AY126" s="65">
        <f t="shared" si="172"/>
        <v>2130</v>
      </c>
      <c r="AZ126" s="55">
        <f>VLOOKUP(A126,'Profit Loss-Amravati-25-26'!$A$9:$V$192,21,0)</f>
        <v>33606</v>
      </c>
      <c r="BA126" s="55">
        <f>VLOOKUP(A126,'Profit Loss-Betul-25-26'!$A$9:$V$141,21,0)</f>
        <v>3971</v>
      </c>
      <c r="BB126" s="55"/>
      <c r="BC126" s="56">
        <f t="shared" si="206"/>
        <v>37577</v>
      </c>
      <c r="BD126" s="65">
        <f t="shared" si="174"/>
        <v>490</v>
      </c>
      <c r="BE126" s="55"/>
      <c r="BF126" s="55"/>
    </row>
    <row r="127" spans="1:58" x14ac:dyDescent="0.3">
      <c r="A127" s="10" t="s">
        <v>54</v>
      </c>
      <c r="B127" s="11"/>
      <c r="C127" s="11">
        <f>VLOOKUP(A127,'Profit Loss-Amravati-25-26'!$A$13:$B$190,2,0)</f>
        <v>125618.86</v>
      </c>
      <c r="D127" s="57">
        <f>VLOOKUP(A127,'Profit Loss-Betul-25-26'!$A$9:$B$140,2,0)</f>
        <v>18532</v>
      </c>
      <c r="E127" s="57"/>
      <c r="F127" s="65">
        <f t="shared" ref="F127:F144" si="207">+B127+C127+D127</f>
        <v>144150.85999999999</v>
      </c>
      <c r="G127" s="11">
        <f>VLOOKUP(A127,'Profit Loss-Amravati-25-26'!$A$9:$D$190,3,0)</f>
        <v>154895.41999999998</v>
      </c>
      <c r="H127" s="57">
        <f>VLOOKUP(A127,'Profit Loss-Betul-25-26'!$A$9:$D$140,3,0)</f>
        <v>18752</v>
      </c>
      <c r="I127" s="57"/>
      <c r="J127" s="56">
        <f t="shared" si="183"/>
        <v>173647.41999999998</v>
      </c>
      <c r="K127" s="65">
        <f t="shared" si="150"/>
        <v>29496.559999999998</v>
      </c>
      <c r="L127" s="55">
        <f>VLOOKUP(A127,'Profit Loss-Amravati-25-26'!$A$9:$F$190,5,0)</f>
        <v>181047.62</v>
      </c>
      <c r="M127" s="55">
        <f>VLOOKUP(A127,'Profit Loss-Betul-25-26'!$A$9:$F$141,5,0)</f>
        <v>19652</v>
      </c>
      <c r="N127" s="55"/>
      <c r="O127" s="56">
        <f t="shared" si="184"/>
        <v>200699.62</v>
      </c>
      <c r="P127" s="65">
        <f t="shared" si="162"/>
        <v>27052.200000000012</v>
      </c>
      <c r="Q127" s="55">
        <f>VLOOKUP(A127,'Profit Loss-Amravati-25-26'!$A$9:$H$190,7,0)</f>
        <v>290889.78000000003</v>
      </c>
      <c r="R127" s="55">
        <f>VLOOKUP(A127,'Profit Loss-Betul-25-26'!$A$9:$H$141,7,0)</f>
        <v>25582</v>
      </c>
      <c r="S127" s="55"/>
      <c r="T127" s="56">
        <f t="shared" si="175"/>
        <v>316471.78000000003</v>
      </c>
      <c r="U127" s="65">
        <f t="shared" si="176"/>
        <v>115772.16000000003</v>
      </c>
      <c r="V127" s="55">
        <f>VLOOKUP(A127,'Profit Loss-Amravati-25-26'!$A$9:$J$190,9,0)</f>
        <v>326700.21999999997</v>
      </c>
      <c r="W127" s="55">
        <f>VLOOKUP(A127,'Profit Loss-Betul-25-26'!$A$9:$J$141,9,0)</f>
        <v>30372</v>
      </c>
      <c r="X127" s="55"/>
      <c r="Y127" s="56">
        <f t="shared" si="177"/>
        <v>357072.22</v>
      </c>
      <c r="Z127" s="65">
        <f t="shared" si="178"/>
        <v>40600.439999999944</v>
      </c>
      <c r="AA127" s="55">
        <f>VLOOKUP(A127,'Profit Loss-Amravati-25-26'!$A$9:$L$192,11,0)</f>
        <v>436283.26</v>
      </c>
      <c r="AB127" s="55">
        <f>VLOOKUP(A127,'Profit Loss-Betul-25-26'!$A$9:$L$141,11,0)</f>
        <v>46777.86</v>
      </c>
      <c r="AC127" s="55"/>
      <c r="AD127" s="56">
        <f t="shared" si="163"/>
        <v>483061.12</v>
      </c>
      <c r="AE127" s="65">
        <f t="shared" si="164"/>
        <v>125988.90000000002</v>
      </c>
      <c r="AF127" s="55">
        <f>VLOOKUP(A127,'Profit Loss-Amravati-25-26'!$A$9:$N$192,13,0)</f>
        <v>486474.98</v>
      </c>
      <c r="AG127" s="55">
        <f>VLOOKUP(A127,'Profit Loss-Betul-25-26'!$A$9:$N$141,13,0)</f>
        <v>55490.86</v>
      </c>
      <c r="AH127" s="55"/>
      <c r="AI127" s="56">
        <f t="shared" si="165"/>
        <v>541965.84</v>
      </c>
      <c r="AJ127" s="65">
        <f t="shared" si="202"/>
        <v>58904.719999999972</v>
      </c>
      <c r="AK127" s="55">
        <f>VLOOKUP(A127,'Profit Loss-Amravati-25-26'!$A$9:$P$192,15,0)</f>
        <v>543738.74</v>
      </c>
      <c r="AL127" s="55">
        <f>VLOOKUP(A127,'Profit Loss-Betul-25-26'!$A$9:$P$141,15,0)</f>
        <v>57750.26</v>
      </c>
      <c r="AM127" s="55"/>
      <c r="AN127" s="56">
        <f t="shared" si="203"/>
        <v>601489</v>
      </c>
      <c r="AO127" s="65">
        <f t="shared" si="168"/>
        <v>59523.160000000033</v>
      </c>
      <c r="AP127" s="55">
        <f>VLOOKUP(A127,'Profit Loss-Amravati-25-26'!$A$9:$R$192,17,0)</f>
        <v>620555.74</v>
      </c>
      <c r="AQ127" s="55">
        <f>VLOOKUP(A127,'Profit Loss-Betul-25-26'!$A$9:$R$141,17,0)</f>
        <v>86767.88</v>
      </c>
      <c r="AR127" s="55"/>
      <c r="AS127" s="56">
        <f t="shared" si="204"/>
        <v>707323.62</v>
      </c>
      <c r="AT127" s="65">
        <f t="shared" si="170"/>
        <v>105834.62</v>
      </c>
      <c r="AU127" s="55">
        <f>VLOOKUP(A127,'Profit Loss-Amravati-25-26'!$A$9:$T$192,19,0)</f>
        <v>715918.44</v>
      </c>
      <c r="AV127" s="55">
        <f>VLOOKUP(A127,'Profit Loss-Betul-25-26'!$A$9:$T$141,19,0)</f>
        <v>109399.62</v>
      </c>
      <c r="AW127" s="55"/>
      <c r="AX127" s="56">
        <f t="shared" si="205"/>
        <v>825318.05999999994</v>
      </c>
      <c r="AY127" s="65">
        <f t="shared" si="172"/>
        <v>117994.43999999994</v>
      </c>
      <c r="AZ127" s="55">
        <f>VLOOKUP(A127,'Profit Loss-Amravati-25-26'!$A$9:$V$192,21,0)</f>
        <v>781330.44</v>
      </c>
      <c r="BA127" s="55">
        <f>VLOOKUP(A127,'Profit Loss-Betul-25-26'!$A$9:$V$141,21,0)</f>
        <v>133744.01999999999</v>
      </c>
      <c r="BB127" s="55"/>
      <c r="BC127" s="56">
        <f t="shared" si="206"/>
        <v>915074.46</v>
      </c>
      <c r="BD127" s="65">
        <f t="shared" si="174"/>
        <v>89756.400000000023</v>
      </c>
      <c r="BE127" s="55"/>
      <c r="BF127" s="55"/>
    </row>
    <row r="128" spans="1:58" x14ac:dyDescent="0.3">
      <c r="A128" s="10" t="s">
        <v>205</v>
      </c>
      <c r="B128" s="11"/>
      <c r="C128" s="11">
        <f>VLOOKUP(A128,'Profit Loss-Amravati-25-26'!$A$13:$B$190,2,0)</f>
        <v>112531</v>
      </c>
      <c r="D128" s="57">
        <f>VLOOKUP(A128,'Profit Loss-Betul-25-26'!$A$9:$B$140,2,0)</f>
        <v>3742</v>
      </c>
      <c r="E128" s="57"/>
      <c r="F128" s="65">
        <f t="shared" si="207"/>
        <v>116273</v>
      </c>
      <c r="G128" s="11">
        <f>VLOOKUP(A128,'Profit Loss-Amravati-25-26'!$A$9:$D$190,3,0)</f>
        <v>314618</v>
      </c>
      <c r="H128" s="57">
        <f>VLOOKUP(A128,'Profit Loss-Betul-25-26'!$A$9:$D$140,3,0)</f>
        <v>14977</v>
      </c>
      <c r="I128" s="57"/>
      <c r="J128" s="56">
        <f t="shared" si="183"/>
        <v>329595</v>
      </c>
      <c r="K128" s="65">
        <f t="shared" si="150"/>
        <v>213322</v>
      </c>
      <c r="L128" s="55">
        <f>VLOOKUP(A128,'Profit Loss-Amravati-25-26'!$A$9:$F$190,5,0)</f>
        <v>436862</v>
      </c>
      <c r="M128" s="55">
        <f>VLOOKUP(A128,'Profit Loss-Betul-25-26'!$A$9:$F$141,5,0)</f>
        <v>14977</v>
      </c>
      <c r="N128" s="55"/>
      <c r="O128" s="56">
        <f t="shared" si="184"/>
        <v>451839</v>
      </c>
      <c r="P128" s="65">
        <f t="shared" si="162"/>
        <v>122244</v>
      </c>
      <c r="Q128" s="55">
        <f>VLOOKUP(A128,'Profit Loss-Amravati-25-26'!$A$9:$H$190,7,0)</f>
        <v>594613</v>
      </c>
      <c r="R128" s="55">
        <f>VLOOKUP(A128,'Profit Loss-Betul-25-26'!$A$9:$H$141,7,0)</f>
        <v>20177</v>
      </c>
      <c r="S128" s="55"/>
      <c r="T128" s="56">
        <f t="shared" si="175"/>
        <v>614790</v>
      </c>
      <c r="U128" s="65">
        <f t="shared" si="176"/>
        <v>162951</v>
      </c>
      <c r="V128" s="55">
        <f>VLOOKUP(A128,'Profit Loss-Amravati-25-26'!$A$9:$J$190,9,0)</f>
        <v>740747</v>
      </c>
      <c r="W128" s="55">
        <f>VLOOKUP(A128,'Profit Loss-Betul-25-26'!$A$9:$J$141,9,0)</f>
        <v>22277</v>
      </c>
      <c r="X128" s="55"/>
      <c r="Y128" s="56">
        <f t="shared" si="177"/>
        <v>763024</v>
      </c>
      <c r="Z128" s="65">
        <f t="shared" si="178"/>
        <v>148234</v>
      </c>
      <c r="AA128" s="55">
        <f>VLOOKUP(A128,'Profit Loss-Amravati-25-26'!$A$9:$L$192,11,0)</f>
        <v>912109</v>
      </c>
      <c r="AB128" s="55">
        <f>VLOOKUP(A128,'Profit Loss-Betul-25-26'!$A$9:$L$141,11,0)</f>
        <v>22277</v>
      </c>
      <c r="AC128" s="55"/>
      <c r="AD128" s="56">
        <f t="shared" si="163"/>
        <v>934386</v>
      </c>
      <c r="AE128" s="65">
        <f t="shared" si="164"/>
        <v>171362</v>
      </c>
      <c r="AF128" s="55">
        <f>VLOOKUP(A128,'Profit Loss-Amravati-25-26'!$A$9:$N$192,13,0)</f>
        <v>1134569</v>
      </c>
      <c r="AG128" s="55">
        <f>VLOOKUP(A128,'Profit Loss-Betul-25-26'!$A$9:$N$141,13,0)</f>
        <v>29717</v>
      </c>
      <c r="AH128" s="55"/>
      <c r="AI128" s="56">
        <f t="shared" si="165"/>
        <v>1164286</v>
      </c>
      <c r="AJ128" s="65">
        <f t="shared" si="202"/>
        <v>229900</v>
      </c>
      <c r="AK128" s="55">
        <f>VLOOKUP(A128,'Profit Loss-Amravati-25-26'!$A$9:$P$192,15,0)</f>
        <v>1388181</v>
      </c>
      <c r="AL128" s="55">
        <f>VLOOKUP(A128,'Profit Loss-Betul-25-26'!$A$9:$P$141,15,0)</f>
        <v>30917</v>
      </c>
      <c r="AM128" s="55"/>
      <c r="AN128" s="56">
        <f t="shared" si="203"/>
        <v>1419098</v>
      </c>
      <c r="AO128" s="65">
        <f t="shared" si="168"/>
        <v>254812</v>
      </c>
      <c r="AP128" s="55">
        <f>VLOOKUP(A128,'Profit Loss-Amravati-25-26'!$A$9:$R$192,17,0)</f>
        <v>1536321</v>
      </c>
      <c r="AQ128" s="55">
        <f>VLOOKUP(A128,'Profit Loss-Betul-25-26'!$A$9:$R$141,17,0)</f>
        <v>30917</v>
      </c>
      <c r="AR128" s="55"/>
      <c r="AS128" s="56">
        <f t="shared" si="204"/>
        <v>1567238</v>
      </c>
      <c r="AT128" s="65">
        <f t="shared" si="170"/>
        <v>148140</v>
      </c>
      <c r="AU128" s="55">
        <f>VLOOKUP(A128,'Profit Loss-Amravati-25-26'!$A$9:$T$192,19,0)</f>
        <v>1671868</v>
      </c>
      <c r="AV128" s="55">
        <f>VLOOKUP(A128,'Profit Loss-Betul-25-26'!$A$9:$T$141,19,0)</f>
        <v>30917</v>
      </c>
      <c r="AW128" s="55"/>
      <c r="AX128" s="56">
        <f t="shared" si="205"/>
        <v>1702785</v>
      </c>
      <c r="AY128" s="65">
        <f t="shared" si="172"/>
        <v>135547</v>
      </c>
      <c r="AZ128" s="55">
        <f>VLOOKUP(A128,'Profit Loss-Amravati-25-26'!$A$9:$V$192,21,0)</f>
        <v>1850082</v>
      </c>
      <c r="BA128" s="55">
        <f>VLOOKUP(A128,'Profit Loss-Betul-25-26'!$A$9:$V$141,21,0)</f>
        <v>33667</v>
      </c>
      <c r="BB128" s="55"/>
      <c r="BC128" s="56">
        <f t="shared" si="206"/>
        <v>1883749</v>
      </c>
      <c r="BD128" s="65">
        <f t="shared" si="174"/>
        <v>180964</v>
      </c>
      <c r="BE128" s="55"/>
      <c r="BF128" s="55"/>
    </row>
    <row r="129" spans="1:58" x14ac:dyDescent="0.3">
      <c r="A129" s="10" t="s">
        <v>206</v>
      </c>
      <c r="B129" s="11"/>
      <c r="C129" s="11">
        <f>VLOOKUP(A129,'Profit Loss-Amravati-25-26'!$A$13:$B$190,2,0)</f>
        <v>43574.94</v>
      </c>
      <c r="D129" s="57">
        <f>VLOOKUP(A129,'Profit Loss-Betul-25-26'!$A$9:$B$140,2,0)</f>
        <v>0</v>
      </c>
      <c r="E129" s="57"/>
      <c r="F129" s="65">
        <f t="shared" si="207"/>
        <v>43574.94</v>
      </c>
      <c r="G129" s="11">
        <f>VLOOKUP(A129,'Profit Loss-Amravati-25-26'!$A$9:$D$190,3,0)</f>
        <v>49108.94</v>
      </c>
      <c r="H129" s="57">
        <f>VLOOKUP(A129,'Profit Loss-Betul-25-26'!$A$9:$D$140,3,0)</f>
        <v>0</v>
      </c>
      <c r="I129" s="57"/>
      <c r="J129" s="56">
        <f t="shared" si="183"/>
        <v>49108.94</v>
      </c>
      <c r="K129" s="65">
        <f t="shared" si="150"/>
        <v>5534</v>
      </c>
      <c r="L129" s="55">
        <f>VLOOKUP(A129,'Profit Loss-Amravati-25-26'!$A$9:$F$190,5,0)</f>
        <v>56205.16</v>
      </c>
      <c r="M129" s="55">
        <f>VLOOKUP(A129,'Profit Loss-Betul-25-26'!$A$9:$F$141,5,0)</f>
        <v>0</v>
      </c>
      <c r="N129" s="55"/>
      <c r="O129" s="56">
        <f t="shared" si="184"/>
        <v>56205.16</v>
      </c>
      <c r="P129" s="65">
        <f t="shared" si="162"/>
        <v>7096.2200000000012</v>
      </c>
      <c r="Q129" s="55">
        <f>VLOOKUP(A129,'Profit Loss-Amravati-25-26'!$A$9:$H$190,7,0)</f>
        <v>81359.399999999994</v>
      </c>
      <c r="R129" s="55">
        <f>VLOOKUP(A129,'Profit Loss-Betul-25-26'!$A$9:$H$141,7,0)</f>
        <v>263</v>
      </c>
      <c r="S129" s="55"/>
      <c r="T129" s="56">
        <f t="shared" si="175"/>
        <v>81622.399999999994</v>
      </c>
      <c r="U129" s="65">
        <f t="shared" si="176"/>
        <v>25417.239999999991</v>
      </c>
      <c r="V129" s="55">
        <f>VLOOKUP(A129,'Profit Loss-Amravati-25-26'!$A$9:$J$190,9,0)</f>
        <v>105974.39999999999</v>
      </c>
      <c r="W129" s="55">
        <f>VLOOKUP(A129,'Profit Loss-Betul-25-26'!$A$9:$J$141,9,0)</f>
        <v>263</v>
      </c>
      <c r="X129" s="55"/>
      <c r="Y129" s="56">
        <f t="shared" si="177"/>
        <v>106237.4</v>
      </c>
      <c r="Z129" s="65">
        <f t="shared" si="178"/>
        <v>24615</v>
      </c>
      <c r="AA129" s="55">
        <f>VLOOKUP(A129,'Profit Loss-Amravati-25-26'!$A$9:$L$192,11,0)</f>
        <v>137299.04</v>
      </c>
      <c r="AB129" s="55">
        <f>VLOOKUP(A129,'Profit Loss-Betul-25-26'!$A$9:$L$141,11,0)</f>
        <v>263</v>
      </c>
      <c r="AC129" s="55"/>
      <c r="AD129" s="56">
        <f t="shared" si="163"/>
        <v>137562.04</v>
      </c>
      <c r="AE129" s="65">
        <f t="shared" si="164"/>
        <v>31324.640000000014</v>
      </c>
      <c r="AF129" s="55">
        <f>VLOOKUP(A129,'Profit Loss-Amravati-25-26'!$A$9:$N$192,13,0)</f>
        <v>156392.99</v>
      </c>
      <c r="AG129" s="55">
        <f>VLOOKUP(A129,'Profit Loss-Betul-25-26'!$A$9:$N$141,13,0)</f>
        <v>445</v>
      </c>
      <c r="AH129" s="55"/>
      <c r="AI129" s="56">
        <f t="shared" si="165"/>
        <v>156837.99</v>
      </c>
      <c r="AJ129" s="65">
        <f t="shared" si="202"/>
        <v>19275.949999999983</v>
      </c>
      <c r="AK129" s="55">
        <f>VLOOKUP(A129,'Profit Loss-Amravati-25-26'!$A$9:$P$192,15,0)</f>
        <v>181534.99</v>
      </c>
      <c r="AL129" s="55">
        <f>VLOOKUP(A129,'Profit Loss-Betul-25-26'!$A$9:$P$141,15,0)</f>
        <v>445</v>
      </c>
      <c r="AM129" s="55"/>
      <c r="AN129" s="56">
        <f t="shared" si="203"/>
        <v>181979.99</v>
      </c>
      <c r="AO129" s="65">
        <f t="shared" si="168"/>
        <v>25142</v>
      </c>
      <c r="AP129" s="55">
        <f>VLOOKUP(A129,'Profit Loss-Amravati-25-26'!$A$9:$R$192,17,0)</f>
        <v>193552.99</v>
      </c>
      <c r="AQ129" s="55">
        <f>VLOOKUP(A129,'Profit Loss-Betul-25-26'!$A$9:$R$141,17,0)</f>
        <v>445</v>
      </c>
      <c r="AR129" s="55"/>
      <c r="AS129" s="56">
        <f t="shared" si="204"/>
        <v>193997.99</v>
      </c>
      <c r="AT129" s="65">
        <f t="shared" si="170"/>
        <v>12018</v>
      </c>
      <c r="AU129" s="55">
        <f>VLOOKUP(A129,'Profit Loss-Amravati-25-26'!$A$9:$T$192,19,0)</f>
        <v>211784.23</v>
      </c>
      <c r="AV129" s="55">
        <f>VLOOKUP(A129,'Profit Loss-Betul-25-26'!$A$9:$T$141,19,0)</f>
        <v>445</v>
      </c>
      <c r="AW129" s="55"/>
      <c r="AX129" s="56">
        <f t="shared" si="205"/>
        <v>212229.23</v>
      </c>
      <c r="AY129" s="65">
        <f t="shared" si="172"/>
        <v>18231.24000000002</v>
      </c>
      <c r="AZ129" s="55">
        <f>VLOOKUP(A129,'Profit Loss-Amravati-25-26'!$A$9:$V$192,21,0)</f>
        <v>223845.87</v>
      </c>
      <c r="BA129" s="55">
        <f>VLOOKUP(A129,'Profit Loss-Betul-25-26'!$A$9:$V$141,21,0)</f>
        <v>445</v>
      </c>
      <c r="BB129" s="55"/>
      <c r="BC129" s="56">
        <f t="shared" si="206"/>
        <v>224290.87</v>
      </c>
      <c r="BD129" s="65">
        <f t="shared" si="174"/>
        <v>12061.639999999985</v>
      </c>
      <c r="BE129" s="55"/>
      <c r="BF129" s="55"/>
    </row>
    <row r="130" spans="1:58" x14ac:dyDescent="0.3">
      <c r="A130" s="10" t="s">
        <v>207</v>
      </c>
      <c r="B130" s="11"/>
      <c r="C130" s="11">
        <f>VLOOKUP(A130,'Profit Loss-Amravati-25-26'!$A$13:$B$190,2,0)</f>
        <v>230608.12</v>
      </c>
      <c r="D130" s="57">
        <f>VLOOKUP(A130,'Profit Loss-Betul-25-26'!$A$9:$B$140,2,0)</f>
        <v>5185</v>
      </c>
      <c r="E130" s="57"/>
      <c r="F130" s="65">
        <f t="shared" si="207"/>
        <v>235793.12</v>
      </c>
      <c r="G130" s="11">
        <f>VLOOKUP(A130,'Profit Loss-Amravati-25-26'!$A$9:$D$190,3,0)</f>
        <v>405140.26</v>
      </c>
      <c r="H130" s="57">
        <f>VLOOKUP(A130,'Profit Loss-Betul-25-26'!$A$9:$D$140,3,0)</f>
        <v>12775</v>
      </c>
      <c r="I130" s="57"/>
      <c r="J130" s="56">
        <f t="shared" si="183"/>
        <v>417915.26</v>
      </c>
      <c r="K130" s="65">
        <f t="shared" si="150"/>
        <v>182122.14</v>
      </c>
      <c r="L130" s="55">
        <f>VLOOKUP(A130,'Profit Loss-Amravati-25-26'!$A$9:$F$190,5,0)</f>
        <v>635556.73</v>
      </c>
      <c r="M130" s="55">
        <f>VLOOKUP(A130,'Profit Loss-Betul-25-26'!$A$9:$F$141,5,0)</f>
        <v>12775</v>
      </c>
      <c r="N130" s="55"/>
      <c r="O130" s="56">
        <f t="shared" si="184"/>
        <v>648331.73</v>
      </c>
      <c r="P130" s="65">
        <f t="shared" si="162"/>
        <v>230416.46999999997</v>
      </c>
      <c r="Q130" s="55">
        <f>VLOOKUP(A130,'Profit Loss-Amravati-25-26'!$A$9:$H$190,7,0)</f>
        <v>888717.07</v>
      </c>
      <c r="R130" s="55">
        <f>VLOOKUP(A130,'Profit Loss-Betul-25-26'!$A$9:$H$141,7,0)</f>
        <v>18045</v>
      </c>
      <c r="S130" s="55"/>
      <c r="T130" s="56">
        <f t="shared" si="175"/>
        <v>906762.07</v>
      </c>
      <c r="U130" s="65">
        <f t="shared" si="176"/>
        <v>258430.33999999997</v>
      </c>
      <c r="V130" s="55">
        <f>VLOOKUP(A130,'Profit Loss-Amravati-25-26'!$A$9:$J$190,9,0)</f>
        <v>1266026.3500000001</v>
      </c>
      <c r="W130" s="55">
        <f>VLOOKUP(A130,'Profit Loss-Betul-25-26'!$A$9:$J$141,9,0)</f>
        <v>46810</v>
      </c>
      <c r="X130" s="55"/>
      <c r="Y130" s="56">
        <f t="shared" si="177"/>
        <v>1312836.3500000001</v>
      </c>
      <c r="Z130" s="65">
        <f t="shared" si="178"/>
        <v>406074.28000000014</v>
      </c>
      <c r="AA130" s="55">
        <f>VLOOKUP(A130,'Profit Loss-Amravati-25-26'!$A$9:$L$192,11,0)</f>
        <v>1832512.42</v>
      </c>
      <c r="AB130" s="55">
        <f>VLOOKUP(A130,'Profit Loss-Betul-25-26'!$A$9:$L$141,11,0)</f>
        <v>49073</v>
      </c>
      <c r="AC130" s="55"/>
      <c r="AD130" s="56">
        <f t="shared" si="163"/>
        <v>1881585.42</v>
      </c>
      <c r="AE130" s="65">
        <f t="shared" si="164"/>
        <v>568749.06999999983</v>
      </c>
      <c r="AF130" s="55">
        <f>VLOOKUP(A130,'Profit Loss-Amravati-25-26'!$A$9:$N$192,13,0)</f>
        <v>2022887.96</v>
      </c>
      <c r="AG130" s="55">
        <f>VLOOKUP(A130,'Profit Loss-Betul-25-26'!$A$9:$N$141,13,0)</f>
        <v>49073</v>
      </c>
      <c r="AH130" s="55"/>
      <c r="AI130" s="56">
        <f t="shared" si="165"/>
        <v>2071960.96</v>
      </c>
      <c r="AJ130" s="65">
        <f t="shared" si="202"/>
        <v>190375.54000000004</v>
      </c>
      <c r="AK130" s="55">
        <f>VLOOKUP(A130,'Profit Loss-Amravati-25-26'!$A$9:$P$192,15,0)</f>
        <v>2576432.65</v>
      </c>
      <c r="AL130" s="55">
        <f>VLOOKUP(A130,'Profit Loss-Betul-25-26'!$A$9:$P$141,15,0)</f>
        <v>47810</v>
      </c>
      <c r="AM130" s="55"/>
      <c r="AN130" s="56">
        <f t="shared" si="203"/>
        <v>2624242.65</v>
      </c>
      <c r="AO130" s="65">
        <f t="shared" si="168"/>
        <v>552281.68999999994</v>
      </c>
      <c r="AP130" s="55">
        <f>VLOOKUP(A130,'Profit Loss-Amravati-25-26'!$A$9:$R$192,17,0)</f>
        <v>2942534.52</v>
      </c>
      <c r="AQ130" s="55">
        <f>VLOOKUP(A130,'Profit Loss-Betul-25-26'!$A$9:$R$141,17,0)</f>
        <v>71675</v>
      </c>
      <c r="AR130" s="55"/>
      <c r="AS130" s="56">
        <f t="shared" si="204"/>
        <v>3014209.52</v>
      </c>
      <c r="AT130" s="65">
        <f t="shared" si="170"/>
        <v>389966.87000000011</v>
      </c>
      <c r="AU130" s="55">
        <f>VLOOKUP(A130,'Profit Loss-Amravati-25-26'!$A$9:$T$192,19,0)</f>
        <v>3298594.48</v>
      </c>
      <c r="AV130" s="55">
        <f>VLOOKUP(A130,'Profit Loss-Betul-25-26'!$A$9:$T$141,19,0)</f>
        <v>71675</v>
      </c>
      <c r="AW130" s="55"/>
      <c r="AX130" s="56">
        <f t="shared" si="205"/>
        <v>3370269.48</v>
      </c>
      <c r="AY130" s="65">
        <f t="shared" si="172"/>
        <v>356059.95999999996</v>
      </c>
      <c r="AZ130" s="55">
        <f>VLOOKUP(A130,'Profit Loss-Amravati-25-26'!$A$9:$V$192,21,0)</f>
        <v>3792426.43</v>
      </c>
      <c r="BA130" s="55">
        <f>VLOOKUP(A130,'Profit Loss-Betul-25-26'!$A$9:$V$141,21,0)</f>
        <v>89165</v>
      </c>
      <c r="BB130" s="55"/>
      <c r="BC130" s="56">
        <f t="shared" si="206"/>
        <v>3881591.43</v>
      </c>
      <c r="BD130" s="65">
        <f t="shared" si="174"/>
        <v>511321.95000000019</v>
      </c>
      <c r="BE130" s="55"/>
      <c r="BF130" s="55"/>
    </row>
    <row r="131" spans="1:58" hidden="1" x14ac:dyDescent="0.3">
      <c r="A131" s="10" t="s">
        <v>85</v>
      </c>
      <c r="B131" s="11">
        <f>VLOOKUP(A131,'Profit Loss-Textile'!$A$8:$B$135,2,0)</f>
        <v>0</v>
      </c>
      <c r="C131" s="16">
        <f>VLOOKUP(A131,'Profit Loss-Amravati-25-26'!$A$13:$B$190,2,0)</f>
        <v>0</v>
      </c>
      <c r="D131" s="57">
        <f>VLOOKUP(A131,'Profit Loss-Betul-25-26'!$A$9:$B$140,2,0)</f>
        <v>0</v>
      </c>
      <c r="E131" s="57"/>
      <c r="F131" s="65">
        <f t="shared" si="207"/>
        <v>0</v>
      </c>
      <c r="G131" s="11">
        <f>VLOOKUP(A131,'Profit Loss-Amravati-25-26'!$A$9:$D$190,3,0)</f>
        <v>0</v>
      </c>
      <c r="H131" s="57">
        <f>VLOOKUP(A131,'Profit Loss-Betul-25-26'!$A$9:$D$140,3,0)</f>
        <v>0</v>
      </c>
      <c r="I131" s="57"/>
      <c r="J131" s="56">
        <f t="shared" si="183"/>
        <v>0</v>
      </c>
      <c r="K131" s="65">
        <f t="shared" si="150"/>
        <v>0</v>
      </c>
      <c r="L131" s="55">
        <f>VLOOKUP(A131,'Profit Loss-Amravati-25-26'!$A$9:$F$190,5,0)</f>
        <v>0</v>
      </c>
      <c r="M131" s="55">
        <f>VLOOKUP(A131,'Profit Loss-Betul-25-26'!$A$9:$F$141,5,0)</f>
        <v>0</v>
      </c>
      <c r="N131" s="55"/>
      <c r="O131" s="56">
        <f t="shared" si="184"/>
        <v>0</v>
      </c>
      <c r="P131" s="65">
        <f t="shared" si="162"/>
        <v>0</v>
      </c>
      <c r="Q131" s="55">
        <f>VLOOKUP(A131,'Profit Loss-Amravati-25-26'!$A$9:$H$190,7,0)</f>
        <v>0</v>
      </c>
      <c r="R131" s="55">
        <f>VLOOKUP(A131,'Profit Loss-Betul-25-26'!$A$9:$H$141,7,0)</f>
        <v>0</v>
      </c>
      <c r="S131" s="55"/>
      <c r="T131" s="56">
        <f t="shared" si="175"/>
        <v>0</v>
      </c>
      <c r="U131" s="65">
        <f t="shared" si="176"/>
        <v>0</v>
      </c>
      <c r="V131" s="55">
        <f>VLOOKUP(A131,'Profit Loss-Amravati-25-26'!$A$9:$J$190,9,0)</f>
        <v>0</v>
      </c>
      <c r="W131" s="55">
        <f>VLOOKUP(A131,'Profit Loss-Betul-25-26'!$A$9:$J$141,9,0)</f>
        <v>0</v>
      </c>
      <c r="X131" s="55"/>
      <c r="Y131" s="56">
        <f t="shared" si="177"/>
        <v>0</v>
      </c>
      <c r="Z131" s="65">
        <f t="shared" si="178"/>
        <v>0</v>
      </c>
      <c r="AA131" s="55">
        <f>VLOOKUP(A131,'Profit Loss-Amravati-25-26'!$A$9:$L$192,11,0)</f>
        <v>0</v>
      </c>
      <c r="AB131" s="55">
        <f>VLOOKUP(A131,'Profit Loss-Betul-25-26'!$A$9:$L$141,11,0)</f>
        <v>0</v>
      </c>
      <c r="AC131" s="55"/>
      <c r="AD131" s="56">
        <f t="shared" si="163"/>
        <v>0</v>
      </c>
      <c r="AE131" s="65">
        <f t="shared" si="164"/>
        <v>0</v>
      </c>
      <c r="AF131" s="55">
        <f>VLOOKUP(A131,'Profit Loss-Amravati-25-26'!$A$9:$N$192,13,0)</f>
        <v>0</v>
      </c>
      <c r="AG131" s="55">
        <f>VLOOKUP(A131,'Profit Loss-Betul-25-26'!$A$9:$N$141,13,0)</f>
        <v>0</v>
      </c>
      <c r="AH131" s="55"/>
      <c r="AI131" s="56">
        <f t="shared" si="165"/>
        <v>0</v>
      </c>
      <c r="AJ131" s="65">
        <f t="shared" si="202"/>
        <v>0</v>
      </c>
      <c r="AK131" s="55">
        <f>VLOOKUP(A131,'Profit Loss-Amravati-25-26'!$A$9:$P$192,15,0)</f>
        <v>0</v>
      </c>
      <c r="AL131" s="55">
        <f>VLOOKUP(A131,'Profit Loss-Betul-25-26'!$A$9:$P$141,15,0)</f>
        <v>0</v>
      </c>
      <c r="AM131" s="55"/>
      <c r="AN131" s="56">
        <f t="shared" si="203"/>
        <v>0</v>
      </c>
      <c r="AO131" s="65">
        <f t="shared" si="168"/>
        <v>0</v>
      </c>
      <c r="AP131" s="55">
        <f>VLOOKUP(A131,'Profit Loss-Amravati-25-26'!$A$9:$R$192,17,0)</f>
        <v>0</v>
      </c>
      <c r="AQ131" s="55">
        <f>VLOOKUP(A131,'Profit Loss-Betul-25-26'!$A$9:$R$141,17,0)</f>
        <v>0</v>
      </c>
      <c r="AR131" s="55"/>
      <c r="AS131" s="56">
        <f t="shared" si="204"/>
        <v>0</v>
      </c>
      <c r="AT131" s="65">
        <f t="shared" si="170"/>
        <v>0</v>
      </c>
      <c r="AU131" s="55">
        <f>VLOOKUP(A131,'Profit Loss-Amravati-25-26'!$A$9:$T$192,19,0)</f>
        <v>0</v>
      </c>
      <c r="AV131" s="55">
        <f>VLOOKUP(A131,'Profit Loss-Betul-25-26'!$A$9:$T$141,19,0)</f>
        <v>0</v>
      </c>
      <c r="AW131" s="55"/>
      <c r="AX131" s="56">
        <f t="shared" si="205"/>
        <v>0</v>
      </c>
      <c r="AY131" s="65">
        <f t="shared" si="172"/>
        <v>0</v>
      </c>
      <c r="AZ131" s="55">
        <f>VLOOKUP(A131,'Profit Loss-Amravati-25-26'!$A$9:$V$192,21,0)</f>
        <v>0</v>
      </c>
      <c r="BA131" s="55">
        <f>VLOOKUP(A131,'Profit Loss-Betul-25-26'!$A$9:$V$141,21,0)</f>
        <v>0</v>
      </c>
      <c r="BB131" s="55"/>
      <c r="BC131" s="56">
        <f t="shared" si="206"/>
        <v>0</v>
      </c>
      <c r="BD131" s="65">
        <f t="shared" si="174"/>
        <v>0</v>
      </c>
      <c r="BE131" s="55"/>
      <c r="BF131" s="55"/>
    </row>
    <row r="132" spans="1:58" hidden="1" x14ac:dyDescent="0.3">
      <c r="A132" s="25" t="s">
        <v>86</v>
      </c>
      <c r="B132" s="11">
        <f>VLOOKUP(A132,'Profit Loss-Textile'!$A$8:$B$135,2,0)</f>
        <v>0</v>
      </c>
      <c r="C132" s="16">
        <f>VLOOKUP(A132,'Profit Loss-Amravati-25-26'!$A$13:$B$190,2,0)</f>
        <v>0</v>
      </c>
      <c r="D132" s="57">
        <f>VLOOKUP(A132,'Profit Loss-Betul-25-26'!$A$9:$B$140,2,0)</f>
        <v>0</v>
      </c>
      <c r="E132" s="57"/>
      <c r="F132" s="65">
        <f t="shared" si="207"/>
        <v>0</v>
      </c>
      <c r="G132" s="11">
        <f>VLOOKUP(A132,'Profit Loss-Amravati-25-26'!$A$9:$D$190,3,0)</f>
        <v>0</v>
      </c>
      <c r="H132" s="57">
        <f>VLOOKUP(A132,'Profit Loss-Betul-25-26'!$A$9:$D$140,3,0)</f>
        <v>0</v>
      </c>
      <c r="I132" s="57"/>
      <c r="J132" s="56">
        <f t="shared" si="183"/>
        <v>0</v>
      </c>
      <c r="K132" s="65">
        <f t="shared" si="150"/>
        <v>0</v>
      </c>
      <c r="L132" s="55">
        <f>VLOOKUP(A132,'Profit Loss-Amravati-25-26'!$A$9:$F$190,5,0)</f>
        <v>0</v>
      </c>
      <c r="M132" s="55">
        <f>VLOOKUP(A132,'Profit Loss-Betul-25-26'!$A$9:$F$141,5,0)</f>
        <v>0</v>
      </c>
      <c r="N132" s="55"/>
      <c r="O132" s="56">
        <f t="shared" si="184"/>
        <v>0</v>
      </c>
      <c r="P132" s="65">
        <f t="shared" si="162"/>
        <v>0</v>
      </c>
      <c r="Q132" s="55">
        <f>VLOOKUP(A132,'Profit Loss-Amravati-25-26'!$A$9:$H$190,7,0)</f>
        <v>0</v>
      </c>
      <c r="R132" s="55">
        <f>VLOOKUP(A132,'Profit Loss-Betul-25-26'!$A$9:$H$141,7,0)</f>
        <v>0</v>
      </c>
      <c r="S132" s="55"/>
      <c r="T132" s="56">
        <f t="shared" si="175"/>
        <v>0</v>
      </c>
      <c r="U132" s="65">
        <f t="shared" si="176"/>
        <v>0</v>
      </c>
      <c r="V132" s="55">
        <f>VLOOKUP(A132,'Profit Loss-Amravati-25-26'!$A$9:$J$190,9,0)</f>
        <v>0</v>
      </c>
      <c r="W132" s="55">
        <f>VLOOKUP(A132,'Profit Loss-Betul-25-26'!$A$9:$J$141,9,0)</f>
        <v>0</v>
      </c>
      <c r="X132" s="55"/>
      <c r="Y132" s="56">
        <f t="shared" si="177"/>
        <v>0</v>
      </c>
      <c r="Z132" s="65">
        <f t="shared" si="178"/>
        <v>0</v>
      </c>
      <c r="AA132" s="55">
        <f>VLOOKUP(A132,'Profit Loss-Amravati-25-26'!$A$9:$L$192,11,0)</f>
        <v>0</v>
      </c>
      <c r="AB132" s="55">
        <f>VLOOKUP(A132,'Profit Loss-Betul-25-26'!$A$9:$L$141,11,0)</f>
        <v>0</v>
      </c>
      <c r="AC132" s="55"/>
      <c r="AD132" s="56">
        <f t="shared" si="163"/>
        <v>0</v>
      </c>
      <c r="AE132" s="65">
        <f t="shared" si="164"/>
        <v>0</v>
      </c>
      <c r="AF132" s="55">
        <f>VLOOKUP(A132,'Profit Loss-Amravati-25-26'!$A$9:$N$192,13,0)</f>
        <v>0</v>
      </c>
      <c r="AG132" s="55">
        <f>VLOOKUP(A132,'Profit Loss-Betul-25-26'!$A$9:$N$141,13,0)</f>
        <v>0</v>
      </c>
      <c r="AH132" s="55"/>
      <c r="AI132" s="56">
        <f t="shared" si="165"/>
        <v>0</v>
      </c>
      <c r="AJ132" s="65">
        <f t="shared" si="202"/>
        <v>0</v>
      </c>
      <c r="AK132" s="55">
        <f>VLOOKUP(A132,'Profit Loss-Amravati-25-26'!$A$9:$P$192,15,0)</f>
        <v>0</v>
      </c>
      <c r="AL132" s="55">
        <f>VLOOKUP(A132,'Profit Loss-Betul-25-26'!$A$9:$P$141,15,0)</f>
        <v>0</v>
      </c>
      <c r="AM132" s="55"/>
      <c r="AN132" s="56">
        <f t="shared" si="203"/>
        <v>0</v>
      </c>
      <c r="AO132" s="65">
        <f t="shared" si="168"/>
        <v>0</v>
      </c>
      <c r="AP132" s="55">
        <f>VLOOKUP(A132,'Profit Loss-Amravati-25-26'!$A$9:$R$192,17,0)</f>
        <v>0</v>
      </c>
      <c r="AQ132" s="55">
        <f>VLOOKUP(A132,'Profit Loss-Betul-25-26'!$A$9:$R$141,17,0)</f>
        <v>0</v>
      </c>
      <c r="AR132" s="55"/>
      <c r="AS132" s="56">
        <f t="shared" si="204"/>
        <v>0</v>
      </c>
      <c r="AT132" s="65">
        <f t="shared" si="170"/>
        <v>0</v>
      </c>
      <c r="AU132" s="55">
        <f>VLOOKUP(A132,'Profit Loss-Amravati-25-26'!$A$9:$T$192,19,0)</f>
        <v>0</v>
      </c>
      <c r="AV132" s="55">
        <f>VLOOKUP(A132,'Profit Loss-Betul-25-26'!$A$9:$T$141,19,0)</f>
        <v>0</v>
      </c>
      <c r="AW132" s="55"/>
      <c r="AX132" s="56">
        <f t="shared" si="205"/>
        <v>0</v>
      </c>
      <c r="AY132" s="65">
        <f t="shared" si="172"/>
        <v>0</v>
      </c>
      <c r="AZ132" s="55">
        <f>VLOOKUP(A132,'Profit Loss-Amravati-25-26'!$A$9:$V$192,21,0)</f>
        <v>0</v>
      </c>
      <c r="BA132" s="55">
        <f>VLOOKUP(A132,'Profit Loss-Betul-25-26'!$A$9:$V$141,21,0)</f>
        <v>0</v>
      </c>
      <c r="BB132" s="55"/>
      <c r="BC132" s="56">
        <f t="shared" si="206"/>
        <v>0</v>
      </c>
      <c r="BD132" s="65">
        <f t="shared" si="174"/>
        <v>0</v>
      </c>
      <c r="BE132" s="55"/>
      <c r="BF132" s="55"/>
    </row>
    <row r="133" spans="1:58" x14ac:dyDescent="0.3">
      <c r="A133" s="10" t="s">
        <v>95</v>
      </c>
      <c r="B133" s="11">
        <f>VLOOKUP(A133,'Profit Loss-Textile'!$A$8:$B$135,2,0)</f>
        <v>0</v>
      </c>
      <c r="C133" s="11">
        <f>VLOOKUP(A133,'Profit Loss-Amravati-25-26'!$A$13:$B$190,2,0)</f>
        <v>202772.75</v>
      </c>
      <c r="D133" s="57">
        <f>VLOOKUP(A133,'Profit Loss-Betul-25-26'!$A$9:$B$140,2,0)</f>
        <v>3500</v>
      </c>
      <c r="E133" s="57"/>
      <c r="F133" s="65">
        <f t="shared" si="207"/>
        <v>206272.75</v>
      </c>
      <c r="G133" s="11">
        <f>VLOOKUP(A133,'Profit Loss-Amravati-25-26'!$A$9:$D$190,3,0)</f>
        <v>723256.55</v>
      </c>
      <c r="H133" s="57">
        <f>VLOOKUP(A133,'Profit Loss-Betul-25-26'!$A$9:$D$140,3,0)</f>
        <v>3500</v>
      </c>
      <c r="I133" s="57"/>
      <c r="J133" s="56">
        <f t="shared" si="183"/>
        <v>726756.55</v>
      </c>
      <c r="K133" s="65">
        <f t="shared" si="150"/>
        <v>520483.80000000005</v>
      </c>
      <c r="L133" s="55">
        <f>VLOOKUP(A133,'Profit Loss-Amravati-25-26'!$A$9:$F$190,5,0)</f>
        <v>1015166.04</v>
      </c>
      <c r="M133" s="55">
        <f>VLOOKUP(A133,'Profit Loss-Betul-25-26'!$A$9:$F$141,5,0)</f>
        <v>3500</v>
      </c>
      <c r="N133" s="55"/>
      <c r="O133" s="56">
        <f t="shared" si="184"/>
        <v>1018666.04</v>
      </c>
      <c r="P133" s="65">
        <f t="shared" si="162"/>
        <v>291909.49</v>
      </c>
      <c r="Q133" s="55">
        <f>VLOOKUP(A133,'Profit Loss-Amravati-25-26'!$A$9:$H$190,7,0)</f>
        <v>1400483.7233333332</v>
      </c>
      <c r="R133" s="55">
        <f>VLOOKUP(A133,'Profit Loss-Betul-25-26'!$A$9:$H$141,7,0)</f>
        <v>40582</v>
      </c>
      <c r="S133" s="55"/>
      <c r="T133" s="56">
        <f t="shared" si="175"/>
        <v>1441065.7233333332</v>
      </c>
      <c r="U133" s="65">
        <f t="shared" si="176"/>
        <v>422399.68333333312</v>
      </c>
      <c r="V133" s="55">
        <f>VLOOKUP(A133,'Profit Loss-Amravati-25-26'!$A$9:$J$190,9,0)</f>
        <v>1789059.5066666668</v>
      </c>
      <c r="W133" s="55">
        <f>VLOOKUP(A133,'Profit Loss-Betul-25-26'!$A$9:$J$141,9,0)</f>
        <v>43696</v>
      </c>
      <c r="X133" s="55"/>
      <c r="Y133" s="56">
        <f t="shared" si="177"/>
        <v>1832755.5066666668</v>
      </c>
      <c r="Z133" s="65">
        <f t="shared" si="178"/>
        <v>391689.78333333367</v>
      </c>
      <c r="AA133" s="55">
        <f>VLOOKUP(A133,'Profit Loss-Amravati-25-26'!$A$9:$L$192,11,0)</f>
        <v>2154280.59</v>
      </c>
      <c r="AB133" s="55">
        <f>VLOOKUP(A133,'Profit Loss-Betul-25-26'!$A$9:$L$141,11,0)</f>
        <v>43696</v>
      </c>
      <c r="AC133" s="55"/>
      <c r="AD133" s="56">
        <f t="shared" si="163"/>
        <v>2197976.59</v>
      </c>
      <c r="AE133" s="65">
        <f t="shared" si="164"/>
        <v>365221.08333333302</v>
      </c>
      <c r="AF133" s="55">
        <f>VLOOKUP(A133,'Profit Loss-Amravati-25-26'!$A$9:$N$192,13,0)</f>
        <v>2585545.9933333336</v>
      </c>
      <c r="AG133" s="55">
        <f>VLOOKUP(A133,'Profit Loss-Betul-25-26'!$A$9:$N$141,13,0)</f>
        <v>71564</v>
      </c>
      <c r="AH133" s="55"/>
      <c r="AI133" s="56">
        <f t="shared" si="165"/>
        <v>2657109.9933333336</v>
      </c>
      <c r="AJ133" s="65">
        <f t="shared" si="202"/>
        <v>459133.40333333379</v>
      </c>
      <c r="AK133" s="55">
        <f>VLOOKUP(A133,'Profit Loss-Amravati-25-26'!$A$9:$P$192,15,0)</f>
        <v>2823586.0766666667</v>
      </c>
      <c r="AL133" s="55">
        <f>VLOOKUP(A133,'Profit Loss-Betul-25-26'!$A$9:$P$141,15,0)</f>
        <v>73064</v>
      </c>
      <c r="AM133" s="55"/>
      <c r="AN133" s="56">
        <f t="shared" si="203"/>
        <v>2896650.0766666667</v>
      </c>
      <c r="AO133" s="65">
        <f t="shared" si="168"/>
        <v>239540.08333333302</v>
      </c>
      <c r="AP133" s="55">
        <f>VLOOKUP(A133,'Profit Loss-Amravati-25-26'!$A$9:$R$192,17,0)</f>
        <v>3243823.69</v>
      </c>
      <c r="AQ133" s="55">
        <f>VLOOKUP(A133,'Profit Loss-Betul-25-26'!$A$9:$R$141,17,0)</f>
        <v>78120</v>
      </c>
      <c r="AR133" s="55"/>
      <c r="AS133" s="56">
        <f t="shared" si="204"/>
        <v>3321943.69</v>
      </c>
      <c r="AT133" s="65">
        <f t="shared" si="170"/>
        <v>425293.61333333328</v>
      </c>
      <c r="AU133" s="55">
        <f>VLOOKUP(A133,'Profit Loss-Amravati-25-26'!$A$9:$T$192,19,0)</f>
        <v>3589408.7733333334</v>
      </c>
      <c r="AV133" s="55">
        <f>VLOOKUP(A133,'Profit Loss-Betul-25-26'!$A$9:$T$141,19,0)</f>
        <v>83860</v>
      </c>
      <c r="AW133" s="55"/>
      <c r="AX133" s="56">
        <f t="shared" si="205"/>
        <v>3673268.7733333334</v>
      </c>
      <c r="AY133" s="65">
        <f t="shared" si="172"/>
        <v>351325.08333333349</v>
      </c>
      <c r="AZ133" s="55">
        <f>VLOOKUP(A133,'Profit Loss-Amravati-25-26'!$A$9:$V$192,21,0)</f>
        <v>3808571.6766666663</v>
      </c>
      <c r="BA133" s="55">
        <f>VLOOKUP(A133,'Profit Loss-Betul-25-26'!$A$9:$V$141,21,0)</f>
        <v>93457</v>
      </c>
      <c r="BB133" s="55"/>
      <c r="BC133" s="56">
        <f t="shared" si="206"/>
        <v>3902028.6766666663</v>
      </c>
      <c r="BD133" s="65">
        <f t="shared" si="174"/>
        <v>228759.90333333286</v>
      </c>
      <c r="BE133" s="55"/>
      <c r="BF133" s="55"/>
    </row>
    <row r="134" spans="1:58" x14ac:dyDescent="0.3">
      <c r="A134" t="s">
        <v>96</v>
      </c>
      <c r="B134" s="11">
        <f>VLOOKUP(A134,'Profit Loss-Textile'!$A$8:$B$135,2,0)</f>
        <v>0</v>
      </c>
      <c r="C134" s="16">
        <f>VLOOKUP(A134,'Profit Loss-Amravati-25-26'!$A$13:$B$190,2,0)</f>
        <v>0</v>
      </c>
      <c r="D134" s="57">
        <f>VLOOKUP(A134,'Profit Loss-Betul-25-26'!$A$9:$B$140,2,0)</f>
        <v>0</v>
      </c>
      <c r="E134" s="57"/>
      <c r="F134" s="65">
        <f t="shared" si="207"/>
        <v>0</v>
      </c>
      <c r="G134" s="11">
        <f>VLOOKUP(A134,'Profit Loss-Amravati-25-26'!$A$9:$D$190,3,0)</f>
        <v>0</v>
      </c>
      <c r="H134" s="57">
        <f>VLOOKUP(A134,'Profit Loss-Betul-25-26'!$A$9:$D$140,3,0)</f>
        <v>0</v>
      </c>
      <c r="I134" s="57"/>
      <c r="J134" s="56">
        <f t="shared" si="183"/>
        <v>0</v>
      </c>
      <c r="K134" s="65">
        <f t="shared" si="150"/>
        <v>0</v>
      </c>
      <c r="L134" s="55">
        <f>VLOOKUP(A134,'Profit Loss-Amravati-25-26'!$A$9:$F$190,5,0)</f>
        <v>5550</v>
      </c>
      <c r="M134" s="55">
        <f>VLOOKUP(A134,'Profit Loss-Betul-25-26'!$A$9:$F$141,5,0)</f>
        <v>0</v>
      </c>
      <c r="N134" s="55"/>
      <c r="O134" s="56">
        <f t="shared" si="184"/>
        <v>5550</v>
      </c>
      <c r="P134" s="65">
        <f t="shared" si="162"/>
        <v>5550</v>
      </c>
      <c r="Q134" s="55">
        <f>VLOOKUP(A134,'Profit Loss-Amravati-25-26'!$A$9:$H$190,7,0)</f>
        <v>5550</v>
      </c>
      <c r="R134" s="55">
        <f>VLOOKUP(A134,'Profit Loss-Betul-25-26'!$A$9:$H$141,7,0)</f>
        <v>0</v>
      </c>
      <c r="S134" s="55"/>
      <c r="T134" s="56">
        <f t="shared" si="175"/>
        <v>5550</v>
      </c>
      <c r="U134" s="65">
        <f t="shared" si="176"/>
        <v>0</v>
      </c>
      <c r="V134" s="55">
        <f>VLOOKUP(A134,'Profit Loss-Amravati-25-26'!$A$9:$J$190,9,0)</f>
        <v>5550</v>
      </c>
      <c r="W134" s="55">
        <f>VLOOKUP(A134,'Profit Loss-Betul-25-26'!$A$9:$J$141,9,0)</f>
        <v>0</v>
      </c>
      <c r="X134" s="55"/>
      <c r="Y134" s="56">
        <f t="shared" si="177"/>
        <v>5550</v>
      </c>
      <c r="Z134" s="65">
        <f t="shared" si="178"/>
        <v>0</v>
      </c>
      <c r="AA134" s="55">
        <f>VLOOKUP(A134,'Profit Loss-Amravati-25-26'!$A$9:$L$192,11,0)</f>
        <v>5550</v>
      </c>
      <c r="AB134" s="55">
        <f>VLOOKUP(A134,'Profit Loss-Betul-25-26'!$A$9:$L$141,11,0)</f>
        <v>0</v>
      </c>
      <c r="AC134" s="55"/>
      <c r="AD134" s="56">
        <f t="shared" si="163"/>
        <v>5550</v>
      </c>
      <c r="AE134" s="65">
        <f t="shared" si="164"/>
        <v>0</v>
      </c>
      <c r="AF134" s="55">
        <f>VLOOKUP(A134,'Profit Loss-Amravati-25-26'!$A$9:$N$192,13,0)</f>
        <v>5550</v>
      </c>
      <c r="AG134" s="55">
        <f>VLOOKUP(A134,'Profit Loss-Betul-25-26'!$A$9:$N$141,13,0)</f>
        <v>0</v>
      </c>
      <c r="AH134" s="55"/>
      <c r="AI134" s="56">
        <f t="shared" si="165"/>
        <v>5550</v>
      </c>
      <c r="AJ134" s="65">
        <f t="shared" si="202"/>
        <v>0</v>
      </c>
      <c r="AK134" s="55">
        <f>VLOOKUP(A134,'Profit Loss-Amravati-25-26'!$A$9:$P$192,15,0)</f>
        <v>14700</v>
      </c>
      <c r="AL134" s="55">
        <f>VLOOKUP(A134,'Profit Loss-Betul-25-26'!$A$9:$P$141,15,0)</f>
        <v>0</v>
      </c>
      <c r="AM134" s="55"/>
      <c r="AN134" s="56">
        <f t="shared" si="203"/>
        <v>14700</v>
      </c>
      <c r="AO134" s="65">
        <f t="shared" si="168"/>
        <v>9150</v>
      </c>
      <c r="AP134" s="55">
        <f>VLOOKUP(A134,'Profit Loss-Amravati-25-26'!$A$9:$R$192,17,0)</f>
        <v>15080</v>
      </c>
      <c r="AQ134" s="55">
        <f>VLOOKUP(A134,'Profit Loss-Betul-25-26'!$A$9:$R$141,17,0)</f>
        <v>0</v>
      </c>
      <c r="AR134" s="55"/>
      <c r="AS134" s="56">
        <f t="shared" si="204"/>
        <v>15080</v>
      </c>
      <c r="AT134" s="65">
        <f t="shared" si="170"/>
        <v>380</v>
      </c>
      <c r="AU134" s="55">
        <f>VLOOKUP(A134,'Profit Loss-Amravati-25-26'!$A$9:$T$192,19,0)</f>
        <v>16050</v>
      </c>
      <c r="AV134" s="55">
        <f>VLOOKUP(A134,'Profit Loss-Betul-25-26'!$A$9:$T$141,19,0)</f>
        <v>0</v>
      </c>
      <c r="AW134" s="55"/>
      <c r="AX134" s="56">
        <f t="shared" si="205"/>
        <v>16050</v>
      </c>
      <c r="AY134" s="65">
        <f t="shared" si="172"/>
        <v>970</v>
      </c>
      <c r="AZ134" s="55">
        <f>VLOOKUP(A134,'Profit Loss-Amravati-25-26'!$A$9:$V$192,21,0)</f>
        <v>22660</v>
      </c>
      <c r="BA134" s="55">
        <f>VLOOKUP(A134,'Profit Loss-Betul-25-26'!$A$9:$V$141,21,0)</f>
        <v>0</v>
      </c>
      <c r="BB134" s="55"/>
      <c r="BC134" s="56">
        <f t="shared" si="206"/>
        <v>22660</v>
      </c>
      <c r="BD134" s="65">
        <f t="shared" si="174"/>
        <v>6610</v>
      </c>
      <c r="BE134" s="55"/>
      <c r="BF134" s="55"/>
    </row>
    <row r="135" spans="1:58" x14ac:dyDescent="0.3">
      <c r="A135" s="10" t="s">
        <v>56</v>
      </c>
      <c r="B135" s="11"/>
      <c r="C135" s="16">
        <f>VLOOKUP(A135,'Profit Loss-Amravati-25-26'!$A$13:$B$190,2,0)</f>
        <v>0</v>
      </c>
      <c r="D135" s="57">
        <f>VLOOKUP(A135,'Profit Loss-Betul-25-26'!$A$9:$B$140,2,0)</f>
        <v>0</v>
      </c>
      <c r="E135" s="57"/>
      <c r="F135" s="65">
        <f t="shared" si="207"/>
        <v>0</v>
      </c>
      <c r="G135" s="11">
        <f>VLOOKUP(A135,'Profit Loss-Amravati-25-26'!$A$9:$D$190,3,0)</f>
        <v>0</v>
      </c>
      <c r="H135" s="57">
        <f>VLOOKUP(A135,'Profit Loss-Betul-25-26'!$A$9:$D$140,3,0)</f>
        <v>0</v>
      </c>
      <c r="I135" s="57"/>
      <c r="J135" s="56">
        <f t="shared" si="183"/>
        <v>0</v>
      </c>
      <c r="K135" s="65">
        <f t="shared" si="150"/>
        <v>0</v>
      </c>
      <c r="L135" s="55">
        <f>VLOOKUP(A135,'Profit Loss-Amravati-25-26'!$A$9:$F$190,5,0)</f>
        <v>0</v>
      </c>
      <c r="M135" s="55">
        <f>VLOOKUP(A135,'Profit Loss-Betul-25-26'!$A$9:$F$141,5,0)</f>
        <v>0</v>
      </c>
      <c r="N135" s="55"/>
      <c r="O135" s="56">
        <f t="shared" si="184"/>
        <v>0</v>
      </c>
      <c r="P135" s="65">
        <f t="shared" si="162"/>
        <v>0</v>
      </c>
      <c r="Q135" s="55">
        <f>VLOOKUP(A135,'Profit Loss-Amravati-25-26'!$A$9:$H$190,7,0)</f>
        <v>0</v>
      </c>
      <c r="R135" s="55">
        <f>VLOOKUP(A135,'Profit Loss-Betul-25-26'!$A$9:$H$141,7,0)</f>
        <v>0</v>
      </c>
      <c r="S135" s="55"/>
      <c r="T135" s="56">
        <f t="shared" si="175"/>
        <v>0</v>
      </c>
      <c r="U135" s="65">
        <f t="shared" si="176"/>
        <v>0</v>
      </c>
      <c r="V135" s="55">
        <f>VLOOKUP(A135,'Profit Loss-Amravati-25-26'!$A$9:$J$190,9,0)</f>
        <v>0</v>
      </c>
      <c r="W135" s="55">
        <f>VLOOKUP(A135,'Profit Loss-Betul-25-26'!$A$9:$J$141,9,0)</f>
        <v>0</v>
      </c>
      <c r="X135" s="55"/>
      <c r="Y135" s="56">
        <f t="shared" si="177"/>
        <v>0</v>
      </c>
      <c r="Z135" s="65">
        <f t="shared" si="178"/>
        <v>0</v>
      </c>
      <c r="AA135" s="55">
        <f>VLOOKUP(A135,'Profit Loss-Amravati-25-26'!$A$9:$L$192,11,0)</f>
        <v>0</v>
      </c>
      <c r="AB135" s="55">
        <f>VLOOKUP(A135,'Profit Loss-Betul-25-26'!$A$9:$L$141,11,0)</f>
        <v>0</v>
      </c>
      <c r="AC135" s="55"/>
      <c r="AD135" s="56">
        <f t="shared" si="163"/>
        <v>0</v>
      </c>
      <c r="AE135" s="65">
        <f t="shared" si="164"/>
        <v>0</v>
      </c>
      <c r="AF135" s="55">
        <f>VLOOKUP(A135,'Profit Loss-Amravati-25-26'!$A$9:$N$192,13,0)</f>
        <v>0</v>
      </c>
      <c r="AG135" s="55">
        <f>VLOOKUP(A135,'Profit Loss-Betul-25-26'!$A$9:$N$141,13,0)</f>
        <v>0</v>
      </c>
      <c r="AH135" s="55"/>
      <c r="AI135" s="56">
        <f t="shared" si="165"/>
        <v>0</v>
      </c>
      <c r="AJ135" s="65">
        <f t="shared" si="202"/>
        <v>0</v>
      </c>
      <c r="AK135" s="55">
        <f>VLOOKUP(A135,'Profit Loss-Amravati-25-26'!$A$9:$P$192,15,0)</f>
        <v>17490</v>
      </c>
      <c r="AL135" s="55">
        <f>VLOOKUP(A135,'Profit Loss-Betul-25-26'!$A$9:$P$141,15,0)</f>
        <v>0</v>
      </c>
      <c r="AM135" s="55"/>
      <c r="AN135" s="56">
        <f t="shared" si="203"/>
        <v>17490</v>
      </c>
      <c r="AO135" s="65">
        <f t="shared" si="168"/>
        <v>17490</v>
      </c>
      <c r="AP135" s="55">
        <f>VLOOKUP(A135,'Profit Loss-Amravati-25-26'!$A$9:$R$192,17,0)</f>
        <v>17490</v>
      </c>
      <c r="AQ135" s="55">
        <f>VLOOKUP(A135,'Profit Loss-Betul-25-26'!$A$9:$R$141,17,0)</f>
        <v>0</v>
      </c>
      <c r="AR135" s="55"/>
      <c r="AS135" s="56">
        <f t="shared" si="204"/>
        <v>17490</v>
      </c>
      <c r="AT135" s="65">
        <f t="shared" si="170"/>
        <v>0</v>
      </c>
      <c r="AU135" s="55">
        <f>VLOOKUP(A135,'Profit Loss-Amravati-25-26'!$A$9:$T$192,19,0)</f>
        <v>17490</v>
      </c>
      <c r="AV135" s="55">
        <f>VLOOKUP(A135,'Profit Loss-Betul-25-26'!$A$9:$T$141,19,0)</f>
        <v>0</v>
      </c>
      <c r="AW135" s="55"/>
      <c r="AX135" s="56">
        <f t="shared" si="205"/>
        <v>17490</v>
      </c>
      <c r="AY135" s="65">
        <f t="shared" si="172"/>
        <v>0</v>
      </c>
      <c r="AZ135" s="55">
        <f>VLOOKUP(A135,'Profit Loss-Amravati-25-26'!$A$9:$V$192,21,0)</f>
        <v>17490</v>
      </c>
      <c r="BA135" s="55">
        <f>VLOOKUP(A135,'Profit Loss-Betul-25-26'!$A$9:$V$141,21,0)</f>
        <v>0</v>
      </c>
      <c r="BB135" s="55"/>
      <c r="BC135" s="56">
        <f t="shared" si="206"/>
        <v>17490</v>
      </c>
      <c r="BD135" s="65">
        <f t="shared" si="174"/>
        <v>0</v>
      </c>
      <c r="BE135" s="55"/>
      <c r="BF135" s="55"/>
    </row>
    <row r="136" spans="1:58" x14ac:dyDescent="0.3">
      <c r="A136" s="10" t="s">
        <v>57</v>
      </c>
      <c r="B136" s="11"/>
      <c r="C136" s="11">
        <f>VLOOKUP(A136,'Profit Loss-Amravati-25-26'!$A$13:$B$190,2,0)</f>
        <v>-3.63</v>
      </c>
      <c r="D136" s="57">
        <f>VLOOKUP(A136,'Profit Loss-Betul-25-26'!$A$9:$B$140,2,0)</f>
        <v>64.92</v>
      </c>
      <c r="E136" s="57"/>
      <c r="F136" s="65">
        <f t="shared" si="207"/>
        <v>61.29</v>
      </c>
      <c r="G136" s="11">
        <f>VLOOKUP(A136,'Profit Loss-Amravati-25-26'!$A$9:$D$190,3,0)</f>
        <v>1.37</v>
      </c>
      <c r="H136" s="57">
        <f>VLOOKUP(A136,'Profit Loss-Betul-25-26'!$A$9:$D$140,3,0)</f>
        <v>2.5</v>
      </c>
      <c r="I136" s="57"/>
      <c r="J136" s="56">
        <f t="shared" si="183"/>
        <v>3.87</v>
      </c>
      <c r="K136" s="65">
        <f t="shared" si="150"/>
        <v>-57.42</v>
      </c>
      <c r="L136" s="55">
        <f>VLOOKUP(A136,'Profit Loss-Amravati-25-26'!$A$9:$F$190,5,0)</f>
        <v>-80.95</v>
      </c>
      <c r="M136" s="55">
        <f>VLOOKUP(A136,'Profit Loss-Betul-25-26'!$A$9:$F$141,5,0)</f>
        <v>-2.5</v>
      </c>
      <c r="N136" s="55"/>
      <c r="O136" s="56">
        <f t="shared" si="184"/>
        <v>-83.45</v>
      </c>
      <c r="P136" s="65">
        <f t="shared" si="162"/>
        <v>-87.320000000000007</v>
      </c>
      <c r="Q136" s="55">
        <f>VLOOKUP(A136,'Profit Loss-Amravati-25-26'!$A$9:$H$190,7,0)</f>
        <v>2.0499999999999998</v>
      </c>
      <c r="R136" s="55">
        <f>VLOOKUP(A136,'Profit Loss-Betul-25-26'!$A$9:$H$141,7,0)</f>
        <v>-2.4900000000000002</v>
      </c>
      <c r="S136" s="55"/>
      <c r="T136" s="56">
        <f t="shared" si="175"/>
        <v>-0.44000000000000039</v>
      </c>
      <c r="U136" s="65">
        <f t="shared" si="176"/>
        <v>83.01</v>
      </c>
      <c r="V136" s="55">
        <f>VLOOKUP(A136,'Profit Loss-Amravati-25-26'!$A$9:$J$190,9,0)</f>
        <v>4.05</v>
      </c>
      <c r="W136" s="55">
        <f>VLOOKUP(A136,'Profit Loss-Betul-25-26'!$A$9:$J$141,9,0)</f>
        <v>-7.97</v>
      </c>
      <c r="X136" s="55"/>
      <c r="Y136" s="56">
        <f t="shared" si="177"/>
        <v>-3.92</v>
      </c>
      <c r="Z136" s="65">
        <f t="shared" si="178"/>
        <v>-3.4799999999999995</v>
      </c>
      <c r="AA136" s="55">
        <f>VLOOKUP(A136,'Profit Loss-Amravati-25-26'!$A$9:$L$192,11,0)</f>
        <v>9.99</v>
      </c>
      <c r="AB136" s="55">
        <f>VLOOKUP(A136,'Profit Loss-Betul-25-26'!$A$9:$L$141,11,0)</f>
        <v>-8.85</v>
      </c>
      <c r="AC136" s="55"/>
      <c r="AD136" s="56">
        <f t="shared" si="163"/>
        <v>1.1400000000000006</v>
      </c>
      <c r="AE136" s="65">
        <f t="shared" si="164"/>
        <v>5.0600000000000005</v>
      </c>
      <c r="AF136" s="55">
        <f>VLOOKUP(A136,'Profit Loss-Amravati-25-26'!$A$9:$N$192,13,0)</f>
        <v>9.99</v>
      </c>
      <c r="AG136" s="55">
        <f>VLOOKUP(A136,'Profit Loss-Betul-25-26'!$A$9:$N$141,13,0)</f>
        <v>-11.31</v>
      </c>
      <c r="AH136" s="55"/>
      <c r="AI136" s="56">
        <f t="shared" si="165"/>
        <v>-1.3200000000000003</v>
      </c>
      <c r="AJ136" s="65">
        <f t="shared" si="202"/>
        <v>-2.4600000000000009</v>
      </c>
      <c r="AK136" s="55">
        <f>VLOOKUP(A136,'Profit Loss-Amravati-25-26'!$A$9:$P$192,15,0)</f>
        <v>10.25</v>
      </c>
      <c r="AL136" s="55">
        <f>VLOOKUP(A136,'Profit Loss-Betul-25-26'!$A$9:$P$141,15,0)</f>
        <v>-11.31</v>
      </c>
      <c r="AM136" s="55"/>
      <c r="AN136" s="56">
        <f t="shared" si="203"/>
        <v>-1.0600000000000005</v>
      </c>
      <c r="AO136" s="65">
        <f t="shared" si="168"/>
        <v>0.25999999999999979</v>
      </c>
      <c r="AP136" s="55">
        <f>VLOOKUP(A136,'Profit Loss-Amravati-25-26'!$A$9:$R$192,17,0)</f>
        <v>10.45</v>
      </c>
      <c r="AQ136" s="55">
        <f>VLOOKUP(A136,'Profit Loss-Betul-25-26'!$A$9:$R$141,17,0)</f>
        <v>-11.31</v>
      </c>
      <c r="AR136" s="55"/>
      <c r="AS136" s="56">
        <f t="shared" si="204"/>
        <v>-0.86000000000000121</v>
      </c>
      <c r="AT136" s="65">
        <f t="shared" si="170"/>
        <v>0.19999999999999929</v>
      </c>
      <c r="AU136" s="55">
        <f>VLOOKUP(A136,'Profit Loss-Amravati-25-26'!$A$9:$T$192,19,0)</f>
        <v>10.23</v>
      </c>
      <c r="AV136" s="55">
        <f>VLOOKUP(A136,'Profit Loss-Betul-25-26'!$A$9:$T$141,19,0)</f>
        <v>-12.3</v>
      </c>
      <c r="AW136" s="55"/>
      <c r="AX136" s="56">
        <f t="shared" si="205"/>
        <v>-2.0700000000000003</v>
      </c>
      <c r="AY136" s="65">
        <f t="shared" si="172"/>
        <v>-1.2099999999999991</v>
      </c>
      <c r="AZ136" s="55">
        <f>VLOOKUP(A136,'Profit Loss-Amravati-25-26'!$A$9:$V$192,21,0)</f>
        <v>10.67</v>
      </c>
      <c r="BA136" s="55">
        <f>VLOOKUP(A136,'Profit Loss-Betul-25-26'!$A$9:$V$141,21,0)</f>
        <v>-12.3</v>
      </c>
      <c r="BB136" s="55"/>
      <c r="BC136" s="56">
        <f t="shared" si="206"/>
        <v>-1.6300000000000008</v>
      </c>
      <c r="BD136" s="65">
        <f t="shared" si="174"/>
        <v>0.4399999999999995</v>
      </c>
      <c r="BE136" s="55"/>
      <c r="BF136" s="55"/>
    </row>
    <row r="137" spans="1:58" x14ac:dyDescent="0.3">
      <c r="A137" s="10" t="s">
        <v>58</v>
      </c>
      <c r="B137" s="11"/>
      <c r="C137" s="11">
        <f>VLOOKUP(A137,'Profit Loss-Amravati-25-26'!$A$13:$B$190,2,0)</f>
        <v>2650</v>
      </c>
      <c r="D137" s="57">
        <f>VLOOKUP(A137,'Profit Loss-Betul-25-26'!$A$9:$B$140,2,0)</f>
        <v>910</v>
      </c>
      <c r="E137" s="57"/>
      <c r="F137" s="65">
        <f t="shared" si="207"/>
        <v>3560</v>
      </c>
      <c r="G137" s="11">
        <f>VLOOKUP(A137,'Profit Loss-Amravati-25-26'!$A$9:$D$190,3,0)</f>
        <v>4930</v>
      </c>
      <c r="H137" s="57">
        <f>VLOOKUP(A137,'Profit Loss-Betul-25-26'!$A$9:$D$140,3,0)</f>
        <v>4620</v>
      </c>
      <c r="I137" s="57"/>
      <c r="J137" s="56">
        <f t="shared" si="183"/>
        <v>9550</v>
      </c>
      <c r="K137" s="65">
        <f t="shared" si="150"/>
        <v>5990</v>
      </c>
      <c r="L137" s="55">
        <f>VLOOKUP(A137,'Profit Loss-Amravati-25-26'!$A$9:$F$190,5,0)</f>
        <v>4930</v>
      </c>
      <c r="M137" s="55">
        <f>VLOOKUP(A137,'Profit Loss-Betul-25-26'!$A$9:$F$141,5,0)</f>
        <v>4620</v>
      </c>
      <c r="N137" s="55"/>
      <c r="O137" s="56">
        <f t="shared" si="184"/>
        <v>9550</v>
      </c>
      <c r="P137" s="65">
        <f t="shared" si="162"/>
        <v>0</v>
      </c>
      <c r="Q137" s="55">
        <f>VLOOKUP(A137,'Profit Loss-Amravati-25-26'!$A$9:$H$190,7,0)</f>
        <v>4930</v>
      </c>
      <c r="R137" s="55">
        <f>VLOOKUP(A137,'Profit Loss-Betul-25-26'!$A$9:$H$141,7,0)</f>
        <v>7250</v>
      </c>
      <c r="S137" s="55"/>
      <c r="T137" s="56">
        <f t="shared" si="175"/>
        <v>12180</v>
      </c>
      <c r="U137" s="65">
        <f t="shared" si="176"/>
        <v>2630</v>
      </c>
      <c r="V137" s="55">
        <f>VLOOKUP(A137,'Profit Loss-Amravati-25-26'!$A$9:$J$190,9,0)</f>
        <v>4930</v>
      </c>
      <c r="W137" s="55">
        <f>VLOOKUP(A137,'Profit Loss-Betul-25-26'!$A$9:$J$141,9,0)</f>
        <v>11400</v>
      </c>
      <c r="X137" s="55"/>
      <c r="Y137" s="56">
        <f t="shared" si="177"/>
        <v>16330</v>
      </c>
      <c r="Z137" s="65">
        <f t="shared" si="178"/>
        <v>4150</v>
      </c>
      <c r="AA137" s="55">
        <f>VLOOKUP(A137,'Profit Loss-Amravati-25-26'!$A$9:$L$192,11,0)</f>
        <v>4930</v>
      </c>
      <c r="AB137" s="55">
        <f>VLOOKUP(A137,'Profit Loss-Betul-25-26'!$A$9:$L$141,11,0)</f>
        <v>11400</v>
      </c>
      <c r="AC137" s="55"/>
      <c r="AD137" s="56">
        <f t="shared" si="163"/>
        <v>16330</v>
      </c>
      <c r="AE137" s="65">
        <f t="shared" si="164"/>
        <v>0</v>
      </c>
      <c r="AF137" s="55">
        <f>VLOOKUP(A137,'Profit Loss-Amravati-25-26'!$A$9:$N$192,13,0)</f>
        <v>4930</v>
      </c>
      <c r="AG137" s="55">
        <f>VLOOKUP(A137,'Profit Loss-Betul-25-26'!$A$9:$N$141,13,0)</f>
        <v>19250</v>
      </c>
      <c r="AH137" s="55"/>
      <c r="AI137" s="56">
        <f t="shared" si="165"/>
        <v>24180</v>
      </c>
      <c r="AJ137" s="65">
        <f t="shared" si="202"/>
        <v>7850</v>
      </c>
      <c r="AK137" s="55">
        <f>VLOOKUP(A137,'Profit Loss-Amravati-25-26'!$A$9:$P$192,15,0)</f>
        <v>4930</v>
      </c>
      <c r="AL137" s="55">
        <f>VLOOKUP(A137,'Profit Loss-Betul-25-26'!$A$9:$P$141,15,0)</f>
        <v>21360</v>
      </c>
      <c r="AM137" s="55"/>
      <c r="AN137" s="56">
        <f t="shared" si="203"/>
        <v>26290</v>
      </c>
      <c r="AO137" s="65">
        <f t="shared" si="168"/>
        <v>2110</v>
      </c>
      <c r="AP137" s="55">
        <f>VLOOKUP(A137,'Profit Loss-Amravati-25-26'!$A$9:$R$192,17,0)</f>
        <v>4930</v>
      </c>
      <c r="AQ137" s="55">
        <f>VLOOKUP(A137,'Profit Loss-Betul-25-26'!$A$9:$R$141,17,0)</f>
        <v>21360</v>
      </c>
      <c r="AR137" s="55"/>
      <c r="AS137" s="56">
        <f t="shared" si="204"/>
        <v>26290</v>
      </c>
      <c r="AT137" s="65">
        <f t="shared" si="170"/>
        <v>0</v>
      </c>
      <c r="AU137" s="55">
        <f>VLOOKUP(A137,'Profit Loss-Amravati-25-26'!$A$9:$T$192,19,0)</f>
        <v>4930</v>
      </c>
      <c r="AV137" s="55">
        <f>VLOOKUP(A137,'Profit Loss-Betul-25-26'!$A$9:$T$141,19,0)</f>
        <v>24220</v>
      </c>
      <c r="AW137" s="55"/>
      <c r="AX137" s="56">
        <f t="shared" si="205"/>
        <v>29150</v>
      </c>
      <c r="AY137" s="65">
        <f t="shared" si="172"/>
        <v>2860</v>
      </c>
      <c r="AZ137" s="55">
        <f>VLOOKUP(A137,'Profit Loss-Amravati-25-26'!$A$9:$V$192,21,0)</f>
        <v>9698</v>
      </c>
      <c r="BA137" s="55">
        <f>VLOOKUP(A137,'Profit Loss-Betul-25-26'!$A$9:$V$141,21,0)</f>
        <v>27820</v>
      </c>
      <c r="BB137" s="55"/>
      <c r="BC137" s="56">
        <f t="shared" si="206"/>
        <v>37518</v>
      </c>
      <c r="BD137" s="65">
        <f t="shared" si="174"/>
        <v>8368</v>
      </c>
      <c r="BE137" s="55"/>
      <c r="BF137" s="55"/>
    </row>
    <row r="138" spans="1:58" x14ac:dyDescent="0.3">
      <c r="A138" s="10" t="s">
        <v>62</v>
      </c>
      <c r="B138" s="11"/>
      <c r="C138" s="16">
        <f>VLOOKUP(A138,'Profit Loss-Amravati-25-26'!$A$13:$B$190,2,0)</f>
        <v>0</v>
      </c>
      <c r="D138" s="57">
        <f>VLOOKUP(A138,'Profit Loss-Betul-25-26'!$A$9:$B$140,2,0)</f>
        <v>0</v>
      </c>
      <c r="E138" s="57"/>
      <c r="F138" s="65">
        <f t="shared" si="207"/>
        <v>0</v>
      </c>
      <c r="G138" s="11">
        <f>VLOOKUP(A138,'Profit Loss-Amravati-25-26'!$A$9:$D$190,3,0)</f>
        <v>0</v>
      </c>
      <c r="H138" s="57">
        <f>VLOOKUP(A138,'Profit Loss-Betul-25-26'!$A$9:$D$140,3,0)</f>
        <v>0</v>
      </c>
      <c r="I138" s="57"/>
      <c r="J138" s="56">
        <f t="shared" si="183"/>
        <v>0</v>
      </c>
      <c r="K138" s="65">
        <f t="shared" si="150"/>
        <v>0</v>
      </c>
      <c r="L138" s="55">
        <f>VLOOKUP(A138,'Profit Loss-Amravati-25-26'!$A$9:$F$190,5,0)</f>
        <v>6250</v>
      </c>
      <c r="M138" s="55">
        <f>VLOOKUP(A138,'Profit Loss-Betul-25-26'!$A$9:$F$141,5,0)</f>
        <v>0</v>
      </c>
      <c r="N138" s="55"/>
      <c r="O138" s="56">
        <f t="shared" si="184"/>
        <v>6250</v>
      </c>
      <c r="P138" s="65">
        <f t="shared" si="162"/>
        <v>6250</v>
      </c>
      <c r="Q138" s="55">
        <f>VLOOKUP(A138,'Profit Loss-Amravati-25-26'!$A$9:$H$190,7,0)</f>
        <v>13356.933333333331</v>
      </c>
      <c r="R138" s="55">
        <f>VLOOKUP(A138,'Profit Loss-Betul-25-26'!$A$9:$H$141,7,0)</f>
        <v>0</v>
      </c>
      <c r="S138" s="55"/>
      <c r="T138" s="56">
        <f t="shared" si="175"/>
        <v>13356.933333333331</v>
      </c>
      <c r="U138" s="65">
        <f t="shared" si="176"/>
        <v>7106.9333333333307</v>
      </c>
      <c r="V138" s="55">
        <f>VLOOKUP(A138,'Profit Loss-Amravati-25-26'!$A$9:$J$190,9,0)</f>
        <v>21300.266666666663</v>
      </c>
      <c r="W138" s="55">
        <f>VLOOKUP(A138,'Profit Loss-Betul-25-26'!$A$9:$J$141,9,0)</f>
        <v>0</v>
      </c>
      <c r="X138" s="55"/>
      <c r="Y138" s="56">
        <f t="shared" si="177"/>
        <v>21300.266666666663</v>
      </c>
      <c r="Z138" s="65">
        <f t="shared" si="178"/>
        <v>7943.3333333333321</v>
      </c>
      <c r="AA138" s="55">
        <f>VLOOKUP(A138,'Profit Loss-Amravati-25-26'!$A$9:$L$192,11,0)</f>
        <v>23383.599999999999</v>
      </c>
      <c r="AB138" s="55">
        <f>VLOOKUP(A138,'Profit Loss-Betul-25-26'!$A$9:$L$141,11,0)</f>
        <v>0</v>
      </c>
      <c r="AC138" s="55"/>
      <c r="AD138" s="56">
        <f t="shared" si="163"/>
        <v>23383.599999999999</v>
      </c>
      <c r="AE138" s="65">
        <f t="shared" si="164"/>
        <v>2083.3333333333358</v>
      </c>
      <c r="AF138" s="55">
        <f>VLOOKUP(A138,'Profit Loss-Amravati-25-26'!$A$9:$N$192,13,0)</f>
        <v>25466.933333333331</v>
      </c>
      <c r="AG138" s="55">
        <f>VLOOKUP(A138,'Profit Loss-Betul-25-26'!$A$9:$N$141,13,0)</f>
        <v>0</v>
      </c>
      <c r="AH138" s="55"/>
      <c r="AI138" s="56">
        <f t="shared" si="165"/>
        <v>25466.933333333331</v>
      </c>
      <c r="AJ138" s="65">
        <f t="shared" si="202"/>
        <v>2083.3333333333321</v>
      </c>
      <c r="AK138" s="55">
        <f>VLOOKUP(A138,'Profit Loss-Amravati-25-26'!$A$9:$P$192,15,0)</f>
        <v>27550.266666666663</v>
      </c>
      <c r="AL138" s="55">
        <f>VLOOKUP(A138,'Profit Loss-Betul-25-26'!$A$9:$P$141,15,0)</f>
        <v>0</v>
      </c>
      <c r="AM138" s="55"/>
      <c r="AN138" s="56">
        <f t="shared" si="203"/>
        <v>27550.266666666663</v>
      </c>
      <c r="AO138" s="65">
        <f t="shared" si="168"/>
        <v>2083.3333333333321</v>
      </c>
      <c r="AP138" s="55">
        <f>VLOOKUP(A138,'Profit Loss-Amravati-25-26'!$A$9:$R$192,17,0)</f>
        <v>29633.599999999999</v>
      </c>
      <c r="AQ138" s="55">
        <f>VLOOKUP(A138,'Profit Loss-Betul-25-26'!$A$9:$R$141,17,0)</f>
        <v>0</v>
      </c>
      <c r="AR138" s="55"/>
      <c r="AS138" s="56">
        <f t="shared" si="204"/>
        <v>29633.599999999999</v>
      </c>
      <c r="AT138" s="65">
        <f t="shared" si="170"/>
        <v>2083.3333333333358</v>
      </c>
      <c r="AU138" s="55">
        <f>VLOOKUP(A138,'Profit Loss-Amravati-25-26'!$A$9:$T$192,19,0)</f>
        <v>31716.933333333331</v>
      </c>
      <c r="AV138" s="55">
        <f>VLOOKUP(A138,'Profit Loss-Betul-25-26'!$A$9:$T$141,19,0)</f>
        <v>0</v>
      </c>
      <c r="AW138" s="55"/>
      <c r="AX138" s="56">
        <f t="shared" si="205"/>
        <v>31716.933333333331</v>
      </c>
      <c r="AY138" s="65">
        <f t="shared" si="172"/>
        <v>2083.3333333333321</v>
      </c>
      <c r="AZ138" s="55">
        <f>VLOOKUP(A138,'Profit Loss-Amravati-25-26'!$A$9:$V$192,21,0)</f>
        <v>33800.266666666663</v>
      </c>
      <c r="BA138" s="55">
        <f>VLOOKUP(A138,'Profit Loss-Betul-25-26'!$A$9:$V$141,21,0)</f>
        <v>0</v>
      </c>
      <c r="BB138" s="55"/>
      <c r="BC138" s="56">
        <f t="shared" si="206"/>
        <v>33800.266666666663</v>
      </c>
      <c r="BD138" s="65">
        <f t="shared" si="174"/>
        <v>2083.3333333333321</v>
      </c>
      <c r="BE138" s="55"/>
      <c r="BF138" s="55"/>
    </row>
    <row r="139" spans="1:58" x14ac:dyDescent="0.3">
      <c r="A139" s="10" t="s">
        <v>63</v>
      </c>
      <c r="B139" s="11"/>
      <c r="C139" s="11">
        <f>VLOOKUP(A139,'Profit Loss-Amravati-25-26'!$A$13:$B$190,2,0)</f>
        <v>10500</v>
      </c>
      <c r="D139" s="57">
        <f>VLOOKUP(A139,'Profit Loss-Betul-25-26'!$A$9:$B$140,2,0)</f>
        <v>0</v>
      </c>
      <c r="E139" s="57"/>
      <c r="F139" s="65">
        <f t="shared" si="207"/>
        <v>10500</v>
      </c>
      <c r="G139" s="11">
        <f>VLOOKUP(A139,'Profit Loss-Amravati-25-26'!$A$9:$D$190,3,0)</f>
        <v>10500</v>
      </c>
      <c r="H139" s="57">
        <f>VLOOKUP(A139,'Profit Loss-Betul-25-26'!$A$9:$D$140,3,0)</f>
        <v>0</v>
      </c>
      <c r="I139" s="57"/>
      <c r="J139" s="56">
        <f t="shared" si="183"/>
        <v>10500</v>
      </c>
      <c r="K139" s="65">
        <f t="shared" si="150"/>
        <v>0</v>
      </c>
      <c r="L139" s="55">
        <f>VLOOKUP(A139,'Profit Loss-Amravati-25-26'!$A$9:$F$190,5,0)</f>
        <v>10500</v>
      </c>
      <c r="M139" s="55">
        <f>VLOOKUP(A139,'Profit Loss-Betul-25-26'!$A$9:$F$141,5,0)</f>
        <v>0</v>
      </c>
      <c r="N139" s="55"/>
      <c r="O139" s="56">
        <f t="shared" si="184"/>
        <v>10500</v>
      </c>
      <c r="P139" s="65">
        <f t="shared" si="162"/>
        <v>0</v>
      </c>
      <c r="Q139" s="55">
        <f>VLOOKUP(A139,'Profit Loss-Amravati-25-26'!$A$9:$H$190,7,0)</f>
        <v>10500</v>
      </c>
      <c r="R139" s="55">
        <f>VLOOKUP(A139,'Profit Loss-Betul-25-26'!$A$9:$H$141,7,0)</f>
        <v>0</v>
      </c>
      <c r="S139" s="55"/>
      <c r="T139" s="56">
        <f t="shared" si="175"/>
        <v>10500</v>
      </c>
      <c r="U139" s="65">
        <f t="shared" si="176"/>
        <v>0</v>
      </c>
      <c r="V139" s="55">
        <f>VLOOKUP(A139,'Profit Loss-Amravati-25-26'!$A$9:$J$190,9,0)</f>
        <v>10500</v>
      </c>
      <c r="W139" s="55">
        <f>VLOOKUP(A139,'Profit Loss-Betul-25-26'!$A$9:$J$141,9,0)</f>
        <v>0</v>
      </c>
      <c r="X139" s="55"/>
      <c r="Y139" s="56">
        <f t="shared" si="177"/>
        <v>10500</v>
      </c>
      <c r="Z139" s="65">
        <f t="shared" si="178"/>
        <v>0</v>
      </c>
      <c r="AA139" s="55">
        <f>VLOOKUP(A139,'Profit Loss-Amravati-25-26'!$A$9:$L$192,11,0)</f>
        <v>21500</v>
      </c>
      <c r="AB139" s="55">
        <f>VLOOKUP(A139,'Profit Loss-Betul-25-26'!$A$9:$L$141,11,0)</f>
        <v>0</v>
      </c>
      <c r="AC139" s="55"/>
      <c r="AD139" s="56">
        <f t="shared" si="163"/>
        <v>21500</v>
      </c>
      <c r="AE139" s="65">
        <f t="shared" si="164"/>
        <v>11000</v>
      </c>
      <c r="AF139" s="55">
        <f>VLOOKUP(A139,'Profit Loss-Amravati-25-26'!$A$9:$N$192,13,0)</f>
        <v>21500</v>
      </c>
      <c r="AG139" s="55">
        <f>VLOOKUP(A139,'Profit Loss-Betul-25-26'!$A$9:$N$141,13,0)</f>
        <v>0</v>
      </c>
      <c r="AH139" s="55"/>
      <c r="AI139" s="56">
        <f t="shared" si="165"/>
        <v>21500</v>
      </c>
      <c r="AJ139" s="65">
        <f t="shared" si="202"/>
        <v>0</v>
      </c>
      <c r="AK139" s="55">
        <f>VLOOKUP(A139,'Profit Loss-Amravati-25-26'!$A$9:$P$192,15,0)</f>
        <v>21500</v>
      </c>
      <c r="AL139" s="55">
        <f>VLOOKUP(A139,'Profit Loss-Betul-25-26'!$A$9:$P$141,15,0)</f>
        <v>0</v>
      </c>
      <c r="AM139" s="55"/>
      <c r="AN139" s="56">
        <f t="shared" si="203"/>
        <v>21500</v>
      </c>
      <c r="AO139" s="65">
        <f t="shared" si="168"/>
        <v>0</v>
      </c>
      <c r="AP139" s="55">
        <f>VLOOKUP(A139,'Profit Loss-Amravati-25-26'!$A$9:$R$192,17,0)</f>
        <v>21500</v>
      </c>
      <c r="AQ139" s="55">
        <f>VLOOKUP(A139,'Profit Loss-Betul-25-26'!$A$9:$R$141,17,0)</f>
        <v>0</v>
      </c>
      <c r="AR139" s="55"/>
      <c r="AS139" s="56">
        <f t="shared" si="204"/>
        <v>21500</v>
      </c>
      <c r="AT139" s="65">
        <f t="shared" si="170"/>
        <v>0</v>
      </c>
      <c r="AU139" s="55">
        <f>VLOOKUP(A139,'Profit Loss-Amravati-25-26'!$A$9:$T$192,19,0)</f>
        <v>21500</v>
      </c>
      <c r="AV139" s="55">
        <f>VLOOKUP(A139,'Profit Loss-Betul-25-26'!$A$9:$T$141,19,0)</f>
        <v>0</v>
      </c>
      <c r="AW139" s="55"/>
      <c r="AX139" s="56">
        <f t="shared" si="205"/>
        <v>21500</v>
      </c>
      <c r="AY139" s="65">
        <f t="shared" si="172"/>
        <v>0</v>
      </c>
      <c r="AZ139" s="55">
        <f>VLOOKUP(A139,'Profit Loss-Amravati-25-26'!$A$9:$V$192,21,0)</f>
        <v>21500</v>
      </c>
      <c r="BA139" s="55">
        <f>VLOOKUP(A139,'Profit Loss-Betul-25-26'!$A$9:$V$141,21,0)</f>
        <v>0</v>
      </c>
      <c r="BB139" s="55"/>
      <c r="BC139" s="56">
        <f t="shared" si="206"/>
        <v>21500</v>
      </c>
      <c r="BD139" s="65">
        <f t="shared" si="174"/>
        <v>0</v>
      </c>
      <c r="BE139" s="55"/>
      <c r="BF139" s="55"/>
    </row>
    <row r="140" spans="1:58" hidden="1" x14ac:dyDescent="0.3">
      <c r="A140" s="10" t="s">
        <v>65</v>
      </c>
      <c r="B140" s="11"/>
      <c r="C140" s="16">
        <f>VLOOKUP(A140,'Profit Loss-Amravati-25-26'!$A$13:$B$190,2,0)</f>
        <v>0</v>
      </c>
      <c r="D140" s="57">
        <f>VLOOKUP(A140,'Profit Loss-Betul-25-26'!$A$9:$B$140,2,0)</f>
        <v>0</v>
      </c>
      <c r="E140" s="57"/>
      <c r="F140" s="65">
        <f t="shared" si="207"/>
        <v>0</v>
      </c>
      <c r="G140" s="11">
        <f>VLOOKUP(A140,'Profit Loss-Amravati-25-26'!$A$9:$D$190,3,0)</f>
        <v>2500</v>
      </c>
      <c r="H140" s="57">
        <f>VLOOKUP(A140,'Profit Loss-Betul-25-26'!$A$9:$D$140,3,0)</f>
        <v>0</v>
      </c>
      <c r="I140" s="57"/>
      <c r="J140" s="56">
        <f t="shared" si="183"/>
        <v>2500</v>
      </c>
      <c r="K140" s="65">
        <f t="shared" si="150"/>
        <v>2500</v>
      </c>
      <c r="L140" s="55">
        <f>VLOOKUP(A140,'Profit Loss-Amravati-25-26'!$A$9:$F$190,5,0)</f>
        <v>2500</v>
      </c>
      <c r="M140" s="55">
        <f>VLOOKUP(A140,'Profit Loss-Betul-25-26'!$A$9:$F$141,5,0)</f>
        <v>0</v>
      </c>
      <c r="N140" s="55"/>
      <c r="O140" s="56">
        <f t="shared" si="184"/>
        <v>2500</v>
      </c>
      <c r="P140" s="65">
        <f t="shared" si="162"/>
        <v>0</v>
      </c>
      <c r="Q140" s="55">
        <f>VLOOKUP(A140,'Profit Loss-Amravati-25-26'!$A$9:$H$190,7,0)</f>
        <v>2500</v>
      </c>
      <c r="R140" s="55">
        <f>VLOOKUP(A140,'Profit Loss-Betul-25-26'!$A$9:$H$141,7,0)</f>
        <v>0</v>
      </c>
      <c r="S140" s="55"/>
      <c r="T140" s="56">
        <f t="shared" si="175"/>
        <v>2500</v>
      </c>
      <c r="U140" s="65">
        <f t="shared" si="176"/>
        <v>0</v>
      </c>
      <c r="V140" s="55">
        <f>VLOOKUP(A140,'Profit Loss-Amravati-25-26'!$A$9:$J$190,9,0)</f>
        <v>2500</v>
      </c>
      <c r="W140" s="55">
        <f>VLOOKUP(A140,'Profit Loss-Betul-25-26'!$A$9:$J$141,9,0)</f>
        <v>0</v>
      </c>
      <c r="X140" s="55"/>
      <c r="Y140" s="56">
        <f t="shared" si="177"/>
        <v>2500</v>
      </c>
      <c r="Z140" s="65">
        <f t="shared" si="178"/>
        <v>0</v>
      </c>
      <c r="AA140" s="55">
        <f>VLOOKUP(A140,'Profit Loss-Amravati-25-26'!$A$9:$L$192,11,0)</f>
        <v>2500</v>
      </c>
      <c r="AB140" s="55">
        <f>VLOOKUP(A140,'Profit Loss-Betul-25-26'!$A$9:$L$141,11,0)</f>
        <v>0</v>
      </c>
      <c r="AC140" s="55"/>
      <c r="AD140" s="56">
        <f t="shared" si="163"/>
        <v>2500</v>
      </c>
      <c r="AE140" s="65">
        <f t="shared" si="164"/>
        <v>0</v>
      </c>
      <c r="AF140" s="55">
        <f>VLOOKUP(A140,'Profit Loss-Amravati-25-26'!$A$9:$N$192,13,0)</f>
        <v>2500</v>
      </c>
      <c r="AG140" s="55">
        <f>VLOOKUP(A140,'Profit Loss-Betul-25-26'!$A$9:$N$141,13,0)</f>
        <v>0</v>
      </c>
      <c r="AH140" s="55"/>
      <c r="AI140" s="56">
        <f t="shared" si="165"/>
        <v>2500</v>
      </c>
      <c r="AJ140" s="65">
        <f t="shared" si="202"/>
        <v>0</v>
      </c>
      <c r="AK140" s="55">
        <f>VLOOKUP(A140,'Profit Loss-Amravati-25-26'!$A$9:$P$192,15,0)</f>
        <v>2500</v>
      </c>
      <c r="AL140" s="55">
        <f>VLOOKUP(A140,'Profit Loss-Betul-25-26'!$A$9:$P$141,15,0)</f>
        <v>0</v>
      </c>
      <c r="AM140" s="55"/>
      <c r="AN140" s="56">
        <f t="shared" si="203"/>
        <v>2500</v>
      </c>
      <c r="AO140" s="65">
        <f t="shared" si="168"/>
        <v>0</v>
      </c>
      <c r="AP140" s="55">
        <f>VLOOKUP(A140,'Profit Loss-Amravati-25-26'!$A$9:$R$192,17,0)</f>
        <v>2500</v>
      </c>
      <c r="AQ140" s="55">
        <f>VLOOKUP(A140,'Profit Loss-Betul-25-26'!$A$9:$R$141,17,0)</f>
        <v>0</v>
      </c>
      <c r="AR140" s="55"/>
      <c r="AS140" s="56">
        <f t="shared" si="204"/>
        <v>2500</v>
      </c>
      <c r="AT140" s="65">
        <f t="shared" si="170"/>
        <v>0</v>
      </c>
      <c r="AU140" s="55">
        <f>VLOOKUP(A140,'Profit Loss-Amravati-25-26'!$A$9:$T$192,19,0)</f>
        <v>2500</v>
      </c>
      <c r="AV140" s="55">
        <f>VLOOKUP(A140,'Profit Loss-Betul-25-26'!$A$9:$T$141,19,0)</f>
        <v>0</v>
      </c>
      <c r="AW140" s="55"/>
      <c r="AX140" s="56">
        <f t="shared" si="205"/>
        <v>2500</v>
      </c>
      <c r="AY140" s="65">
        <f t="shared" si="172"/>
        <v>0</v>
      </c>
      <c r="AZ140" s="55">
        <f>VLOOKUP(A140,'Profit Loss-Amravati-25-26'!$A$9:$V$192,21,0)</f>
        <v>2500</v>
      </c>
      <c r="BA140" s="55">
        <f>VLOOKUP(A140,'Profit Loss-Betul-25-26'!$A$9:$V$141,21,0)</f>
        <v>0</v>
      </c>
      <c r="BB140" s="55"/>
      <c r="BC140" s="56">
        <f t="shared" si="206"/>
        <v>2500</v>
      </c>
      <c r="BD140" s="65">
        <f t="shared" si="174"/>
        <v>0</v>
      </c>
      <c r="BE140" s="55"/>
      <c r="BF140" s="55"/>
    </row>
    <row r="141" spans="1:58" hidden="1" x14ac:dyDescent="0.3">
      <c r="A141" s="10" t="s">
        <v>66</v>
      </c>
      <c r="B141" s="11"/>
      <c r="C141" s="16"/>
      <c r="D141" s="57"/>
      <c r="E141" s="57"/>
      <c r="F141" s="65">
        <f t="shared" si="207"/>
        <v>0</v>
      </c>
      <c r="G141" s="11"/>
      <c r="H141" s="57"/>
      <c r="I141" s="57"/>
      <c r="J141" s="56">
        <f t="shared" si="183"/>
        <v>0</v>
      </c>
      <c r="K141" s="65">
        <f t="shared" si="150"/>
        <v>0</v>
      </c>
      <c r="L141" s="55"/>
      <c r="M141" s="55"/>
      <c r="N141" s="55"/>
      <c r="O141" s="56">
        <f t="shared" si="184"/>
        <v>0</v>
      </c>
      <c r="P141" s="65">
        <f t="shared" si="162"/>
        <v>0</v>
      </c>
      <c r="Q141" s="55"/>
      <c r="R141" s="55"/>
      <c r="S141" s="55"/>
      <c r="T141" s="56">
        <f t="shared" si="175"/>
        <v>0</v>
      </c>
      <c r="U141" s="65">
        <f t="shared" si="176"/>
        <v>0</v>
      </c>
      <c r="V141" s="55"/>
      <c r="W141" s="55"/>
      <c r="X141" s="55"/>
      <c r="Y141" s="56">
        <f t="shared" si="177"/>
        <v>0</v>
      </c>
      <c r="Z141" s="65">
        <f t="shared" si="178"/>
        <v>0</v>
      </c>
      <c r="AA141" s="55"/>
      <c r="AB141" s="55"/>
      <c r="AC141" s="55"/>
      <c r="AD141" s="56">
        <f t="shared" si="163"/>
        <v>0</v>
      </c>
      <c r="AE141" s="65">
        <f t="shared" si="164"/>
        <v>0</v>
      </c>
      <c r="AF141" s="55"/>
      <c r="AG141" s="55"/>
      <c r="AH141" s="55"/>
      <c r="AI141" s="56">
        <f t="shared" si="165"/>
        <v>0</v>
      </c>
      <c r="AJ141" s="65">
        <f t="shared" si="202"/>
        <v>0</v>
      </c>
      <c r="AK141" s="55"/>
      <c r="AL141" s="55"/>
      <c r="AM141" s="55"/>
      <c r="AN141" s="56">
        <f t="shared" si="203"/>
        <v>0</v>
      </c>
      <c r="AO141" s="65">
        <f t="shared" si="168"/>
        <v>0</v>
      </c>
      <c r="AP141" s="55"/>
      <c r="AQ141" s="55"/>
      <c r="AR141" s="55"/>
      <c r="AS141" s="56">
        <f t="shared" si="204"/>
        <v>0</v>
      </c>
      <c r="AT141" s="65">
        <f t="shared" si="170"/>
        <v>0</v>
      </c>
      <c r="AU141" s="55"/>
      <c r="AV141" s="55"/>
      <c r="AW141" s="55"/>
      <c r="AX141" s="56">
        <f t="shared" si="205"/>
        <v>0</v>
      </c>
      <c r="AY141" s="65">
        <f t="shared" si="172"/>
        <v>0</v>
      </c>
      <c r="AZ141" s="55"/>
      <c r="BA141" s="55"/>
      <c r="BB141" s="55"/>
      <c r="BC141" s="56">
        <f t="shared" si="206"/>
        <v>0</v>
      </c>
      <c r="BD141" s="65">
        <f t="shared" si="174"/>
        <v>0</v>
      </c>
      <c r="BE141" s="55"/>
      <c r="BF141" s="55"/>
    </row>
    <row r="142" spans="1:58" x14ac:dyDescent="0.3">
      <c r="A142" s="10" t="s">
        <v>67</v>
      </c>
      <c r="B142" s="11"/>
      <c r="C142" s="16">
        <f>VLOOKUP(A142,'Profit Loss-Amravati-25-26'!$A$13:$B$190,2,0)</f>
        <v>0</v>
      </c>
      <c r="D142" s="57">
        <f>VLOOKUP(A142,'Profit Loss-Betul-25-26'!$A$9:$B$140,2,0)</f>
        <v>0</v>
      </c>
      <c r="E142" s="57"/>
      <c r="F142" s="65">
        <f t="shared" si="207"/>
        <v>0</v>
      </c>
      <c r="G142" s="11">
        <f>VLOOKUP(A142,'Profit Loss-Amravati-25-26'!$A$9:$D$190,3,0)</f>
        <v>0</v>
      </c>
      <c r="H142" s="57">
        <f>VLOOKUP(A142,'Profit Loss-Betul-25-26'!$A$9:$D$140,3,0)</f>
        <v>0</v>
      </c>
      <c r="I142" s="57"/>
      <c r="J142" s="56">
        <f t="shared" si="183"/>
        <v>0</v>
      </c>
      <c r="K142" s="65">
        <f t="shared" si="150"/>
        <v>0</v>
      </c>
      <c r="L142" s="55">
        <f>VLOOKUP(A142,'Profit Loss-Amravati-25-26'!$A$9:$F$190,5,0)</f>
        <v>94474.5</v>
      </c>
      <c r="M142" s="55">
        <f>VLOOKUP(A142,'Profit Loss-Betul-25-26'!$A$9:$F$141,5,0)</f>
        <v>12117</v>
      </c>
      <c r="N142" s="55"/>
      <c r="O142" s="56">
        <f t="shared" si="184"/>
        <v>106591.5</v>
      </c>
      <c r="P142" s="65">
        <f t="shared" si="162"/>
        <v>106591.5</v>
      </c>
      <c r="Q142" s="55">
        <f>VLOOKUP(A142,'Profit Loss-Amravati-25-26'!$A$9:$H$190,7,0)</f>
        <v>117211.33333333334</v>
      </c>
      <c r="R142" s="55">
        <f>VLOOKUP(A142,'Profit Loss-Betul-25-26'!$A$9:$H$141,7,0)</f>
        <v>12117</v>
      </c>
      <c r="S142" s="55"/>
      <c r="T142" s="56">
        <f t="shared" si="175"/>
        <v>129328.33333333334</v>
      </c>
      <c r="U142" s="65">
        <f t="shared" si="176"/>
        <v>22736.833333333343</v>
      </c>
      <c r="V142" s="55">
        <f>VLOOKUP(A142,'Profit Loss-Amravati-25-26'!$A$9:$J$190,9,0)</f>
        <v>179078.16666666669</v>
      </c>
      <c r="W142" s="55">
        <f>VLOOKUP(A142,'Profit Loss-Betul-25-26'!$A$9:$J$141,9,0)</f>
        <v>12117</v>
      </c>
      <c r="X142" s="55"/>
      <c r="Y142" s="56">
        <f t="shared" si="177"/>
        <v>191195.16666666669</v>
      </c>
      <c r="Z142" s="65">
        <f t="shared" si="178"/>
        <v>61866.833333333343</v>
      </c>
      <c r="AA142" s="55">
        <f>VLOOKUP(A142,'Profit Loss-Amravati-25-26'!$A$9:$L$192,11,0)</f>
        <v>201815</v>
      </c>
      <c r="AB142" s="55">
        <f>VLOOKUP(A142,'Profit Loss-Betul-25-26'!$A$9:$L$141,11,0)</f>
        <v>12117</v>
      </c>
      <c r="AC142" s="55"/>
      <c r="AD142" s="56">
        <f t="shared" si="163"/>
        <v>213932</v>
      </c>
      <c r="AE142" s="65">
        <f t="shared" si="164"/>
        <v>22736.833333333314</v>
      </c>
      <c r="AF142" s="55">
        <f>VLOOKUP(A142,'Profit Loss-Amravati-25-26'!$A$9:$N$192,13,0)</f>
        <v>224551.83333333334</v>
      </c>
      <c r="AG142" s="55">
        <f>VLOOKUP(A142,'Profit Loss-Betul-25-26'!$A$9:$N$141,13,0)</f>
        <v>12117</v>
      </c>
      <c r="AH142" s="55"/>
      <c r="AI142" s="56">
        <f t="shared" si="165"/>
        <v>236668.83333333334</v>
      </c>
      <c r="AJ142" s="65">
        <f t="shared" si="202"/>
        <v>22736.833333333343</v>
      </c>
      <c r="AK142" s="55">
        <f>VLOOKUP(A142,'Profit Loss-Amravati-25-26'!$A$9:$P$192,15,0)</f>
        <v>247288.66666666669</v>
      </c>
      <c r="AL142" s="55">
        <f>VLOOKUP(A142,'Profit Loss-Betul-25-26'!$A$9:$P$141,15,0)</f>
        <v>12117</v>
      </c>
      <c r="AM142" s="55"/>
      <c r="AN142" s="56">
        <f t="shared" si="203"/>
        <v>259405.66666666669</v>
      </c>
      <c r="AO142" s="65">
        <f t="shared" si="168"/>
        <v>22736.833333333343</v>
      </c>
      <c r="AP142" s="55">
        <f>VLOOKUP(A142,'Profit Loss-Amravati-25-26'!$A$9:$R$192,17,0)</f>
        <v>270025.5</v>
      </c>
      <c r="AQ142" s="55">
        <f>VLOOKUP(A142,'Profit Loss-Betul-25-26'!$A$9:$R$141,17,0)</f>
        <v>12117</v>
      </c>
      <c r="AR142" s="55"/>
      <c r="AS142" s="56">
        <f t="shared" si="204"/>
        <v>282142.5</v>
      </c>
      <c r="AT142" s="65">
        <f t="shared" si="170"/>
        <v>22736.833333333314</v>
      </c>
      <c r="AU142" s="55">
        <f>VLOOKUP(A142,'Profit Loss-Amravati-25-26'!$A$9:$T$192,19,0)</f>
        <v>292762.33333333331</v>
      </c>
      <c r="AV142" s="55">
        <f>VLOOKUP(A142,'Profit Loss-Betul-25-26'!$A$9:$T$141,19,0)</f>
        <v>12117</v>
      </c>
      <c r="AW142" s="55"/>
      <c r="AX142" s="56">
        <f t="shared" si="205"/>
        <v>304879.33333333331</v>
      </c>
      <c r="AY142" s="65">
        <f t="shared" si="172"/>
        <v>22736.833333333314</v>
      </c>
      <c r="AZ142" s="55">
        <f>VLOOKUP(A142,'Profit Loss-Amravati-25-26'!$A$9:$V$192,21,0)</f>
        <v>351373.16666666669</v>
      </c>
      <c r="BA142" s="55">
        <f>VLOOKUP(A142,'Profit Loss-Betul-25-26'!$A$9:$V$141,21,0)</f>
        <v>12117</v>
      </c>
      <c r="BB142" s="55"/>
      <c r="BC142" s="56">
        <f t="shared" si="206"/>
        <v>363490.16666666669</v>
      </c>
      <c r="BD142" s="65">
        <f t="shared" si="174"/>
        <v>58610.833333333372</v>
      </c>
      <c r="BE142" s="55"/>
      <c r="BF142" s="55"/>
    </row>
    <row r="143" spans="1:58" x14ac:dyDescent="0.3">
      <c r="A143" s="10" t="s">
        <v>70</v>
      </c>
      <c r="B143" s="11"/>
      <c r="C143" s="16">
        <f>VLOOKUP(A143,'Profit Loss-Amravati-25-26'!$A$13:$B$190,2,0)</f>
        <v>0</v>
      </c>
      <c r="D143" s="57">
        <f>VLOOKUP(A143,'Profit Loss-Betul-25-26'!$A$9:$B$140,2,0)</f>
        <v>0</v>
      </c>
      <c r="E143" s="57"/>
      <c r="F143" s="65">
        <f t="shared" si="207"/>
        <v>0</v>
      </c>
      <c r="G143" s="11">
        <f>VLOOKUP(A143,'Profit Loss-Amravati-25-26'!$A$9:$D$190,3,0)</f>
        <v>0</v>
      </c>
      <c r="H143" s="57">
        <f>VLOOKUP(A143,'Profit Loss-Betul-25-26'!$A$9:$D$140,3,0)</f>
        <v>0</v>
      </c>
      <c r="I143" s="57"/>
      <c r="J143" s="56">
        <f t="shared" si="183"/>
        <v>0</v>
      </c>
      <c r="K143" s="65">
        <f t="shared" si="150"/>
        <v>0</v>
      </c>
      <c r="L143" s="55">
        <f>VLOOKUP(A143,'Profit Loss-Amravati-25-26'!$A$9:$F$190,5,0)</f>
        <v>19689</v>
      </c>
      <c r="M143" s="55">
        <f>VLOOKUP(A143,'Profit Loss-Betul-25-26'!$A$9:$F$141,5,0)</f>
        <v>41376</v>
      </c>
      <c r="N143" s="55"/>
      <c r="O143" s="56">
        <f t="shared" si="184"/>
        <v>61065</v>
      </c>
      <c r="P143" s="65">
        <f t="shared" si="162"/>
        <v>61065</v>
      </c>
      <c r="Q143" s="55">
        <f>VLOOKUP(A143,'Profit Loss-Amravati-25-26'!$A$9:$H$190,7,0)</f>
        <v>26252</v>
      </c>
      <c r="R143" s="55">
        <f>VLOOKUP(A143,'Profit Loss-Betul-25-26'!$A$9:$H$141,7,0)</f>
        <v>41376</v>
      </c>
      <c r="S143" s="55"/>
      <c r="T143" s="56">
        <f t="shared" si="175"/>
        <v>67628</v>
      </c>
      <c r="U143" s="65">
        <f t="shared" si="176"/>
        <v>6563</v>
      </c>
      <c r="V143" s="55">
        <f>VLOOKUP(A143,'Profit Loss-Amravati-25-26'!$A$9:$J$190,9,0)</f>
        <v>32815</v>
      </c>
      <c r="W143" s="55">
        <f>VLOOKUP(A143,'Profit Loss-Betul-25-26'!$A$9:$J$141,9,0)</f>
        <v>41376</v>
      </c>
      <c r="X143" s="55"/>
      <c r="Y143" s="56">
        <f t="shared" si="177"/>
        <v>74191</v>
      </c>
      <c r="Z143" s="65">
        <f t="shared" si="178"/>
        <v>6563</v>
      </c>
      <c r="AA143" s="55">
        <f>VLOOKUP(A143,'Profit Loss-Amravati-25-26'!$A$9:$L$192,11,0)</f>
        <v>39378</v>
      </c>
      <c r="AB143" s="55">
        <f>VLOOKUP(A143,'Profit Loss-Betul-25-26'!$A$9:$L$141,11,0)</f>
        <v>41376</v>
      </c>
      <c r="AC143" s="55"/>
      <c r="AD143" s="56">
        <f t="shared" si="163"/>
        <v>80754</v>
      </c>
      <c r="AE143" s="65">
        <f t="shared" si="164"/>
        <v>6563</v>
      </c>
      <c r="AF143" s="55">
        <f>VLOOKUP(A143,'Profit Loss-Amravati-25-26'!$A$9:$N$192,13,0)</f>
        <v>45941</v>
      </c>
      <c r="AG143" s="55">
        <f>VLOOKUP(A143,'Profit Loss-Betul-25-26'!$A$9:$N$141,13,0)</f>
        <v>104517</v>
      </c>
      <c r="AH143" s="55"/>
      <c r="AI143" s="56">
        <f t="shared" ref="AI143:AI179" si="208">+AF143+AG143-AH143</f>
        <v>150458</v>
      </c>
      <c r="AJ143" s="65">
        <f t="shared" si="202"/>
        <v>69704</v>
      </c>
      <c r="AK143" s="55">
        <f>VLOOKUP(A143,'Profit Loss-Amravati-25-26'!$A$9:$P$192,15,0)</f>
        <v>52504</v>
      </c>
      <c r="AL143" s="55">
        <f>VLOOKUP(A143,'Profit Loss-Betul-25-26'!$A$9:$P$141,15,0)</f>
        <v>104517</v>
      </c>
      <c r="AM143" s="55"/>
      <c r="AN143" s="56">
        <f t="shared" si="203"/>
        <v>157021</v>
      </c>
      <c r="AO143" s="65">
        <f t="shared" ref="AO143:AO179" si="209">+AN143-AI143</f>
        <v>6563</v>
      </c>
      <c r="AP143" s="55">
        <f>VLOOKUP(A143,'Profit Loss-Amravati-25-26'!$A$9:$R$192,17,0)</f>
        <v>59067</v>
      </c>
      <c r="AQ143" s="55">
        <f>VLOOKUP(A143,'Profit Loss-Betul-25-26'!$A$9:$R$141,17,0)</f>
        <v>104517</v>
      </c>
      <c r="AR143" s="55"/>
      <c r="AS143" s="56">
        <f t="shared" si="204"/>
        <v>163584</v>
      </c>
      <c r="AT143" s="65">
        <f t="shared" ref="AT143:AT179" si="210">+AS143-AN143</f>
        <v>6563</v>
      </c>
      <c r="AU143" s="55">
        <f>VLOOKUP(A143,'Profit Loss-Amravati-25-26'!$A$9:$T$192,19,0)</f>
        <v>65630</v>
      </c>
      <c r="AV143" s="55">
        <f>VLOOKUP(A143,'Profit Loss-Betul-25-26'!$A$9:$T$141,19,0)</f>
        <v>104517</v>
      </c>
      <c r="AW143" s="55"/>
      <c r="AX143" s="56">
        <f t="shared" si="205"/>
        <v>170147</v>
      </c>
      <c r="AY143" s="65">
        <f t="shared" ref="AY143:AY179" si="211">+AX143-AS143</f>
        <v>6563</v>
      </c>
      <c r="AZ143" s="55">
        <f>VLOOKUP(A143,'Profit Loss-Amravati-25-26'!$A$9:$V$192,21,0)</f>
        <v>72193</v>
      </c>
      <c r="BA143" s="55">
        <f>VLOOKUP(A143,'Profit Loss-Betul-25-26'!$A$9:$V$141,21,0)</f>
        <v>104517</v>
      </c>
      <c r="BB143" s="55"/>
      <c r="BC143" s="56">
        <f t="shared" si="206"/>
        <v>176710</v>
      </c>
      <c r="BD143" s="65">
        <f t="shared" ref="BD143:BD179" si="212">+BC143-AX143</f>
        <v>6563</v>
      </c>
      <c r="BE143" s="55"/>
      <c r="BF143" s="55"/>
    </row>
    <row r="144" spans="1:58" x14ac:dyDescent="0.3">
      <c r="A144" s="10" t="s">
        <v>71</v>
      </c>
      <c r="B144" s="11"/>
      <c r="C144" s="16">
        <f>VLOOKUP(A144,'Profit Loss-Amravati-25-26'!$A$13:$B$190,2,0)</f>
        <v>0</v>
      </c>
      <c r="D144" s="57">
        <f>VLOOKUP(A144,'Profit Loss-Betul-25-26'!$A$9:$B$140,2,0)</f>
        <v>0</v>
      </c>
      <c r="E144" s="57"/>
      <c r="F144" s="65">
        <f t="shared" si="207"/>
        <v>0</v>
      </c>
      <c r="G144" s="11">
        <f>VLOOKUP(A144,'Profit Loss-Amravati-25-26'!$A$9:$D$190,3,0)</f>
        <v>66675</v>
      </c>
      <c r="H144" s="57">
        <f>VLOOKUP(A144,'Profit Loss-Betul-25-26'!$A$9:$D$140,3,0)</f>
        <v>0</v>
      </c>
      <c r="I144" s="57"/>
      <c r="J144" s="56">
        <f t="shared" si="183"/>
        <v>66675</v>
      </c>
      <c r="K144" s="65">
        <f t="shared" si="150"/>
        <v>66675</v>
      </c>
      <c r="L144" s="55">
        <f>VLOOKUP(A144,'Profit Loss-Amravati-25-26'!$A$9:$F$190,5,0)</f>
        <v>107616</v>
      </c>
      <c r="M144" s="55">
        <f>VLOOKUP(A144,'Profit Loss-Betul-25-26'!$A$9:$F$141,5,0)</f>
        <v>0</v>
      </c>
      <c r="N144" s="55"/>
      <c r="O144" s="56">
        <f t="shared" si="184"/>
        <v>107616</v>
      </c>
      <c r="P144" s="65">
        <f t="shared" si="162"/>
        <v>40941</v>
      </c>
      <c r="Q144" s="55">
        <f>VLOOKUP(A144,'Profit Loss-Amravati-25-26'!$A$9:$H$190,7,0)</f>
        <v>150822.1</v>
      </c>
      <c r="R144" s="55">
        <f>VLOOKUP(A144,'Profit Loss-Betul-25-26'!$A$9:$H$141,7,0)</f>
        <v>4759.8</v>
      </c>
      <c r="S144" s="55"/>
      <c r="T144" s="56">
        <f t="shared" si="175"/>
        <v>155581.9</v>
      </c>
      <c r="U144" s="65">
        <f t="shared" si="176"/>
        <v>47965.899999999994</v>
      </c>
      <c r="V144" s="55">
        <f>VLOOKUP(A144,'Profit Loss-Amravati-25-26'!$A$9:$J$190,9,0)</f>
        <v>221331.08</v>
      </c>
      <c r="W144" s="55">
        <f>VLOOKUP(A144,'Profit Loss-Betul-25-26'!$A$9:$J$141,9,0)</f>
        <v>11577.4</v>
      </c>
      <c r="X144" s="55"/>
      <c r="Y144" s="56">
        <f t="shared" si="177"/>
        <v>232908.47999999998</v>
      </c>
      <c r="Z144" s="65">
        <f t="shared" si="178"/>
        <v>77326.579999999987</v>
      </c>
      <c r="AA144" s="55">
        <f>VLOOKUP(A144,'Profit Loss-Amravati-25-26'!$A$9:$L$192,11,0)</f>
        <v>255531.08</v>
      </c>
      <c r="AB144" s="55">
        <f>VLOOKUP(A144,'Profit Loss-Betul-25-26'!$A$9:$L$141,11,0)</f>
        <v>11577.4</v>
      </c>
      <c r="AC144" s="55"/>
      <c r="AD144" s="56">
        <f t="shared" si="163"/>
        <v>267108.47999999998</v>
      </c>
      <c r="AE144" s="65">
        <f t="shared" si="164"/>
        <v>34200</v>
      </c>
      <c r="AF144" s="55">
        <f>VLOOKUP(A144,'Profit Loss-Amravati-25-26'!$A$9:$N$192,13,0)</f>
        <v>316287.76</v>
      </c>
      <c r="AG144" s="55">
        <f>VLOOKUP(A144,'Profit Loss-Betul-25-26'!$A$9:$N$141,13,0)</f>
        <v>22090.400000000001</v>
      </c>
      <c r="AH144" s="55"/>
      <c r="AI144" s="56">
        <f t="shared" si="208"/>
        <v>338378.16000000003</v>
      </c>
      <c r="AJ144" s="65">
        <f t="shared" si="202"/>
        <v>71269.680000000051</v>
      </c>
      <c r="AK144" s="55">
        <f>VLOOKUP(A144,'Profit Loss-Amravati-25-26'!$A$9:$P$192,15,0)</f>
        <v>405666.32</v>
      </c>
      <c r="AL144" s="55">
        <f>VLOOKUP(A144,'Profit Loss-Betul-25-26'!$A$9:$P$141,15,0)</f>
        <v>21789.96</v>
      </c>
      <c r="AM144" s="55"/>
      <c r="AN144" s="56">
        <f t="shared" si="203"/>
        <v>427456.28</v>
      </c>
      <c r="AO144" s="65">
        <f t="shared" si="209"/>
        <v>89078.12</v>
      </c>
      <c r="AP144" s="55">
        <f>VLOOKUP(A144,'Profit Loss-Amravati-25-26'!$A$9:$R$192,17,0)</f>
        <v>460533.32</v>
      </c>
      <c r="AQ144" s="55">
        <f>VLOOKUP(A144,'Profit Loss-Betul-25-26'!$A$9:$R$141,17,0)</f>
        <v>25482.62</v>
      </c>
      <c r="AR144" s="55"/>
      <c r="AS144" s="56">
        <f t="shared" si="204"/>
        <v>486015.94</v>
      </c>
      <c r="AT144" s="65">
        <f t="shared" si="210"/>
        <v>58559.659999999974</v>
      </c>
      <c r="AU144" s="55">
        <f>VLOOKUP(A144,'Profit Loss-Amravati-25-26'!$A$9:$T$192,19,0)</f>
        <v>499724.5</v>
      </c>
      <c r="AV144" s="55">
        <f>VLOOKUP(A144,'Profit Loss-Betul-25-26'!$A$9:$T$141,19,0)</f>
        <v>29065.4</v>
      </c>
      <c r="AW144" s="55"/>
      <c r="AX144" s="56">
        <f t="shared" si="205"/>
        <v>528789.9</v>
      </c>
      <c r="AY144" s="65">
        <f t="shared" si="211"/>
        <v>42773.960000000021</v>
      </c>
      <c r="AZ144" s="55">
        <f>VLOOKUP(A144,'Profit Loss-Amravati-25-26'!$A$9:$V$192,21,0)</f>
        <v>541666.5</v>
      </c>
      <c r="BA144" s="55">
        <f>VLOOKUP(A144,'Profit Loss-Betul-25-26'!$A$9:$V$141,21,0)</f>
        <v>34324.44</v>
      </c>
      <c r="BB144" s="55"/>
      <c r="BC144" s="56">
        <f t="shared" si="206"/>
        <v>575990.93999999994</v>
      </c>
      <c r="BD144" s="65">
        <f t="shared" si="212"/>
        <v>47201.039999999921</v>
      </c>
      <c r="BE144" s="55"/>
      <c r="BF144" s="55"/>
    </row>
    <row r="145" spans="1:58" x14ac:dyDescent="0.3">
      <c r="A145" t="s">
        <v>100</v>
      </c>
      <c r="B145" s="11"/>
      <c r="C145" s="11"/>
      <c r="D145" s="57"/>
      <c r="E145" s="57"/>
      <c r="F145" s="65"/>
      <c r="G145" s="11"/>
      <c r="H145" s="57"/>
      <c r="I145" s="57"/>
      <c r="J145" s="56"/>
      <c r="K145" s="65">
        <f t="shared" si="150"/>
        <v>0</v>
      </c>
      <c r="L145" s="55"/>
      <c r="M145" s="55"/>
      <c r="N145" s="55"/>
      <c r="O145" s="56"/>
      <c r="P145" s="65">
        <f t="shared" si="162"/>
        <v>0</v>
      </c>
      <c r="Q145" s="55"/>
      <c r="R145" s="55"/>
      <c r="S145" s="55"/>
      <c r="T145" s="56"/>
      <c r="U145" s="65"/>
      <c r="V145" s="55">
        <f>VLOOKUP(A145,'Profit Loss-Amravati-25-26'!$A$9:$J$190,9,0)</f>
        <v>13353.84</v>
      </c>
      <c r="W145" s="55"/>
      <c r="X145" s="55"/>
      <c r="Y145" s="56">
        <f t="shared" si="177"/>
        <v>13353.84</v>
      </c>
      <c r="Z145" s="65">
        <f t="shared" si="178"/>
        <v>13353.84</v>
      </c>
      <c r="AA145" s="55">
        <f>VLOOKUP(A145,'Profit Loss-Amravati-25-26'!$A$9:$L$192,11,0)</f>
        <v>33513.839999999997</v>
      </c>
      <c r="AB145" s="55"/>
      <c r="AC145" s="55"/>
      <c r="AD145" s="56">
        <f t="shared" si="163"/>
        <v>33513.839999999997</v>
      </c>
      <c r="AE145" s="65">
        <f t="shared" si="164"/>
        <v>20159.999999999996</v>
      </c>
      <c r="AF145" s="55">
        <f>VLOOKUP(A145,'Profit Loss-Amravati-25-26'!$A$9:$N$192,13,0)</f>
        <v>33513.839999999997</v>
      </c>
      <c r="AG145" s="55"/>
      <c r="AH145" s="55"/>
      <c r="AI145" s="56">
        <f t="shared" si="208"/>
        <v>33513.839999999997</v>
      </c>
      <c r="AJ145" s="65">
        <f t="shared" si="202"/>
        <v>0</v>
      </c>
      <c r="AK145" s="55">
        <f>VLOOKUP(A145,'Profit Loss-Amravati-25-26'!$A$9:$P$192,15,0)</f>
        <v>33513.839999999997</v>
      </c>
      <c r="AL145" s="55"/>
      <c r="AM145" s="55"/>
      <c r="AN145" s="56">
        <f t="shared" si="203"/>
        <v>33513.839999999997</v>
      </c>
      <c r="AO145" s="65">
        <f t="shared" si="209"/>
        <v>0</v>
      </c>
      <c r="AP145" s="55">
        <f>VLOOKUP(A145,'Profit Loss-Amravati-25-26'!$A$9:$R$192,17,0)</f>
        <v>33513.839999999997</v>
      </c>
      <c r="AQ145" s="55"/>
      <c r="AR145" s="55"/>
      <c r="AS145" s="56">
        <f t="shared" si="204"/>
        <v>33513.839999999997</v>
      </c>
      <c r="AT145" s="65">
        <f t="shared" si="210"/>
        <v>0</v>
      </c>
      <c r="AU145" s="55">
        <f>VLOOKUP(A145,'Profit Loss-Amravati-25-26'!$A$9:$T$192,19,0)</f>
        <v>33513.839999999997</v>
      </c>
      <c r="AV145" s="55"/>
      <c r="AW145" s="55"/>
      <c r="AX145" s="56">
        <f t="shared" si="205"/>
        <v>33513.839999999997</v>
      </c>
      <c r="AY145" s="65">
        <f t="shared" si="211"/>
        <v>0</v>
      </c>
      <c r="AZ145" s="55">
        <f>VLOOKUP(A145,'Profit Loss-Amravati-25-26'!$A$9:$V$192,21,0)</f>
        <v>33513.839999999997</v>
      </c>
      <c r="BA145" s="55"/>
      <c r="BB145" s="55"/>
      <c r="BC145" s="56">
        <f t="shared" si="206"/>
        <v>33513.839999999997</v>
      </c>
      <c r="BD145" s="65">
        <f t="shared" si="212"/>
        <v>0</v>
      </c>
      <c r="BE145" s="55"/>
      <c r="BF145" s="55"/>
    </row>
    <row r="146" spans="1:58" x14ac:dyDescent="0.3">
      <c r="A146" s="10" t="s">
        <v>94</v>
      </c>
      <c r="B146" s="11"/>
      <c r="C146" s="11"/>
      <c r="D146" s="57"/>
      <c r="E146" s="57"/>
      <c r="F146" s="65"/>
      <c r="G146" s="11"/>
      <c r="H146" s="57"/>
      <c r="I146" s="57"/>
      <c r="J146" s="56"/>
      <c r="K146" s="65">
        <f t="shared" si="150"/>
        <v>0</v>
      </c>
      <c r="L146" s="55">
        <f>VLOOKUP(A146,'Profit Loss-Amravati-25-26'!$A$9:$F$190,5,0)</f>
        <v>174.75</v>
      </c>
      <c r="M146" s="55"/>
      <c r="N146" s="55"/>
      <c r="O146" s="56">
        <f t="shared" si="184"/>
        <v>174.75</v>
      </c>
      <c r="P146" s="65">
        <f t="shared" si="162"/>
        <v>174.75</v>
      </c>
      <c r="Q146" s="55">
        <f>VLOOKUP(A146,'Profit Loss-Amravati-25-26'!$A$9:$H$190,7,0)</f>
        <v>233</v>
      </c>
      <c r="R146" s="55"/>
      <c r="S146" s="55"/>
      <c r="T146" s="56">
        <f t="shared" si="175"/>
        <v>233</v>
      </c>
      <c r="U146" s="65">
        <f t="shared" si="176"/>
        <v>58.25</v>
      </c>
      <c r="V146" s="55">
        <f>VLOOKUP(A146,'Profit Loss-Amravati-25-26'!$A$9:$J$190,9,0)</f>
        <v>291.25</v>
      </c>
      <c r="W146" s="55">
        <f>VLOOKUP(A146,'Profit Loss-Betul-25-26'!$A$9:$J$141,9,0)</f>
        <v>0</v>
      </c>
      <c r="X146" s="55"/>
      <c r="Y146" s="56">
        <f t="shared" si="177"/>
        <v>291.25</v>
      </c>
      <c r="Z146" s="65">
        <f t="shared" si="178"/>
        <v>58.25</v>
      </c>
      <c r="AA146" s="55">
        <f>VLOOKUP(A146,'Profit Loss-Amravati-25-26'!$A$9:$L$192,11,0)</f>
        <v>349.5</v>
      </c>
      <c r="AB146" s="55">
        <f>VLOOKUP(A146,'Profit Loss-Betul-25-26'!$A$9:$L$141,11,0)</f>
        <v>0</v>
      </c>
      <c r="AC146" s="55"/>
      <c r="AD146" s="56">
        <f t="shared" si="163"/>
        <v>349.5</v>
      </c>
      <c r="AE146" s="65">
        <f t="shared" si="164"/>
        <v>58.25</v>
      </c>
      <c r="AF146" s="55">
        <f>VLOOKUP(A146,'Profit Loss-Amravati-25-26'!$A$9:$N$192,13,0)</f>
        <v>407.75</v>
      </c>
      <c r="AG146" s="55">
        <f>VLOOKUP(A146,'Profit Loss-Betul-25-26'!$A$9:$N$141,13,0)</f>
        <v>0</v>
      </c>
      <c r="AH146" s="55"/>
      <c r="AI146" s="56">
        <f t="shared" si="208"/>
        <v>407.75</v>
      </c>
      <c r="AJ146" s="65">
        <f t="shared" si="202"/>
        <v>58.25</v>
      </c>
      <c r="AK146" s="55">
        <f>VLOOKUP(A146,'Profit Loss-Amravati-25-26'!$A$9:$P$192,15,0)</f>
        <v>466</v>
      </c>
      <c r="AL146" s="55">
        <f>VLOOKUP(A146,'Profit Loss-Betul-25-26'!$A$9:$P$141,15,0)</f>
        <v>0</v>
      </c>
      <c r="AM146" s="55"/>
      <c r="AN146" s="56">
        <f t="shared" si="203"/>
        <v>466</v>
      </c>
      <c r="AO146" s="65">
        <f t="shared" si="209"/>
        <v>58.25</v>
      </c>
      <c r="AP146" s="55">
        <f>VLOOKUP(A146,'Profit Loss-Amravati-25-26'!$A$9:$R$192,17,0)</f>
        <v>524.25</v>
      </c>
      <c r="AQ146" s="55">
        <f>VLOOKUP(A146,'Profit Loss-Betul-25-26'!$A$9:$R$141,17,0)</f>
        <v>0</v>
      </c>
      <c r="AR146" s="55"/>
      <c r="AS146" s="56">
        <f t="shared" si="204"/>
        <v>524.25</v>
      </c>
      <c r="AT146" s="65">
        <f t="shared" si="210"/>
        <v>58.25</v>
      </c>
      <c r="AU146" s="55">
        <f>VLOOKUP(A146,'Profit Loss-Amravati-25-26'!$A$9:$T$192,19,0)</f>
        <v>582.5</v>
      </c>
      <c r="AV146" s="55">
        <f>VLOOKUP(A146,'Profit Loss-Betul-25-26'!$A$9:$T$141,19,0)</f>
        <v>0</v>
      </c>
      <c r="AW146" s="55"/>
      <c r="AX146" s="56">
        <f t="shared" si="205"/>
        <v>582.5</v>
      </c>
      <c r="AY146" s="65">
        <f t="shared" si="211"/>
        <v>58.25</v>
      </c>
      <c r="AZ146" s="55">
        <f>VLOOKUP(A146,'Profit Loss-Amravati-25-26'!$A$9:$V$192,21,0)</f>
        <v>640.75</v>
      </c>
      <c r="BA146" s="55">
        <f>VLOOKUP(A146,'Profit Loss-Betul-25-26'!$A$9:$V$141,21,0)</f>
        <v>0</v>
      </c>
      <c r="BB146" s="55"/>
      <c r="BC146" s="56">
        <f t="shared" si="206"/>
        <v>640.75</v>
      </c>
      <c r="BD146" s="65">
        <f t="shared" si="212"/>
        <v>58.25</v>
      </c>
      <c r="BE146" s="55"/>
      <c r="BF146" s="55"/>
    </row>
    <row r="147" spans="1:58" x14ac:dyDescent="0.3">
      <c r="A147" s="10" t="s">
        <v>90</v>
      </c>
      <c r="B147" s="11"/>
      <c r="C147" s="11">
        <f>VLOOKUP(A147,'Profit Loss-Amravati-25-26'!$A$13:$B$190,2,0)</f>
        <v>27088</v>
      </c>
      <c r="D147" s="57">
        <f>VLOOKUP(A147,'Profit Loss-Betul-25-26'!$A$9:$B$140,2,0)</f>
        <v>9860</v>
      </c>
      <c r="E147" s="57"/>
      <c r="F147" s="65">
        <f>+B147+C147+D147</f>
        <v>36948</v>
      </c>
      <c r="G147" s="11">
        <f>VLOOKUP(A147,'Profit Loss-Amravati-25-26'!$A$9:$D$190,3,0)</f>
        <v>85273</v>
      </c>
      <c r="H147" s="57">
        <f>VLOOKUP(A147,'Profit Loss-Betul-25-26'!$A$9:$D$140,3,0)</f>
        <v>36466.69</v>
      </c>
      <c r="I147" s="57"/>
      <c r="J147" s="56">
        <f t="shared" si="183"/>
        <v>121739.69</v>
      </c>
      <c r="K147" s="65">
        <f t="shared" si="150"/>
        <v>84791.69</v>
      </c>
      <c r="L147" s="55">
        <f>VLOOKUP(A147,'Profit Loss-Amravati-25-26'!$A$9:$F$190,5,0)</f>
        <v>466962.75</v>
      </c>
      <c r="M147" s="55">
        <f>VLOOKUP(A147,'Profit Loss-Betul-25-26'!$A$9:$F$141,5,0)</f>
        <v>36466.69</v>
      </c>
      <c r="N147" s="55"/>
      <c r="O147" s="56">
        <f t="shared" si="184"/>
        <v>503429.44</v>
      </c>
      <c r="P147" s="65">
        <f t="shared" ref="P147:P179" si="213">+O147-J147</f>
        <v>381689.75</v>
      </c>
      <c r="Q147" s="55">
        <f>VLOOKUP(A147,'Profit Loss-Amravati-25-26'!$A$9:$H$190,7,0)</f>
        <v>511860.68666666665</v>
      </c>
      <c r="R147" s="55">
        <f>VLOOKUP(A147,'Profit Loss-Betul-25-26'!$A$9:$H$141,7,0)</f>
        <v>41609.69</v>
      </c>
      <c r="S147" s="55"/>
      <c r="T147" s="56">
        <f t="shared" si="175"/>
        <v>553470.37666666671</v>
      </c>
      <c r="U147" s="65">
        <f t="shared" si="176"/>
        <v>50040.936666666705</v>
      </c>
      <c r="V147" s="55">
        <f>VLOOKUP(A147,'Profit Loss-Amravati-25-26'!$A$9:$J$190,9,0)</f>
        <v>657547.12333333329</v>
      </c>
      <c r="W147" s="55">
        <f>VLOOKUP(A147,'Profit Loss-Betul-25-26'!$A$9:$J$141,9,0)</f>
        <v>72873.789999999994</v>
      </c>
      <c r="X147" s="55"/>
      <c r="Y147" s="56">
        <f t="shared" si="177"/>
        <v>730420.91333333333</v>
      </c>
      <c r="Z147" s="65">
        <f t="shared" si="178"/>
        <v>176950.53666666662</v>
      </c>
      <c r="AA147" s="55">
        <f>VLOOKUP(A147,'Profit Loss-Amravati-25-26'!$A$9:$L$192,11,0)</f>
        <v>721923.86</v>
      </c>
      <c r="AB147" s="55">
        <f>VLOOKUP(A147,'Profit Loss-Betul-25-26'!$A$9:$L$141,11,0)</f>
        <v>72873.789999999994</v>
      </c>
      <c r="AC147" s="55"/>
      <c r="AD147" s="56">
        <f t="shared" si="163"/>
        <v>794797.65</v>
      </c>
      <c r="AE147" s="65">
        <f t="shared" si="164"/>
        <v>64376.736666666693</v>
      </c>
      <c r="AF147" s="55">
        <f>VLOOKUP(A147,'Profit Loss-Amravati-25-26'!$A$9:$N$192,13,0)</f>
        <v>866323.77666666661</v>
      </c>
      <c r="AG147" s="55">
        <f>VLOOKUP(A147,'Profit Loss-Betul-25-26'!$A$9:$N$141,13,0)</f>
        <v>85306.79</v>
      </c>
      <c r="AH147" s="55"/>
      <c r="AI147" s="56">
        <f t="shared" si="208"/>
        <v>951630.56666666665</v>
      </c>
      <c r="AJ147" s="65">
        <f t="shared" si="202"/>
        <v>156832.91666666663</v>
      </c>
      <c r="AK147" s="55">
        <f>VLOOKUP(A147,'Profit Loss-Amravati-25-26'!$A$9:$P$192,15,0)</f>
        <v>866323.69333333336</v>
      </c>
      <c r="AL147" s="55">
        <f>VLOOKUP(A147,'Profit Loss-Betul-25-26'!$A$9:$P$141,15,0)</f>
        <v>85306.79</v>
      </c>
      <c r="AM147" s="55"/>
      <c r="AN147" s="56">
        <f t="shared" si="203"/>
        <v>951630.4833333334</v>
      </c>
      <c r="AO147" s="44">
        <f t="shared" si="209"/>
        <v>-8.3333333255723119E-2</v>
      </c>
      <c r="AP147" s="55">
        <f>VLOOKUP(A147,'Profit Loss-Amravati-25-26'!$A$9:$R$192,17,0)</f>
        <v>884595.79</v>
      </c>
      <c r="AQ147" s="55">
        <f>VLOOKUP(A147,'Profit Loss-Betul-25-26'!$A$9:$R$141,17,0)</f>
        <v>85306.79</v>
      </c>
      <c r="AR147" s="55"/>
      <c r="AS147" s="56">
        <f t="shared" si="204"/>
        <v>969902.58000000007</v>
      </c>
      <c r="AT147" s="44">
        <f t="shared" si="210"/>
        <v>18272.096666666679</v>
      </c>
      <c r="AU147" s="55">
        <f>VLOOKUP(A147,'Profit Loss-Amravati-25-26'!$A$9:$T$192,19,0)</f>
        <v>984859.94666666666</v>
      </c>
      <c r="AV147" s="55">
        <f>VLOOKUP(A147,'Profit Loss-Betul-25-26'!$A$9:$T$141,19,0)</f>
        <v>143251.89000000001</v>
      </c>
      <c r="AW147" s="55"/>
      <c r="AX147" s="56">
        <f t="shared" si="205"/>
        <v>1128111.8366666667</v>
      </c>
      <c r="AY147" s="44">
        <f t="shared" si="211"/>
        <v>158209.2566666666</v>
      </c>
      <c r="AZ147" s="55">
        <f>VLOOKUP(A147,'Profit Loss-Amravati-25-26'!$A$9:$V$192,21,0)</f>
        <v>984859.8633333334</v>
      </c>
      <c r="BA147" s="55">
        <f>VLOOKUP(A147,'Profit Loss-Betul-25-26'!$A$9:$V$141,21,0)</f>
        <v>171571.89</v>
      </c>
      <c r="BB147" s="55"/>
      <c r="BC147" s="56">
        <f t="shared" si="206"/>
        <v>1156431.7533333334</v>
      </c>
      <c r="BD147" s="44">
        <f t="shared" si="212"/>
        <v>28319.916666666744</v>
      </c>
      <c r="BE147" s="55"/>
      <c r="BF147" s="55"/>
    </row>
    <row r="148" spans="1:58" x14ac:dyDescent="0.3">
      <c r="A148" s="10" t="s">
        <v>91</v>
      </c>
      <c r="B148" s="11"/>
      <c r="C148" s="11">
        <f>VLOOKUP(A148,'Profit Loss-Amravati-25-26'!$A$13:$B$190,2,0)</f>
        <v>1800</v>
      </c>
      <c r="D148" s="57">
        <f>VLOOKUP(A148,'Profit Loss-Betul-25-26'!$A$9:$B$140,2,0)</f>
        <v>0</v>
      </c>
      <c r="E148" s="57"/>
      <c r="F148" s="65">
        <f>+B148+C148+D148</f>
        <v>1800</v>
      </c>
      <c r="G148" s="11">
        <f>VLOOKUP(A148,'Profit Loss-Amravati-25-26'!$A$9:$D$190,3,0)</f>
        <v>520307.44</v>
      </c>
      <c r="H148" s="57">
        <f>VLOOKUP(A148,'Profit Loss-Betul-25-26'!$A$9:$D$140,3,0)</f>
        <v>0</v>
      </c>
      <c r="I148" s="57"/>
      <c r="J148" s="56">
        <f t="shared" si="183"/>
        <v>520307.44</v>
      </c>
      <c r="K148" s="65">
        <f t="shared" si="150"/>
        <v>518507.44</v>
      </c>
      <c r="L148" s="55">
        <f>VLOOKUP(A148,'Profit Loss-Amravati-25-26'!$A$9:$F$190,5,0)</f>
        <v>1251323.3500000001</v>
      </c>
      <c r="M148" s="55">
        <f>VLOOKUP(A148,'Profit Loss-Betul-25-26'!$A$9:$F$141,5,0)</f>
        <v>0</v>
      </c>
      <c r="N148" s="55"/>
      <c r="O148" s="56">
        <f t="shared" si="184"/>
        <v>1251323.3500000001</v>
      </c>
      <c r="P148" s="65">
        <f t="shared" si="213"/>
        <v>731015.91000000015</v>
      </c>
      <c r="Q148" s="55">
        <f>VLOOKUP(A148,'Profit Loss-Amravati-25-26'!$A$9:$H$190,7,0)</f>
        <v>1452013.29</v>
      </c>
      <c r="R148" s="55">
        <f>VLOOKUP(A148,'Profit Loss-Betul-25-26'!$A$9:$H$141,7,0)</f>
        <v>8800</v>
      </c>
      <c r="S148" s="55"/>
      <c r="T148" s="56">
        <f t="shared" si="175"/>
        <v>1460813.29</v>
      </c>
      <c r="U148" s="65">
        <f t="shared" si="176"/>
        <v>209489.93999999994</v>
      </c>
      <c r="V148" s="55">
        <f>VLOOKUP(A148,'Profit Loss-Amravati-25-26'!$A$9:$J$190,9,0)</f>
        <v>1821309.68</v>
      </c>
      <c r="W148" s="55">
        <f>VLOOKUP(A148,'Profit Loss-Betul-25-26'!$A$9:$J$141,9,0)</f>
        <v>8800</v>
      </c>
      <c r="X148" s="55"/>
      <c r="Y148" s="56">
        <f t="shared" si="177"/>
        <v>1830109.68</v>
      </c>
      <c r="Z148" s="65">
        <f t="shared" si="178"/>
        <v>369296.3899999999</v>
      </c>
      <c r="AA148" s="55">
        <f>VLOOKUP(A148,'Profit Loss-Amravati-25-26'!$A$9:$L$192,11,0)</f>
        <v>2047322.48</v>
      </c>
      <c r="AB148" s="55">
        <f>VLOOKUP(A148,'Profit Loss-Betul-25-26'!$A$9:$L$141,11,0)</f>
        <v>18200</v>
      </c>
      <c r="AC148" s="55"/>
      <c r="AD148" s="56">
        <f t="shared" ref="AD148:AD179" si="214">+AA148+AB148</f>
        <v>2065522.48</v>
      </c>
      <c r="AE148" s="65">
        <f t="shared" ref="AE148:AE179" si="215">+AD148-Y148</f>
        <v>235412.80000000005</v>
      </c>
      <c r="AF148" s="55">
        <f>VLOOKUP(A148,'Profit Loss-Amravati-25-26'!$A$9:$N$192,13,0)</f>
        <v>2977190.48</v>
      </c>
      <c r="AG148" s="55">
        <f>VLOOKUP(A148,'Profit Loss-Betul-25-26'!$A$9:$N$141,13,0)</f>
        <v>18200</v>
      </c>
      <c r="AH148" s="55"/>
      <c r="AI148" s="56">
        <f t="shared" si="208"/>
        <v>2995390.48</v>
      </c>
      <c r="AJ148" s="65">
        <f t="shared" si="202"/>
        <v>929868</v>
      </c>
      <c r="AK148" s="55">
        <f>VLOOKUP(A148,'Profit Loss-Amravati-25-26'!$A$9:$P$192,15,0)</f>
        <v>3193286.48</v>
      </c>
      <c r="AL148" s="55">
        <f>VLOOKUP(A148,'Profit Loss-Betul-25-26'!$A$9:$P$141,15,0)</f>
        <v>18200</v>
      </c>
      <c r="AM148" s="55"/>
      <c r="AN148" s="56">
        <f t="shared" si="203"/>
        <v>3211486.48</v>
      </c>
      <c r="AO148" s="65">
        <f t="shared" si="209"/>
        <v>216096</v>
      </c>
      <c r="AP148" s="55">
        <f>VLOOKUP(A148,'Profit Loss-Amravati-25-26'!$A$9:$R$192,17,0)</f>
        <v>3421098.68</v>
      </c>
      <c r="AQ148" s="55">
        <f>VLOOKUP(A148,'Profit Loss-Betul-25-26'!$A$9:$R$141,17,0)</f>
        <v>22600</v>
      </c>
      <c r="AR148" s="55"/>
      <c r="AS148" s="56">
        <f t="shared" si="204"/>
        <v>3443698.68</v>
      </c>
      <c r="AT148" s="65">
        <f t="shared" si="210"/>
        <v>232212.20000000019</v>
      </c>
      <c r="AU148" s="55">
        <f>VLOOKUP(A148,'Profit Loss-Amravati-25-26'!$A$9:$T$192,19,0)</f>
        <v>3910982.49</v>
      </c>
      <c r="AV148" s="55">
        <f>VLOOKUP(A148,'Profit Loss-Betul-25-26'!$A$9:$T$141,19,0)</f>
        <v>47600</v>
      </c>
      <c r="AW148" s="55"/>
      <c r="AX148" s="56">
        <f t="shared" si="205"/>
        <v>3958582.49</v>
      </c>
      <c r="AY148" s="65">
        <f t="shared" si="211"/>
        <v>514883.81000000006</v>
      </c>
      <c r="AZ148" s="55">
        <f>VLOOKUP(A148,'Profit Loss-Amravati-25-26'!$A$9:$V$192,21,0)</f>
        <v>4187805.09</v>
      </c>
      <c r="BA148" s="55">
        <f>VLOOKUP(A148,'Profit Loss-Betul-25-26'!$A$9:$V$141,21,0)</f>
        <v>52000</v>
      </c>
      <c r="BB148" s="55"/>
      <c r="BC148" s="56">
        <f t="shared" si="206"/>
        <v>4239805.09</v>
      </c>
      <c r="BD148" s="65">
        <f t="shared" si="212"/>
        <v>281222.59999999963</v>
      </c>
      <c r="BE148" s="55"/>
      <c r="BF148" s="55"/>
    </row>
    <row r="149" spans="1:58" x14ac:dyDescent="0.3">
      <c r="A149" s="10" t="s">
        <v>92</v>
      </c>
      <c r="B149" s="11"/>
      <c r="C149" s="11">
        <f>VLOOKUP(A149,'Profit Loss-Amravati-25-26'!$A$13:$B$190,2,0)</f>
        <v>0</v>
      </c>
      <c r="D149" s="57">
        <f>VLOOKUP(A149,'Profit Loss-Betul-25-26'!$A$9:$B$140,2,0)</f>
        <v>0</v>
      </c>
      <c r="E149" s="57"/>
      <c r="F149" s="65">
        <f>+B149+C149+D149</f>
        <v>0</v>
      </c>
      <c r="G149" s="11">
        <f>VLOOKUP(A149,'Profit Loss-Amravati-25-26'!$A$9:$D$190,3,0)</f>
        <v>13094</v>
      </c>
      <c r="H149" s="57">
        <f>VLOOKUP(A149,'Profit Loss-Betul-25-26'!$A$9:$D$140,3,0)</f>
        <v>0</v>
      </c>
      <c r="I149" s="57"/>
      <c r="J149" s="56">
        <f t="shared" si="183"/>
        <v>13094</v>
      </c>
      <c r="K149" s="65">
        <f t="shared" si="150"/>
        <v>13094</v>
      </c>
      <c r="L149" s="55">
        <f>VLOOKUP(A149,'Profit Loss-Amravati-25-26'!$A$9:$F$190,5,0)</f>
        <v>11243.8</v>
      </c>
      <c r="M149" s="55">
        <f>VLOOKUP(A149,'Profit Loss-Betul-25-26'!$A$9:$F$141,5,0)</f>
        <v>93670</v>
      </c>
      <c r="N149" s="55"/>
      <c r="O149" s="56">
        <f t="shared" si="184"/>
        <v>104913.8</v>
      </c>
      <c r="P149" s="65">
        <f t="shared" si="213"/>
        <v>91819.8</v>
      </c>
      <c r="Q149" s="55">
        <f>VLOOKUP(A149,'Profit Loss-Amravati-25-26'!$A$9:$H$190,7,0)</f>
        <v>12323.066666666666</v>
      </c>
      <c r="R149" s="55">
        <f>VLOOKUP(A149,'Profit Loss-Betul-25-26'!$A$9:$H$141,7,0)</f>
        <v>93670</v>
      </c>
      <c r="S149" s="55"/>
      <c r="T149" s="56">
        <f t="shared" si="175"/>
        <v>105993.06666666667</v>
      </c>
      <c r="U149" s="65">
        <f t="shared" si="176"/>
        <v>1079.2666666666628</v>
      </c>
      <c r="V149" s="55">
        <f>VLOOKUP(A149,'Profit Loss-Amravati-25-26'!$A$9:$J$190,9,0)</f>
        <v>14919.333333333332</v>
      </c>
      <c r="W149" s="55">
        <f>VLOOKUP(A149,'Profit Loss-Betul-25-26'!$A$9:$J$141,9,0)</f>
        <v>93670</v>
      </c>
      <c r="X149" s="55"/>
      <c r="Y149" s="56">
        <f t="shared" si="177"/>
        <v>108589.33333333333</v>
      </c>
      <c r="Z149" s="65">
        <f t="shared" si="178"/>
        <v>2596.2666666666628</v>
      </c>
      <c r="AA149" s="55">
        <f>VLOOKUP(A149,'Profit Loss-Amravati-25-26'!$A$9:$L$192,11,0)</f>
        <v>16390.599999999999</v>
      </c>
      <c r="AB149" s="55">
        <f>VLOOKUP(A149,'Profit Loss-Betul-25-26'!$A$9:$L$141,11,0)</f>
        <v>93670</v>
      </c>
      <c r="AC149" s="55"/>
      <c r="AD149" s="56">
        <f t="shared" si="214"/>
        <v>110060.6</v>
      </c>
      <c r="AE149" s="65">
        <f t="shared" si="215"/>
        <v>1471.2666666666773</v>
      </c>
      <c r="AF149" s="55">
        <f>VLOOKUP(A149,'Profit Loss-Amravati-25-26'!$A$9:$N$192,13,0)</f>
        <v>34595.866666666669</v>
      </c>
      <c r="AG149" s="55">
        <f>VLOOKUP(A149,'Profit Loss-Betul-25-26'!$A$9:$N$141,13,0)</f>
        <v>122670</v>
      </c>
      <c r="AH149" s="55"/>
      <c r="AI149" s="56">
        <f t="shared" si="208"/>
        <v>157265.86666666667</v>
      </c>
      <c r="AJ149" s="65">
        <f t="shared" si="202"/>
        <v>47205.266666666663</v>
      </c>
      <c r="AK149" s="55">
        <f>VLOOKUP(A149,'Profit Loss-Amravati-25-26'!$A$9:$P$192,15,0)</f>
        <v>80357.133333333331</v>
      </c>
      <c r="AL149" s="55">
        <f>VLOOKUP(A149,'Profit Loss-Betul-25-26'!$A$9:$P$141,15,0)</f>
        <v>122670</v>
      </c>
      <c r="AM149" s="55"/>
      <c r="AN149" s="56">
        <f t="shared" si="203"/>
        <v>203027.13333333333</v>
      </c>
      <c r="AO149" s="65">
        <f t="shared" si="209"/>
        <v>45761.266666666663</v>
      </c>
      <c r="AP149" s="55">
        <f>VLOOKUP(A149,'Profit Loss-Amravati-25-26'!$A$9:$R$192,17,0)</f>
        <v>81812.66</v>
      </c>
      <c r="AQ149" s="55">
        <f>VLOOKUP(A149,'Profit Loss-Betul-25-26'!$A$9:$R$141,17,0)</f>
        <v>122670</v>
      </c>
      <c r="AR149" s="55"/>
      <c r="AS149" s="56">
        <f t="shared" si="204"/>
        <v>204482.66</v>
      </c>
      <c r="AT149" s="65">
        <f t="shared" si="210"/>
        <v>1455.5266666666721</v>
      </c>
      <c r="AU149" s="55">
        <f>VLOOKUP(A149,'Profit Loss-Amravati-25-26'!$A$9:$T$192,19,0)</f>
        <v>81665.926666666666</v>
      </c>
      <c r="AV149" s="55">
        <f>VLOOKUP(A149,'Profit Loss-Betul-25-26'!$A$9:$T$141,19,0)</f>
        <v>122670</v>
      </c>
      <c r="AW149" s="55"/>
      <c r="AX149" s="56">
        <f t="shared" si="205"/>
        <v>204335.92666666667</v>
      </c>
      <c r="AY149" s="65">
        <f t="shared" si="211"/>
        <v>-146.73333333333721</v>
      </c>
      <c r="AZ149" s="55">
        <f>VLOOKUP(A149,'Profit Loss-Amravati-25-26'!$A$9:$V$192,21,0)</f>
        <v>81666.193333333344</v>
      </c>
      <c r="BA149" s="55">
        <f>VLOOKUP(A149,'Profit Loss-Betul-25-26'!$A$9:$V$141,21,0)</f>
        <v>122670</v>
      </c>
      <c r="BB149" s="55"/>
      <c r="BC149" s="56">
        <f t="shared" si="206"/>
        <v>204336.19333333336</v>
      </c>
      <c r="BD149" s="65">
        <f t="shared" si="212"/>
        <v>0.26666666669188999</v>
      </c>
      <c r="BE149" s="55"/>
      <c r="BF149" s="55"/>
    </row>
    <row r="150" spans="1:58" x14ac:dyDescent="0.3">
      <c r="A150" t="s">
        <v>311</v>
      </c>
      <c r="B150" s="11"/>
      <c r="C150" s="11">
        <f>VLOOKUP(A150,'Profit Loss-Amravati-25-26'!$A$13:$B$190,2,0)</f>
        <v>22000</v>
      </c>
      <c r="D150" s="57"/>
      <c r="E150" s="57"/>
      <c r="F150" s="65">
        <v>22000</v>
      </c>
      <c r="G150" s="11">
        <v>44000</v>
      </c>
      <c r="H150" s="57">
        <v>0</v>
      </c>
      <c r="I150" s="57"/>
      <c r="J150" s="56">
        <v>44000</v>
      </c>
      <c r="K150" s="65">
        <f t="shared" si="150"/>
        <v>22000</v>
      </c>
      <c r="L150" s="55">
        <v>66000</v>
      </c>
      <c r="M150" s="55">
        <v>0</v>
      </c>
      <c r="N150" s="55"/>
      <c r="O150" s="56">
        <f t="shared" si="184"/>
        <v>66000</v>
      </c>
      <c r="P150" s="65">
        <f t="shared" si="213"/>
        <v>22000</v>
      </c>
      <c r="Q150" s="55">
        <f>VLOOKUP(A150,'Profit Loss-Amravati-25-26'!$A$9:$H$190,7,0)</f>
        <v>88000</v>
      </c>
      <c r="R150" s="55">
        <v>0</v>
      </c>
      <c r="S150" s="55"/>
      <c r="T150" s="56">
        <f t="shared" ref="T150:T179" si="216">SUM(Q150:S150)</f>
        <v>88000</v>
      </c>
      <c r="U150" s="65">
        <f t="shared" ref="U150:U179" si="217">+T150-O150</f>
        <v>22000</v>
      </c>
      <c r="V150" s="55">
        <f>VLOOKUP(A150,'Profit Loss-Amravati-25-26'!$A$9:$J$190,9,0)</f>
        <v>110000</v>
      </c>
      <c r="W150" s="55"/>
      <c r="X150" s="55"/>
      <c r="Y150" s="56">
        <f t="shared" ref="Y150:Y152" si="218">SUM(V150:X150)</f>
        <v>110000</v>
      </c>
      <c r="Z150" s="65">
        <f t="shared" ref="Z150:Z152" si="219">+Y150-T150</f>
        <v>22000</v>
      </c>
      <c r="AA150" s="55">
        <f>VLOOKUP(A150,'Profit Loss-Amravati-25-26'!$A$9:$L$192,11,0)</f>
        <v>132000</v>
      </c>
      <c r="AB150" s="55"/>
      <c r="AC150" s="55"/>
      <c r="AD150" s="56">
        <f t="shared" si="214"/>
        <v>132000</v>
      </c>
      <c r="AE150" s="65">
        <f t="shared" si="215"/>
        <v>22000</v>
      </c>
      <c r="AF150" s="55">
        <f>VLOOKUP(A150,'Profit Loss-Amravati-25-26'!$A$9:$N$192,13,0)</f>
        <v>154000</v>
      </c>
      <c r="AG150" s="55"/>
      <c r="AH150" s="55"/>
      <c r="AI150" s="56">
        <f t="shared" si="208"/>
        <v>154000</v>
      </c>
      <c r="AJ150" s="65">
        <f t="shared" si="202"/>
        <v>22000</v>
      </c>
      <c r="AK150" s="55">
        <f>VLOOKUP(A150,'Profit Loss-Amravati-25-26'!$A$9:$P$192,15,0)</f>
        <v>176000</v>
      </c>
      <c r="AL150" s="55"/>
      <c r="AM150" s="55"/>
      <c r="AN150" s="56">
        <f t="shared" si="203"/>
        <v>176000</v>
      </c>
      <c r="AO150" s="65">
        <f t="shared" si="209"/>
        <v>22000</v>
      </c>
      <c r="AP150" s="55">
        <f>VLOOKUP(A150,'Profit Loss-Amravati-25-26'!$A$9:$R$192,17,0)</f>
        <v>198000</v>
      </c>
      <c r="AQ150" s="55"/>
      <c r="AR150" s="55"/>
      <c r="AS150" s="56">
        <f t="shared" si="204"/>
        <v>198000</v>
      </c>
      <c r="AT150" s="65">
        <f t="shared" si="210"/>
        <v>22000</v>
      </c>
      <c r="AU150" s="55">
        <f>VLOOKUP(A150,'Profit Loss-Amravati-25-26'!$A$9:$T$192,19,0)</f>
        <v>220000</v>
      </c>
      <c r="AV150" s="55"/>
      <c r="AW150" s="55"/>
      <c r="AX150" s="56">
        <f t="shared" si="205"/>
        <v>220000</v>
      </c>
      <c r="AY150" s="65">
        <f t="shared" si="211"/>
        <v>22000</v>
      </c>
      <c r="AZ150" s="55">
        <f>VLOOKUP(A150,'Profit Loss-Amravati-25-26'!$A$9:$V$192,21,0)</f>
        <v>220000</v>
      </c>
      <c r="BA150" s="55"/>
      <c r="BB150" s="55"/>
      <c r="BC150" s="56">
        <f t="shared" si="206"/>
        <v>220000</v>
      </c>
      <c r="BD150" s="65">
        <f t="shared" si="212"/>
        <v>0</v>
      </c>
      <c r="BE150" s="55"/>
      <c r="BF150" s="55"/>
    </row>
    <row r="151" spans="1:58" x14ac:dyDescent="0.3">
      <c r="A151" s="10" t="s">
        <v>97</v>
      </c>
      <c r="B151" s="11"/>
      <c r="C151" s="11">
        <f>VLOOKUP(A151,'Profit Loss-Amravati-25-26'!$A$13:$B$190,2,0)</f>
        <v>13000</v>
      </c>
      <c r="D151" s="57">
        <f>VLOOKUP(A151,'Profit Loss-Betul-25-26'!$A$9:$B$140,2,0)</f>
        <v>0</v>
      </c>
      <c r="E151" s="57"/>
      <c r="F151" s="65">
        <f>+B151+C151+D151</f>
        <v>13000</v>
      </c>
      <c r="G151" s="11">
        <f>VLOOKUP(A151,'Profit Loss-Amravati-25-26'!$A$9:$D$190,3,0)</f>
        <v>26300</v>
      </c>
      <c r="H151" s="57">
        <f>VLOOKUP(A151,'Profit Loss-Betul-25-26'!$A$9:$D$140,3,0)</f>
        <v>0</v>
      </c>
      <c r="I151" s="57"/>
      <c r="J151" s="56">
        <f t="shared" si="183"/>
        <v>26300</v>
      </c>
      <c r="K151" s="65">
        <f t="shared" si="150"/>
        <v>13300</v>
      </c>
      <c r="L151" s="55">
        <f>VLOOKUP(A151,'Profit Loss-Amravati-25-26'!$A$9:$F$190,5,0)</f>
        <v>36670.400000000001</v>
      </c>
      <c r="M151" s="55">
        <f>VLOOKUP(A151,'Profit Loss-Betul-25-26'!$A$9:$F$141,5,0)</f>
        <v>0</v>
      </c>
      <c r="N151" s="55"/>
      <c r="O151" s="56">
        <f t="shared" si="184"/>
        <v>36670.400000000001</v>
      </c>
      <c r="P151" s="65">
        <f t="shared" si="213"/>
        <v>10370.400000000001</v>
      </c>
      <c r="Q151" s="55">
        <f>VLOOKUP(A151,'Profit Loss-Amravati-25-26'!$A$9:$H$190,7,0)</f>
        <v>36670.400000000001</v>
      </c>
      <c r="R151" s="55">
        <f>VLOOKUP(A151,'Profit Loss-Betul-25-26'!$A$9:$H$141,7,0)</f>
        <v>2820</v>
      </c>
      <c r="S151" s="55"/>
      <c r="T151" s="56">
        <f t="shared" si="216"/>
        <v>39490.400000000001</v>
      </c>
      <c r="U151" s="65">
        <f t="shared" si="217"/>
        <v>2820</v>
      </c>
      <c r="V151" s="55">
        <f>VLOOKUP(A151,'Profit Loss-Amravati-25-26'!$A$9:$J$190,9,0)</f>
        <v>36670.400000000001</v>
      </c>
      <c r="W151" s="55">
        <f>VLOOKUP(A151,'Profit Loss-Betul-25-26'!$A$9:$J$141,9,0)</f>
        <v>21920</v>
      </c>
      <c r="X151" s="55"/>
      <c r="Y151" s="56">
        <f t="shared" si="218"/>
        <v>58590.400000000001</v>
      </c>
      <c r="Z151" s="65">
        <f t="shared" si="219"/>
        <v>19100</v>
      </c>
      <c r="AA151" s="55">
        <f>VLOOKUP(A151,'Profit Loss-Amravati-25-26'!$A$9:$L$192,11,0)</f>
        <v>39120.399999999994</v>
      </c>
      <c r="AB151" s="55">
        <f>VLOOKUP(A151,'Profit Loss-Betul-25-26'!$A$9:$L$141,11,0)</f>
        <v>21920</v>
      </c>
      <c r="AC151" s="55"/>
      <c r="AD151" s="56">
        <f t="shared" si="214"/>
        <v>61040.399999999994</v>
      </c>
      <c r="AE151" s="65">
        <f t="shared" si="215"/>
        <v>2449.9999999999927</v>
      </c>
      <c r="AF151" s="55">
        <f>VLOOKUP(A151,'Profit Loss-Amravati-25-26'!$A$9:$N$192,13,0)</f>
        <v>39120.6</v>
      </c>
      <c r="AG151" s="55">
        <f>VLOOKUP(A151,'Profit Loss-Betul-25-26'!$A$9:$N$141,13,0)</f>
        <v>26020</v>
      </c>
      <c r="AH151" s="55"/>
      <c r="AI151" s="56">
        <f t="shared" si="208"/>
        <v>65140.6</v>
      </c>
      <c r="AJ151" s="44">
        <f t="shared" si="202"/>
        <v>4100.2000000000044</v>
      </c>
      <c r="AK151" s="55">
        <f>VLOOKUP(A151,'Profit Loss-Amravati-25-26'!$A$9:$P$192,15,0)</f>
        <v>46806.04</v>
      </c>
      <c r="AL151" s="55">
        <f>VLOOKUP(A151,'Profit Loss-Betul-25-26'!$A$9:$P$141,15,0)</f>
        <v>37820</v>
      </c>
      <c r="AM151" s="55"/>
      <c r="AN151" s="56">
        <f t="shared" si="203"/>
        <v>84626.040000000008</v>
      </c>
      <c r="AO151" s="44">
        <f t="shared" si="209"/>
        <v>19485.44000000001</v>
      </c>
      <c r="AP151" s="55">
        <f>VLOOKUP(A151,'Profit Loss-Amravati-25-26'!$A$9:$R$192,17,0)</f>
        <v>55606.04</v>
      </c>
      <c r="AQ151" s="55">
        <f>VLOOKUP(A151,'Profit Loss-Betul-25-26'!$A$9:$R$141,17,0)</f>
        <v>38744</v>
      </c>
      <c r="AR151" s="55"/>
      <c r="AS151" s="56">
        <f t="shared" si="204"/>
        <v>94350.040000000008</v>
      </c>
      <c r="AT151" s="44">
        <f t="shared" si="210"/>
        <v>9724</v>
      </c>
      <c r="AU151" s="55">
        <f>VLOOKUP(A151,'Profit Loss-Amravati-25-26'!$A$9:$T$192,19,0)</f>
        <v>55606.04</v>
      </c>
      <c r="AV151" s="55">
        <f>VLOOKUP(A151,'Profit Loss-Betul-25-26'!$A$9:$T$141,19,0)</f>
        <v>38744</v>
      </c>
      <c r="AW151" s="55"/>
      <c r="AX151" s="56">
        <f t="shared" si="205"/>
        <v>94350.040000000008</v>
      </c>
      <c r="AY151" s="44">
        <f t="shared" si="211"/>
        <v>0</v>
      </c>
      <c r="AZ151" s="55">
        <f>VLOOKUP(A151,'Profit Loss-Amravati-25-26'!$A$9:$V$192,21,0)</f>
        <v>130606.04</v>
      </c>
      <c r="BA151" s="55">
        <f>VLOOKUP(A151,'Profit Loss-Betul-25-26'!$A$9:$V$141,21,0)</f>
        <v>38744</v>
      </c>
      <c r="BB151" s="55"/>
      <c r="BC151" s="56">
        <f t="shared" si="206"/>
        <v>169350.03999999998</v>
      </c>
      <c r="BD151" s="44">
        <f t="shared" si="212"/>
        <v>74999.999999999971</v>
      </c>
      <c r="BE151" s="55"/>
      <c r="BF151" s="55"/>
    </row>
    <row r="152" spans="1:58" x14ac:dyDescent="0.3">
      <c r="A152" s="10" t="s">
        <v>99</v>
      </c>
      <c r="B152" s="11"/>
      <c r="C152" s="11">
        <f>VLOOKUP(A152,'Profit Loss-Amravati-25-26'!$A$13:$B$190,2,0)</f>
        <v>0</v>
      </c>
      <c r="D152" s="57">
        <f>VLOOKUP(A152,'Profit Loss-Betul-25-26'!$A$9:$B$140,2,0)</f>
        <v>0</v>
      </c>
      <c r="E152" s="57"/>
      <c r="F152" s="65">
        <f>+B152+C152+D152</f>
        <v>0</v>
      </c>
      <c r="G152" s="11">
        <f>VLOOKUP(A152,'Profit Loss-Amravati-25-26'!$A$9:$D$190,3,0)</f>
        <v>0</v>
      </c>
      <c r="H152" s="57">
        <f>VLOOKUP(A152,'Profit Loss-Betul-25-26'!$A$9:$D$140,3,0)</f>
        <v>0</v>
      </c>
      <c r="I152" s="57"/>
      <c r="J152" s="56">
        <f t="shared" si="183"/>
        <v>0</v>
      </c>
      <c r="K152" s="65">
        <f t="shared" si="150"/>
        <v>0</v>
      </c>
      <c r="L152" s="55">
        <f>VLOOKUP(A152,'Profit Loss-Amravati-25-26'!$A$9:$F$190,5,0)</f>
        <v>0</v>
      </c>
      <c r="M152" s="55">
        <f>VLOOKUP(A152,'Profit Loss-Betul-25-26'!$A$9:$F$141,5,0)</f>
        <v>0</v>
      </c>
      <c r="N152" s="55"/>
      <c r="O152" s="56">
        <f t="shared" si="184"/>
        <v>0</v>
      </c>
      <c r="P152" s="65">
        <f t="shared" si="213"/>
        <v>0</v>
      </c>
      <c r="Q152" s="55">
        <f>VLOOKUP(A152,'Profit Loss-Amravati-25-26'!$A$9:$H$190,7,0)</f>
        <v>0</v>
      </c>
      <c r="R152" s="55">
        <f>VLOOKUP(A152,'Profit Loss-Betul-25-26'!$A$9:$H$141,7,0)</f>
        <v>0</v>
      </c>
      <c r="S152" s="55"/>
      <c r="T152" s="56">
        <f t="shared" si="216"/>
        <v>0</v>
      </c>
      <c r="U152" s="65">
        <f t="shared" si="217"/>
        <v>0</v>
      </c>
      <c r="V152" s="55">
        <f>VLOOKUP(A152,'Profit Loss-Amravati-25-26'!$A$9:$J$190,9,0)</f>
        <v>0</v>
      </c>
      <c r="W152" s="55">
        <f>VLOOKUP(A152,'Profit Loss-Betul-25-26'!$A$9:$J$141,9,0)</f>
        <v>0</v>
      </c>
      <c r="X152" s="55"/>
      <c r="Y152" s="56">
        <f t="shared" si="218"/>
        <v>0</v>
      </c>
      <c r="Z152" s="65">
        <f t="shared" si="219"/>
        <v>0</v>
      </c>
      <c r="AA152" s="55">
        <f>VLOOKUP(A152,'Profit Loss-Amravati-25-26'!$A$9:$L$192,11,0)</f>
        <v>0</v>
      </c>
      <c r="AB152" s="55">
        <f>VLOOKUP(A152,'Profit Loss-Betul-25-26'!$A$9:$L$141,11,0)</f>
        <v>0</v>
      </c>
      <c r="AC152" s="55"/>
      <c r="AD152" s="56">
        <f t="shared" si="214"/>
        <v>0</v>
      </c>
      <c r="AE152" s="65">
        <f t="shared" si="215"/>
        <v>0</v>
      </c>
      <c r="AF152" s="55">
        <f>VLOOKUP(A152,'Profit Loss-Amravati-25-26'!$A$9:$N$192,13,0)</f>
        <v>188000</v>
      </c>
      <c r="AG152" s="55">
        <f>VLOOKUP(A152,'Profit Loss-Betul-25-26'!$A$9:$N$141,13,0)</f>
        <v>16000</v>
      </c>
      <c r="AH152" s="55"/>
      <c r="AI152" s="56">
        <f t="shared" si="208"/>
        <v>204000</v>
      </c>
      <c r="AJ152" s="65">
        <f t="shared" si="202"/>
        <v>204000</v>
      </c>
      <c r="AK152" s="55">
        <f>VLOOKUP(A152,'Profit Loss-Amravati-25-26'!$A$9:$P$192,15,0)</f>
        <v>188000</v>
      </c>
      <c r="AL152" s="55">
        <f>VLOOKUP(A152,'Profit Loss-Betul-25-26'!$A$9:$P$141,15,0)</f>
        <v>16000</v>
      </c>
      <c r="AM152" s="55"/>
      <c r="AN152" s="56">
        <f t="shared" si="203"/>
        <v>204000</v>
      </c>
      <c r="AO152" s="65">
        <f t="shared" si="209"/>
        <v>0</v>
      </c>
      <c r="AP152" s="55">
        <f>VLOOKUP(A152,'Profit Loss-Amravati-25-26'!$A$9:$R$192,17,0)</f>
        <v>188000</v>
      </c>
      <c r="AQ152" s="55">
        <f>VLOOKUP(A152,'Profit Loss-Betul-25-26'!$A$9:$R$141,17,0)</f>
        <v>16000</v>
      </c>
      <c r="AR152" s="55"/>
      <c r="AS152" s="56">
        <f t="shared" si="204"/>
        <v>204000</v>
      </c>
      <c r="AT152" s="65">
        <f t="shared" si="210"/>
        <v>0</v>
      </c>
      <c r="AU152" s="55">
        <f>VLOOKUP(A152,'Profit Loss-Amravati-25-26'!$A$9:$T$192,19,0)</f>
        <v>188000</v>
      </c>
      <c r="AV152" s="55">
        <f>VLOOKUP(A152,'Profit Loss-Betul-25-26'!$A$9:$T$141,19,0)</f>
        <v>16000</v>
      </c>
      <c r="AW152" s="55"/>
      <c r="AX152" s="56">
        <f t="shared" si="205"/>
        <v>204000</v>
      </c>
      <c r="AY152" s="65">
        <f t="shared" si="211"/>
        <v>0</v>
      </c>
      <c r="AZ152" s="55">
        <f>VLOOKUP(A152,'Profit Loss-Amravati-25-26'!$A$9:$V$192,21,0)</f>
        <v>188000</v>
      </c>
      <c r="BA152" s="55">
        <f>VLOOKUP(A152,'Profit Loss-Betul-25-26'!$A$9:$V$141,21,0)</f>
        <v>16000</v>
      </c>
      <c r="BB152" s="55"/>
      <c r="BC152" s="56">
        <f t="shared" si="206"/>
        <v>204000</v>
      </c>
      <c r="BD152" s="65">
        <f t="shared" si="212"/>
        <v>0</v>
      </c>
      <c r="BE152" s="55"/>
      <c r="BF152" s="55"/>
    </row>
    <row r="153" spans="1:58" hidden="1" x14ac:dyDescent="0.3">
      <c r="A153" t="s">
        <v>222</v>
      </c>
      <c r="B153" s="11"/>
      <c r="C153" s="11"/>
      <c r="D153" s="57"/>
      <c r="E153" s="57"/>
      <c r="F153" s="65"/>
      <c r="G153" s="11"/>
      <c r="H153" s="57"/>
      <c r="I153" s="57"/>
      <c r="J153" s="56"/>
      <c r="K153" s="65">
        <f t="shared" si="150"/>
        <v>0</v>
      </c>
      <c r="L153" s="55">
        <f>VLOOKUP(A153,'Profit Loss-Amravati-25-26'!$A$9:$F$190,5,0)</f>
        <v>166800</v>
      </c>
      <c r="M153" s="55"/>
      <c r="N153" s="55"/>
      <c r="O153" s="56">
        <f>SUM(L153:M153)-166800</f>
        <v>0</v>
      </c>
      <c r="P153" s="65">
        <f t="shared" si="213"/>
        <v>0</v>
      </c>
      <c r="Q153" s="55">
        <f>VLOOKUP(A153,'Profit Loss-Amravati-25-26'!$A$9:$H$190,7,0)</f>
        <v>0</v>
      </c>
      <c r="R153" s="55"/>
      <c r="S153" s="55"/>
      <c r="T153" s="56">
        <f>SUM(Q153:S153)</f>
        <v>0</v>
      </c>
      <c r="U153" s="65">
        <f>+T153-O153</f>
        <v>0</v>
      </c>
      <c r="V153" s="55">
        <f>VLOOKUP(A153,'Profit Loss-Amravati-25-26'!$A$9:$J$190,9,0)</f>
        <v>0</v>
      </c>
      <c r="W153" s="55">
        <f>VLOOKUP(A153,'Profit Loss-Betul-25-26'!$A$9:$J$141,9,0)</f>
        <v>0</v>
      </c>
      <c r="X153" s="55"/>
      <c r="Y153" s="56">
        <f>SUM(V153:X153)</f>
        <v>0</v>
      </c>
      <c r="Z153" s="65">
        <f>+Y153-T153</f>
        <v>0</v>
      </c>
      <c r="AA153" s="55">
        <f>VLOOKUP(A153,'Profit Loss-Amravati-25-26'!$A$9:$L$192,11,0)</f>
        <v>0</v>
      </c>
      <c r="AB153" s="55">
        <f>VLOOKUP(A153,'Profit Loss-Betul-25-26'!$A$9:$L$141,11,0)</f>
        <v>0</v>
      </c>
      <c r="AC153" s="55"/>
      <c r="AD153" s="56">
        <f t="shared" si="214"/>
        <v>0</v>
      </c>
      <c r="AE153" s="65">
        <f t="shared" si="215"/>
        <v>0</v>
      </c>
      <c r="AF153" s="55">
        <f>VLOOKUP(A153,'Profit Loss-Amravati-25-26'!$A$9:$N$192,13,0)</f>
        <v>0</v>
      </c>
      <c r="AG153" s="55">
        <f>VLOOKUP(A153,'Profit Loss-Betul-25-26'!$A$9:$N$141,13,0)</f>
        <v>0</v>
      </c>
      <c r="AH153" s="55"/>
      <c r="AI153" s="56">
        <f t="shared" si="208"/>
        <v>0</v>
      </c>
      <c r="AJ153" s="65">
        <f t="shared" si="202"/>
        <v>0</v>
      </c>
      <c r="AK153" s="55">
        <f>VLOOKUP(A153,'Profit Loss-Amravati-25-26'!$A$9:$P$192,15,0)</f>
        <v>0</v>
      </c>
      <c r="AL153" s="55">
        <f>VLOOKUP(A153,'Profit Loss-Betul-25-26'!$A$9:$P$141,15,0)</f>
        <v>0</v>
      </c>
      <c r="AM153" s="55"/>
      <c r="AN153" s="56">
        <f t="shared" si="203"/>
        <v>0</v>
      </c>
      <c r="AO153" s="65">
        <f t="shared" si="209"/>
        <v>0</v>
      </c>
      <c r="AP153" s="55">
        <f>VLOOKUP(A153,'Profit Loss-Amravati-25-26'!$A$9:$R$192,17,0)</f>
        <v>0</v>
      </c>
      <c r="AQ153" s="55">
        <f>VLOOKUP(A153,'Profit Loss-Betul-25-26'!$A$9:$R$141,17,0)</f>
        <v>0</v>
      </c>
      <c r="AR153" s="55"/>
      <c r="AS153" s="56">
        <f t="shared" si="204"/>
        <v>0</v>
      </c>
      <c r="AT153" s="65">
        <f t="shared" si="210"/>
        <v>0</v>
      </c>
      <c r="AU153" s="55">
        <f>VLOOKUP(A153,'Profit Loss-Amravati-25-26'!$A$9:$T$192,19,0)</f>
        <v>0</v>
      </c>
      <c r="AV153" s="55">
        <f>VLOOKUP(A153,'Profit Loss-Betul-25-26'!$A$9:$T$141,19,0)</f>
        <v>0</v>
      </c>
      <c r="AW153" s="55"/>
      <c r="AX153" s="56">
        <f t="shared" si="205"/>
        <v>0</v>
      </c>
      <c r="AY153" s="65">
        <f t="shared" si="211"/>
        <v>0</v>
      </c>
      <c r="AZ153" s="55">
        <f>VLOOKUP(A153,'Profit Loss-Amravati-25-26'!$A$9:$V$192,21,0)</f>
        <v>0</v>
      </c>
      <c r="BA153" s="55">
        <f>VLOOKUP(A153,'Profit Loss-Betul-25-26'!$A$9:$V$141,21,0)</f>
        <v>0</v>
      </c>
      <c r="BB153" s="55"/>
      <c r="BC153" s="56">
        <f t="shared" si="206"/>
        <v>0</v>
      </c>
      <c r="BD153" s="65">
        <f t="shared" si="212"/>
        <v>0</v>
      </c>
      <c r="BE153" s="55"/>
      <c r="BF153" s="55"/>
    </row>
    <row r="154" spans="1:58" x14ac:dyDescent="0.3">
      <c r="A154" s="10" t="s">
        <v>223</v>
      </c>
      <c r="B154" s="11"/>
      <c r="C154" s="11">
        <f>VLOOKUP(A154,'Profit Loss-Amravati-25-26'!$A$13:$B$190,2,0)</f>
        <v>7275</v>
      </c>
      <c r="D154" s="57">
        <f>VLOOKUP(A154,'Profit Loss-Betul-25-26'!$A$9:$B$140,2,0)</f>
        <v>0</v>
      </c>
      <c r="E154" s="57"/>
      <c r="F154" s="65">
        <f t="shared" ref="F154:F172" si="220">+B154+C154+D154</f>
        <v>7275</v>
      </c>
      <c r="G154" s="11">
        <f>VLOOKUP(A154,'Profit Loss-Amravati-25-26'!$A$9:$D$190,3,0)</f>
        <v>64245</v>
      </c>
      <c r="H154" s="57">
        <f>VLOOKUP(A154,'Profit Loss-Betul-25-26'!$A$9:$D$140,3,0)</f>
        <v>0</v>
      </c>
      <c r="I154" s="57"/>
      <c r="J154" s="56">
        <f t="shared" si="183"/>
        <v>64245</v>
      </c>
      <c r="K154" s="65">
        <f t="shared" si="150"/>
        <v>56970</v>
      </c>
      <c r="L154" s="55">
        <f>VLOOKUP(A154,'Profit Loss-Amravati-25-26'!$A$9:$F$190,5,0)</f>
        <v>65100.25</v>
      </c>
      <c r="M154" s="55">
        <f>VLOOKUP(A154,'Profit Loss-Betul-25-26'!$A$9:$F$141,5,0)</f>
        <v>0</v>
      </c>
      <c r="N154" s="55"/>
      <c r="O154" s="56">
        <f>SUM(L154:M154)+166800</f>
        <v>231900.25</v>
      </c>
      <c r="P154" s="65">
        <f t="shared" si="213"/>
        <v>167655.25</v>
      </c>
      <c r="Q154" s="55">
        <f>VLOOKUP(A154,'Profit Loss-Amravati-25-26'!$A$9:$H$190,7,0)</f>
        <v>232185.33333333334</v>
      </c>
      <c r="R154" s="55">
        <f>VLOOKUP(A154,'Profit Loss-Betul-25-26'!$A$9:$H$141,7,0)</f>
        <v>0</v>
      </c>
      <c r="S154" s="55"/>
      <c r="T154" s="56">
        <f t="shared" si="216"/>
        <v>232185.33333333334</v>
      </c>
      <c r="U154" s="65">
        <f t="shared" si="217"/>
        <v>285.08333333334303</v>
      </c>
      <c r="V154" s="55">
        <f>VLOOKUP(A154,'Profit Loss-Amravati-25-26'!$A$9:$J$190,9,0)</f>
        <v>237969.41666666666</v>
      </c>
      <c r="W154" s="55">
        <f>VLOOKUP(A154,'Profit Loss-Betul-25-26'!$A$9:$J$141,9,0)</f>
        <v>0</v>
      </c>
      <c r="X154" s="55"/>
      <c r="Y154" s="56">
        <f t="shared" ref="Y154:Y179" si="221">SUM(V154:X154)</f>
        <v>237969.41666666666</v>
      </c>
      <c r="Z154" s="65">
        <f t="shared" ref="Z154:Z179" si="222">+Y154-T154</f>
        <v>5784.0833333333139</v>
      </c>
      <c r="AA154" s="55">
        <f>VLOOKUP(A154,'Profit Loss-Amravati-25-26'!$A$9:$L$192,11,0)</f>
        <v>304538.5</v>
      </c>
      <c r="AB154" s="55">
        <f>VLOOKUP(A154,'Profit Loss-Betul-25-26'!$A$9:$L$141,11,0)</f>
        <v>0</v>
      </c>
      <c r="AC154" s="55"/>
      <c r="AD154" s="56">
        <f t="shared" si="214"/>
        <v>304538.5</v>
      </c>
      <c r="AE154" s="65">
        <f t="shared" si="215"/>
        <v>66569.083333333343</v>
      </c>
      <c r="AF154" s="55">
        <f>VLOOKUP(A154,'Profit Loss-Amravati-25-26'!$A$9:$N$192,13,0)</f>
        <v>304823.58333333331</v>
      </c>
      <c r="AG154" s="55">
        <f>VLOOKUP(A154,'Profit Loss-Betul-25-26'!$A$9:$N$141,13,0)</f>
        <v>6000</v>
      </c>
      <c r="AH154" s="55"/>
      <c r="AI154" s="56">
        <f t="shared" si="208"/>
        <v>310823.58333333331</v>
      </c>
      <c r="AJ154" s="65">
        <f t="shared" si="202"/>
        <v>6285.0833333333139</v>
      </c>
      <c r="AK154" s="55">
        <f>VLOOKUP(A154,'Profit Loss-Amravati-25-26'!$A$9:$P$192,15,0)</f>
        <v>319462.66666666669</v>
      </c>
      <c r="AL154" s="55">
        <f>VLOOKUP(A154,'Profit Loss-Betul-25-26'!$A$9:$P$141,15,0)</f>
        <v>6000</v>
      </c>
      <c r="AM154" s="55"/>
      <c r="AN154" s="56">
        <f t="shared" si="203"/>
        <v>325462.66666666669</v>
      </c>
      <c r="AO154" s="65">
        <f t="shared" si="209"/>
        <v>14639.083333333372</v>
      </c>
      <c r="AP154" s="55">
        <f>VLOOKUP(A154,'Profit Loss-Amravati-25-26'!$A$9:$R$192,17,0)</f>
        <v>325396.75</v>
      </c>
      <c r="AQ154" s="55">
        <f>VLOOKUP(A154,'Profit Loss-Betul-25-26'!$A$9:$R$141,17,0)</f>
        <v>6000</v>
      </c>
      <c r="AR154" s="55"/>
      <c r="AS154" s="56">
        <f t="shared" si="204"/>
        <v>331396.75</v>
      </c>
      <c r="AT154" s="65">
        <f t="shared" si="210"/>
        <v>5934.0833333333139</v>
      </c>
      <c r="AU154" s="55">
        <f>VLOOKUP(A154,'Profit Loss-Amravati-25-26'!$A$9:$T$192,19,0)</f>
        <v>325681.83333333331</v>
      </c>
      <c r="AV154" s="55">
        <f>VLOOKUP(A154,'Profit Loss-Betul-25-26'!$A$9:$T$141,19,0)</f>
        <v>6000</v>
      </c>
      <c r="AW154" s="55"/>
      <c r="AX154" s="56">
        <f t="shared" si="205"/>
        <v>331681.83333333331</v>
      </c>
      <c r="AY154" s="65">
        <f t="shared" si="211"/>
        <v>285.08333333331393</v>
      </c>
      <c r="AZ154" s="55">
        <f>VLOOKUP(A154,'Profit Loss-Amravati-25-26'!$A$9:$V$192,21,0)</f>
        <v>1138805.9166666667</v>
      </c>
      <c r="BA154" s="55">
        <f>VLOOKUP(A154,'Profit Loss-Betul-25-26'!$A$9:$V$141,21,0)</f>
        <v>6000</v>
      </c>
      <c r="BB154" s="55"/>
      <c r="BC154" s="56">
        <f t="shared" si="206"/>
        <v>1144805.9166666667</v>
      </c>
      <c r="BD154" s="65">
        <f t="shared" si="212"/>
        <v>813124.08333333349</v>
      </c>
      <c r="BE154" s="55"/>
      <c r="BF154" s="55"/>
    </row>
    <row r="155" spans="1:58" x14ac:dyDescent="0.3">
      <c r="A155" s="10" t="s">
        <v>225</v>
      </c>
      <c r="B155" s="11"/>
      <c r="C155" s="11">
        <f>VLOOKUP(A155,'Profit Loss-Amravati-25-26'!$A$13:$B$190,2,0)</f>
        <v>14791.24</v>
      </c>
      <c r="D155" s="57">
        <f>VLOOKUP(A155,'Profit Loss-Betul-25-26'!$A$9:$B$140,2,0)</f>
        <v>0</v>
      </c>
      <c r="E155" s="57"/>
      <c r="F155" s="65">
        <f t="shared" si="220"/>
        <v>14791.24</v>
      </c>
      <c r="G155" s="11">
        <f>VLOOKUP(A155,'Profit Loss-Amravati-25-26'!$A$9:$D$190,3,0)</f>
        <v>16247.98</v>
      </c>
      <c r="H155" s="57">
        <f>VLOOKUP(A155,'Profit Loss-Betul-25-26'!$A$9:$D$140,3,0)</f>
        <v>5549.18</v>
      </c>
      <c r="I155" s="57"/>
      <c r="J155" s="56">
        <f t="shared" si="183"/>
        <v>21797.16</v>
      </c>
      <c r="K155" s="65">
        <f t="shared" si="150"/>
        <v>7005.92</v>
      </c>
      <c r="L155" s="55">
        <f>VLOOKUP(A155,'Profit Loss-Amravati-25-26'!$A$9:$F$190,5,0)</f>
        <v>34038.1</v>
      </c>
      <c r="M155" s="55">
        <f>VLOOKUP(A155,'Profit Loss-Betul-25-26'!$A$9:$F$141,5,0)</f>
        <v>16928.78</v>
      </c>
      <c r="N155" s="55"/>
      <c r="O155" s="56">
        <f t="shared" si="184"/>
        <v>50966.879999999997</v>
      </c>
      <c r="P155" s="65">
        <f t="shared" si="213"/>
        <v>29169.719999999998</v>
      </c>
      <c r="Q155" s="55">
        <f>VLOOKUP(A155,'Profit Loss-Amravati-25-26'!$A$9:$H$190,7,0)</f>
        <v>37968.1</v>
      </c>
      <c r="R155" s="55">
        <f>VLOOKUP(A155,'Profit Loss-Betul-25-26'!$A$9:$H$141,7,0)</f>
        <v>16928.78</v>
      </c>
      <c r="S155" s="55"/>
      <c r="T155" s="56">
        <f t="shared" si="216"/>
        <v>54896.88</v>
      </c>
      <c r="U155" s="65">
        <f t="shared" si="217"/>
        <v>3930</v>
      </c>
      <c r="V155" s="55">
        <f>VLOOKUP(A155,'Profit Loss-Amravati-25-26'!$A$9:$J$190,9,0)</f>
        <v>34038.1</v>
      </c>
      <c r="W155" s="55">
        <f>VLOOKUP(A155,'Profit Loss-Betul-25-26'!$A$9:$J$141,9,0)</f>
        <v>16928.78</v>
      </c>
      <c r="X155" s="55"/>
      <c r="Y155" s="56">
        <f t="shared" si="221"/>
        <v>50966.879999999997</v>
      </c>
      <c r="Z155" s="65">
        <f t="shared" si="222"/>
        <v>-3930</v>
      </c>
      <c r="AA155" s="55">
        <f>VLOOKUP(A155,'Profit Loss-Amravati-25-26'!$A$9:$L$192,11,0)</f>
        <v>34038.1</v>
      </c>
      <c r="AB155" s="55">
        <f>VLOOKUP(A155,'Profit Loss-Betul-25-26'!$A$9:$L$141,11,0)</f>
        <v>16928.78</v>
      </c>
      <c r="AC155" s="55"/>
      <c r="AD155" s="56">
        <f t="shared" si="214"/>
        <v>50966.879999999997</v>
      </c>
      <c r="AE155" s="65">
        <f t="shared" si="215"/>
        <v>0</v>
      </c>
      <c r="AF155" s="55">
        <f>VLOOKUP(A155,'Profit Loss-Amravati-25-26'!$A$9:$N$192,13,0)</f>
        <v>34038.1</v>
      </c>
      <c r="AG155" s="55">
        <f>VLOOKUP(A155,'Profit Loss-Betul-25-26'!$A$9:$N$141,13,0)</f>
        <v>16928.78</v>
      </c>
      <c r="AH155" s="55"/>
      <c r="AI155" s="56">
        <f t="shared" si="208"/>
        <v>50966.879999999997</v>
      </c>
      <c r="AJ155" s="65">
        <f t="shared" si="202"/>
        <v>0</v>
      </c>
      <c r="AK155" s="55">
        <f>VLOOKUP(A155,'Profit Loss-Amravati-25-26'!$A$9:$P$192,15,0)</f>
        <v>34038.1</v>
      </c>
      <c r="AL155" s="55">
        <f>VLOOKUP(A155,'Profit Loss-Betul-25-26'!$A$9:$P$141,15,0)</f>
        <v>16928.78</v>
      </c>
      <c r="AM155" s="55"/>
      <c r="AN155" s="56">
        <f t="shared" si="203"/>
        <v>50966.879999999997</v>
      </c>
      <c r="AO155" s="65">
        <f t="shared" si="209"/>
        <v>0</v>
      </c>
      <c r="AP155" s="55">
        <f>VLOOKUP(A155,'Profit Loss-Amravati-25-26'!$A$9:$R$192,17,0)</f>
        <v>34038.1</v>
      </c>
      <c r="AQ155" s="55">
        <f>VLOOKUP(A155,'Profit Loss-Betul-25-26'!$A$9:$R$141,17,0)</f>
        <v>16928.78</v>
      </c>
      <c r="AR155" s="55"/>
      <c r="AS155" s="56">
        <f t="shared" si="204"/>
        <v>50966.879999999997</v>
      </c>
      <c r="AT155" s="65">
        <f t="shared" si="210"/>
        <v>0</v>
      </c>
      <c r="AU155" s="55">
        <f>VLOOKUP(A155,'Profit Loss-Amravati-25-26'!$A$9:$T$192,19,0)</f>
        <v>44803.1</v>
      </c>
      <c r="AV155" s="55">
        <f>VLOOKUP(A155,'Profit Loss-Betul-25-26'!$A$9:$T$141,19,0)</f>
        <v>16928.78</v>
      </c>
      <c r="AW155" s="55"/>
      <c r="AX155" s="56">
        <f t="shared" si="205"/>
        <v>61731.88</v>
      </c>
      <c r="AY155" s="65">
        <f t="shared" si="211"/>
        <v>10765</v>
      </c>
      <c r="AZ155" s="55">
        <f>VLOOKUP(A155,'Profit Loss-Amravati-25-26'!$A$9:$V$192,21,0)</f>
        <v>57162.1</v>
      </c>
      <c r="BA155" s="55">
        <f>VLOOKUP(A155,'Profit Loss-Betul-25-26'!$A$9:$V$141,21,0)</f>
        <v>16928.78</v>
      </c>
      <c r="BB155" s="55"/>
      <c r="BC155" s="56">
        <f t="shared" si="206"/>
        <v>74090.880000000005</v>
      </c>
      <c r="BD155" s="65">
        <f t="shared" si="212"/>
        <v>12359.000000000007</v>
      </c>
      <c r="BE155" s="55"/>
      <c r="BF155" s="55"/>
    </row>
    <row r="156" spans="1:58" x14ac:dyDescent="0.3">
      <c r="A156" s="10" t="s">
        <v>102</v>
      </c>
      <c r="B156" s="11">
        <f>VLOOKUP(A156,'Profit Loss-Textile'!$A$8:$B$135,2,0)</f>
        <v>0</v>
      </c>
      <c r="C156" s="11">
        <f>VLOOKUP(A156,'Profit Loss-Amravati-25-26'!$A$13:$B$190,2,0)</f>
        <v>39267</v>
      </c>
      <c r="D156" s="57">
        <f>VLOOKUP(A156,'Profit Loss-Betul-25-26'!$A$9:$B$140,2,0)</f>
        <v>0</v>
      </c>
      <c r="E156" s="57"/>
      <c r="F156" s="65">
        <f t="shared" si="220"/>
        <v>39267</v>
      </c>
      <c r="G156" s="11">
        <f>VLOOKUP(A156,'Profit Loss-Amravati-25-26'!$A$9:$D$190,3,0)</f>
        <v>77880</v>
      </c>
      <c r="H156" s="57">
        <f>VLOOKUP(A156,'Profit Loss-Betul-25-26'!$A$9:$D$140,3,0)</f>
        <v>0</v>
      </c>
      <c r="I156" s="57"/>
      <c r="J156" s="56">
        <f t="shared" si="183"/>
        <v>77880</v>
      </c>
      <c r="K156" s="65">
        <f t="shared" si="150"/>
        <v>38613</v>
      </c>
      <c r="L156" s="55">
        <f>VLOOKUP(A156,'Profit Loss-Amravati-25-26'!$A$9:$F$190,5,0)</f>
        <v>124215</v>
      </c>
      <c r="M156" s="55">
        <f>VLOOKUP(A156,'Profit Loss-Betul-25-26'!$A$9:$F$141,5,0)</f>
        <v>0</v>
      </c>
      <c r="N156" s="55"/>
      <c r="O156" s="56">
        <f t="shared" si="184"/>
        <v>124215</v>
      </c>
      <c r="P156" s="65">
        <f t="shared" si="213"/>
        <v>46335</v>
      </c>
      <c r="Q156" s="55">
        <f>VLOOKUP(A156,'Profit Loss-Amravati-25-26'!$A$9:$H$190,7,0)</f>
        <v>107013</v>
      </c>
      <c r="R156" s="55">
        <f>VLOOKUP(A156,'Profit Loss-Betul-25-26'!$A$9:$H$141,7,0)</f>
        <v>0</v>
      </c>
      <c r="S156" s="55"/>
      <c r="T156" s="56">
        <f t="shared" si="216"/>
        <v>107013</v>
      </c>
      <c r="U156" s="65">
        <f t="shared" si="217"/>
        <v>-17202</v>
      </c>
      <c r="V156" s="55">
        <f>VLOOKUP(A156,'Profit Loss-Amravati-25-26'!$A$9:$J$190,9,0)</f>
        <v>121336</v>
      </c>
      <c r="W156" s="55">
        <f>VLOOKUP(A156,'Profit Loss-Betul-25-26'!$A$9:$J$141,9,0)</f>
        <v>0</v>
      </c>
      <c r="X156" s="55"/>
      <c r="Y156" s="56">
        <f t="shared" si="221"/>
        <v>121336</v>
      </c>
      <c r="Z156" s="65">
        <f t="shared" si="222"/>
        <v>14323</v>
      </c>
      <c r="AA156" s="55">
        <f>VLOOKUP(A156,'Profit Loss-Amravati-25-26'!$A$9:$L$192,11,0)</f>
        <v>121336</v>
      </c>
      <c r="AB156" s="55">
        <f>VLOOKUP(A156,'Profit Loss-Betul-25-26'!$A$9:$L$141,11,0)</f>
        <v>0</v>
      </c>
      <c r="AC156" s="55"/>
      <c r="AD156" s="56">
        <f t="shared" si="214"/>
        <v>121336</v>
      </c>
      <c r="AE156" s="65">
        <f t="shared" si="215"/>
        <v>0</v>
      </c>
      <c r="AF156" s="55">
        <f>VLOOKUP(A156,'Profit Loss-Amravati-25-26'!$A$9:$N$192,13,0)</f>
        <v>121336</v>
      </c>
      <c r="AG156" s="55">
        <f>VLOOKUP(A156,'Profit Loss-Betul-25-26'!$A$9:$N$141,13,0)</f>
        <v>0</v>
      </c>
      <c r="AH156" s="55"/>
      <c r="AI156" s="56">
        <f t="shared" si="208"/>
        <v>121336</v>
      </c>
      <c r="AJ156" s="65">
        <f t="shared" si="202"/>
        <v>0</v>
      </c>
      <c r="AK156" s="55">
        <f>VLOOKUP(A156,'Profit Loss-Amravati-25-26'!$A$9:$P$192,15,0)</f>
        <v>121336</v>
      </c>
      <c r="AL156" s="55">
        <f>VLOOKUP(A156,'Profit Loss-Betul-25-26'!$A$9:$P$141,15,0)</f>
        <v>0</v>
      </c>
      <c r="AM156" s="55"/>
      <c r="AN156" s="56">
        <f t="shared" si="203"/>
        <v>121336</v>
      </c>
      <c r="AO156" s="65">
        <f t="shared" si="209"/>
        <v>0</v>
      </c>
      <c r="AP156" s="55">
        <f>VLOOKUP(A156,'Profit Loss-Amravati-25-26'!$A$9:$R$192,17,0)</f>
        <v>121336</v>
      </c>
      <c r="AQ156" s="55">
        <f>VLOOKUP(A156,'Profit Loss-Betul-25-26'!$A$9:$R$141,17,0)</f>
        <v>0</v>
      </c>
      <c r="AR156" s="55"/>
      <c r="AS156" s="56">
        <f t="shared" si="204"/>
        <v>121336</v>
      </c>
      <c r="AT156" s="65">
        <f t="shared" si="210"/>
        <v>0</v>
      </c>
      <c r="AU156" s="55">
        <f>VLOOKUP(A156,'Profit Loss-Amravati-25-26'!$A$9:$T$192,19,0)</f>
        <v>121336</v>
      </c>
      <c r="AV156" s="55">
        <f>VLOOKUP(A156,'Profit Loss-Betul-25-26'!$A$9:$T$141,19,0)</f>
        <v>0</v>
      </c>
      <c r="AW156" s="55"/>
      <c r="AX156" s="56">
        <f t="shared" si="205"/>
        <v>121336</v>
      </c>
      <c r="AY156" s="65">
        <f t="shared" si="211"/>
        <v>0</v>
      </c>
      <c r="AZ156" s="55">
        <f>VLOOKUP(A156,'Profit Loss-Amravati-25-26'!$A$9:$V$192,21,0)</f>
        <v>121336</v>
      </c>
      <c r="BA156" s="55">
        <f>VLOOKUP(A156,'Profit Loss-Betul-25-26'!$A$9:$V$141,21,0)</f>
        <v>0</v>
      </c>
      <c r="BB156" s="55"/>
      <c r="BC156" s="56">
        <f t="shared" si="206"/>
        <v>121336</v>
      </c>
      <c r="BD156" s="65">
        <f t="shared" si="212"/>
        <v>0</v>
      </c>
      <c r="BE156" s="55"/>
      <c r="BF156" s="55"/>
    </row>
    <row r="157" spans="1:58" x14ac:dyDescent="0.3">
      <c r="A157" s="10" t="s">
        <v>103</v>
      </c>
      <c r="B157" s="11">
        <f>VLOOKUP(A157,'Profit Loss-Textile'!$A$8:$B$135,2,0)</f>
        <v>0</v>
      </c>
      <c r="C157" s="11">
        <f>VLOOKUP(A157,'Profit Loss-Amravati-25-26'!$A$13:$B$190,2,0)</f>
        <v>-8460.32</v>
      </c>
      <c r="D157" s="57">
        <f>VLOOKUP(A157,'Profit Loss-Betul-25-26'!$A$9:$B$140,2,0)</f>
        <v>825</v>
      </c>
      <c r="E157" s="57"/>
      <c r="F157" s="65">
        <f t="shared" si="220"/>
        <v>-7635.32</v>
      </c>
      <c r="G157" s="11">
        <f>VLOOKUP(A157,'Profit Loss-Amravati-25-26'!$A$9:$D$190,3,0)</f>
        <v>-17094.5</v>
      </c>
      <c r="H157" s="57">
        <f>VLOOKUP(A157,'Profit Loss-Betul-25-26'!$A$9:$D$140,3,0)</f>
        <v>1650</v>
      </c>
      <c r="I157" s="57"/>
      <c r="J157" s="56">
        <f t="shared" si="183"/>
        <v>-15444.5</v>
      </c>
      <c r="K157" s="65">
        <f t="shared" si="150"/>
        <v>-7809.18</v>
      </c>
      <c r="L157" s="55">
        <f>VLOOKUP(A157,'Profit Loss-Amravati-25-26'!$A$9:$F$190,5,0)</f>
        <v>-25669.68</v>
      </c>
      <c r="M157" s="55">
        <f>VLOOKUP(A157,'Profit Loss-Betul-25-26'!$A$9:$F$141,5,0)</f>
        <v>1650</v>
      </c>
      <c r="N157" s="55"/>
      <c r="O157" s="56">
        <f t="shared" si="184"/>
        <v>-24019.68</v>
      </c>
      <c r="P157" s="65">
        <f t="shared" si="213"/>
        <v>-8575.18</v>
      </c>
      <c r="Q157" s="55">
        <f>VLOOKUP(A157,'Profit Loss-Amravati-25-26'!$A$9:$H$190,7,0)</f>
        <v>-33945.86</v>
      </c>
      <c r="R157" s="55">
        <f>VLOOKUP(A157,'Profit Loss-Betul-25-26'!$A$9:$H$141,7,0)</f>
        <v>2475</v>
      </c>
      <c r="S157" s="55"/>
      <c r="T157" s="56">
        <f t="shared" si="216"/>
        <v>-31470.86</v>
      </c>
      <c r="U157" s="65">
        <f t="shared" si="217"/>
        <v>-7451.18</v>
      </c>
      <c r="V157" s="55">
        <f>VLOOKUP(A157,'Profit Loss-Amravati-25-26'!$A$9:$J$190,9,0)</f>
        <v>-41411.599999999999</v>
      </c>
      <c r="W157" s="55">
        <f>VLOOKUP(A157,'Profit Loss-Betul-25-26'!$A$9:$J$141,9,0)</f>
        <v>4125</v>
      </c>
      <c r="X157" s="55"/>
      <c r="Y157" s="56">
        <f t="shared" si="221"/>
        <v>-37286.6</v>
      </c>
      <c r="Z157" s="65">
        <f t="shared" si="222"/>
        <v>-5815.739999999998</v>
      </c>
      <c r="AA157" s="55">
        <f>VLOOKUP(A157,'Profit Loss-Amravati-25-26'!$A$9:$L$192,11,0)</f>
        <v>-49680.88</v>
      </c>
      <c r="AB157" s="55">
        <f>VLOOKUP(A157,'Profit Loss-Betul-25-26'!$A$9:$L$141,11,0)</f>
        <v>4125</v>
      </c>
      <c r="AC157" s="55"/>
      <c r="AD157" s="56">
        <f t="shared" si="214"/>
        <v>-45555.88</v>
      </c>
      <c r="AE157" s="65">
        <f t="shared" si="215"/>
        <v>-8269.2799999999988</v>
      </c>
      <c r="AF157" s="55">
        <f>VLOOKUP(A157,'Profit Loss-Amravati-25-26'!$A$9:$N$192,13,0)</f>
        <v>-50630.559999999998</v>
      </c>
      <c r="AG157" s="55">
        <f>VLOOKUP(A157,'Profit Loss-Betul-25-26'!$A$9:$N$141,13,0)</f>
        <v>4950</v>
      </c>
      <c r="AH157" s="55"/>
      <c r="AI157" s="56">
        <f t="shared" si="208"/>
        <v>-45680.56</v>
      </c>
      <c r="AJ157" s="65">
        <f t="shared" si="202"/>
        <v>-124.68000000000029</v>
      </c>
      <c r="AK157" s="55">
        <f>VLOOKUP(A157,'Profit Loss-Amravati-25-26'!$A$9:$P$192,15,0)</f>
        <v>-58057.74</v>
      </c>
      <c r="AL157" s="55">
        <f>VLOOKUP(A157,'Profit Loss-Betul-25-26'!$A$9:$P$141,15,0)</f>
        <v>4950</v>
      </c>
      <c r="AM157" s="55"/>
      <c r="AN157" s="56">
        <f t="shared" si="203"/>
        <v>-53107.74</v>
      </c>
      <c r="AO157" s="65">
        <f t="shared" si="209"/>
        <v>-7427.18</v>
      </c>
      <c r="AP157" s="55">
        <f>VLOOKUP(A157,'Profit Loss-Amravati-25-26'!$A$9:$R$192,17,0)</f>
        <v>-61011.92</v>
      </c>
      <c r="AQ157" s="55">
        <f>VLOOKUP(A157,'Profit Loss-Betul-25-26'!$A$9:$R$141,17,0)</f>
        <v>4352</v>
      </c>
      <c r="AR157" s="55"/>
      <c r="AS157" s="56">
        <f t="shared" si="204"/>
        <v>-56659.92</v>
      </c>
      <c r="AT157" s="65">
        <f t="shared" si="210"/>
        <v>-3552.1800000000003</v>
      </c>
      <c r="AU157" s="55">
        <f>VLOOKUP(A157,'Profit Loss-Amravati-25-26'!$A$9:$T$192,19,0)</f>
        <v>-66367.100000000006</v>
      </c>
      <c r="AV157" s="55">
        <f>VLOOKUP(A157,'Profit Loss-Betul-25-26'!$A$9:$T$141,19,0)</f>
        <v>3754</v>
      </c>
      <c r="AW157" s="55"/>
      <c r="AX157" s="56">
        <f t="shared" si="205"/>
        <v>-62613.100000000006</v>
      </c>
      <c r="AY157" s="65">
        <f t="shared" si="211"/>
        <v>-5953.1800000000076</v>
      </c>
      <c r="AZ157" s="55">
        <f>VLOOKUP(A157,'Profit Loss-Amravati-25-26'!$A$9:$V$192,21,0)</f>
        <v>-67246.28</v>
      </c>
      <c r="BA157" s="55">
        <f>VLOOKUP(A157,'Profit Loss-Betul-25-26'!$A$9:$V$141,21,0)</f>
        <v>3156</v>
      </c>
      <c r="BB157" s="55"/>
      <c r="BC157" s="56">
        <f t="shared" si="206"/>
        <v>-64090.28</v>
      </c>
      <c r="BD157" s="65">
        <f t="shared" si="212"/>
        <v>-1477.179999999993</v>
      </c>
      <c r="BE157" s="45"/>
      <c r="BF157" s="45"/>
    </row>
    <row r="158" spans="1:58" x14ac:dyDescent="0.3">
      <c r="A158" s="10" t="s">
        <v>202</v>
      </c>
      <c r="B158" s="11"/>
      <c r="C158" s="11">
        <f>VLOOKUP(A158,'Profit Loss-Amravati-25-26'!$A$13:$B$190,2,0)</f>
        <v>81942</v>
      </c>
      <c r="D158" s="57"/>
      <c r="E158" s="57"/>
      <c r="F158" s="65">
        <f t="shared" si="220"/>
        <v>81942</v>
      </c>
      <c r="G158" s="11">
        <f>VLOOKUP(A158,'Profit Loss-Amravati-25-26'!$A$9:$D$190,3,0)</f>
        <v>163613</v>
      </c>
      <c r="H158" s="57"/>
      <c r="I158" s="57"/>
      <c r="J158" s="56">
        <f t="shared" si="183"/>
        <v>163613</v>
      </c>
      <c r="K158" s="65">
        <f t="shared" ref="K158:K178" si="223">+H158+G158-F158</f>
        <v>81671</v>
      </c>
      <c r="L158" s="55">
        <f>VLOOKUP(A158,'Profit Loss-Amravati-25-26'!$A$9:$F$190,5,0)</f>
        <v>261174</v>
      </c>
      <c r="M158" s="55">
        <f>VLOOKUP(A158,'Profit Loss-Betul-25-26'!$A$9:$F$141,5,0)</f>
        <v>0</v>
      </c>
      <c r="N158" s="55"/>
      <c r="O158" s="56">
        <f t="shared" si="184"/>
        <v>261174</v>
      </c>
      <c r="P158" s="65">
        <f t="shared" si="213"/>
        <v>97561</v>
      </c>
      <c r="Q158" s="55">
        <f>VLOOKUP(A158,'Profit Loss-Amravati-25-26'!$A$9:$H$190,7,0)</f>
        <v>358569.5</v>
      </c>
      <c r="R158" s="55">
        <f>VLOOKUP(A158,'Profit Loss-Betul-25-26'!$A$9:$H$141,7,0)</f>
        <v>30100</v>
      </c>
      <c r="S158" s="55"/>
      <c r="T158" s="56">
        <f t="shared" si="216"/>
        <v>388669.5</v>
      </c>
      <c r="U158" s="65">
        <f t="shared" si="217"/>
        <v>127495.5</v>
      </c>
      <c r="V158" s="55">
        <f>VLOOKUP(A158,'Profit Loss-Amravati-25-26'!$A$9:$J$190,9,0)</f>
        <v>460433</v>
      </c>
      <c r="W158" s="55">
        <f>VLOOKUP(A158,'Profit Loss-Betul-25-26'!$A$9:$J$141,9,0)</f>
        <v>43400</v>
      </c>
      <c r="X158" s="55"/>
      <c r="Y158" s="56">
        <f t="shared" si="221"/>
        <v>503833</v>
      </c>
      <c r="Z158" s="65">
        <f t="shared" si="222"/>
        <v>115163.5</v>
      </c>
      <c r="AA158" s="55">
        <f>VLOOKUP(A158,'Profit Loss-Amravati-25-26'!$A$9:$L$192,11,0)</f>
        <v>557911</v>
      </c>
      <c r="AB158" s="55">
        <f>VLOOKUP(A158,'Profit Loss-Betul-25-26'!$A$9:$L$141,11,0)</f>
        <v>43400</v>
      </c>
      <c r="AC158" s="55"/>
      <c r="AD158" s="56">
        <f t="shared" si="214"/>
        <v>601311</v>
      </c>
      <c r="AE158" s="65">
        <f t="shared" si="215"/>
        <v>97478</v>
      </c>
      <c r="AF158" s="55">
        <f>VLOOKUP(A158,'Profit Loss-Amravati-25-26'!$A$9:$N$192,13,0)</f>
        <v>714506</v>
      </c>
      <c r="AG158" s="55">
        <f>VLOOKUP(A158,'Profit Loss-Betul-25-26'!$A$9:$N$141,13,0)</f>
        <v>46150</v>
      </c>
      <c r="AH158" s="55"/>
      <c r="AI158" s="56">
        <f t="shared" si="208"/>
        <v>760656</v>
      </c>
      <c r="AJ158" s="65">
        <f t="shared" si="202"/>
        <v>159345</v>
      </c>
      <c r="AK158" s="55">
        <f>VLOOKUP(A158,'Profit Loss-Amravati-25-26'!$A$9:$P$192,15,0)</f>
        <v>926292</v>
      </c>
      <c r="AL158" s="55">
        <f>VLOOKUP(A158,'Profit Loss-Betul-25-26'!$A$9:$P$141,15,0)</f>
        <v>46150</v>
      </c>
      <c r="AM158" s="55"/>
      <c r="AN158" s="56">
        <f t="shared" si="203"/>
        <v>972442</v>
      </c>
      <c r="AO158" s="65">
        <f t="shared" si="209"/>
        <v>211786</v>
      </c>
      <c r="AP158" s="55">
        <f>VLOOKUP(A158,'Profit Loss-Amravati-25-26'!$A$9:$R$192,17,0)</f>
        <v>1181555</v>
      </c>
      <c r="AQ158" s="55">
        <f>VLOOKUP(A158,'Profit Loss-Betul-25-26'!$A$9:$R$141,17,0)</f>
        <v>46150</v>
      </c>
      <c r="AR158" s="55"/>
      <c r="AS158" s="56">
        <f t="shared" si="204"/>
        <v>1227705</v>
      </c>
      <c r="AT158" s="65">
        <f t="shared" si="210"/>
        <v>255263</v>
      </c>
      <c r="AU158" s="55">
        <f>VLOOKUP(A158,'Profit Loss-Amravati-25-26'!$A$9:$T$192,19,0)</f>
        <v>1347273.5</v>
      </c>
      <c r="AV158" s="55">
        <f>VLOOKUP(A158,'Profit Loss-Betul-25-26'!$A$9:$T$141,19,0)</f>
        <v>46150</v>
      </c>
      <c r="AW158" s="55"/>
      <c r="AX158" s="56">
        <f t="shared" si="205"/>
        <v>1393423.5</v>
      </c>
      <c r="AY158" s="65">
        <f t="shared" si="211"/>
        <v>165718.5</v>
      </c>
      <c r="AZ158" s="55">
        <f>VLOOKUP(A158,'Profit Loss-Amravati-25-26'!$A$9:$V$192,21,0)</f>
        <v>1512273.5</v>
      </c>
      <c r="BA158" s="55">
        <f>VLOOKUP(A158,'Profit Loss-Betul-25-26'!$A$9:$V$141,21,0)</f>
        <v>46150</v>
      </c>
      <c r="BB158" s="55"/>
      <c r="BC158" s="56">
        <f t="shared" si="206"/>
        <v>1558423.5</v>
      </c>
      <c r="BD158" s="65">
        <f t="shared" si="212"/>
        <v>165000</v>
      </c>
      <c r="BE158" s="55"/>
      <c r="BF158" s="55"/>
    </row>
    <row r="159" spans="1:58" x14ac:dyDescent="0.3">
      <c r="A159" s="10" t="s">
        <v>232</v>
      </c>
      <c r="B159" s="11"/>
      <c r="C159" s="11">
        <f>VLOOKUP(A159,'Profit Loss-Amravati-25-26'!$A$13:$B$190,2,0)</f>
        <v>10000</v>
      </c>
      <c r="D159" s="57"/>
      <c r="E159" s="57"/>
      <c r="F159" s="65">
        <f t="shared" si="220"/>
        <v>10000</v>
      </c>
      <c r="G159" s="11">
        <f>VLOOKUP(A159,'Profit Loss-Amravati-25-26'!$A$9:$D$190,3,0)</f>
        <v>20000</v>
      </c>
      <c r="H159" s="57"/>
      <c r="I159" s="57"/>
      <c r="J159" s="56">
        <f t="shared" si="183"/>
        <v>20000</v>
      </c>
      <c r="K159" s="65">
        <f t="shared" si="223"/>
        <v>10000</v>
      </c>
      <c r="L159" s="55">
        <f>VLOOKUP(A159,'Profit Loss-Amravati-25-26'!$A$9:$F$190,5,0)</f>
        <v>30000</v>
      </c>
      <c r="M159" s="55">
        <f>VLOOKUP(A159,'Profit Loss-Betul-25-26'!$A$9:$F$141,5,0)</f>
        <v>0</v>
      </c>
      <c r="N159" s="55"/>
      <c r="O159" s="56">
        <f t="shared" si="184"/>
        <v>30000</v>
      </c>
      <c r="P159" s="65">
        <f t="shared" si="213"/>
        <v>10000</v>
      </c>
      <c r="Q159" s="55">
        <f>VLOOKUP(A159,'Profit Loss-Amravati-25-26'!$A$9:$H$190,7,0)</f>
        <v>40000</v>
      </c>
      <c r="R159" s="55">
        <f>VLOOKUP(A159,'Profit Loss-Betul-25-26'!$A$9:$H$141,7,0)</f>
        <v>0</v>
      </c>
      <c r="S159" s="55"/>
      <c r="T159" s="56">
        <f t="shared" si="216"/>
        <v>40000</v>
      </c>
      <c r="U159" s="65">
        <f t="shared" si="217"/>
        <v>10000</v>
      </c>
      <c r="V159" s="55">
        <f>VLOOKUP(A159,'Profit Loss-Amravati-25-26'!$A$9:$J$190,9,0)</f>
        <v>50000</v>
      </c>
      <c r="W159" s="55">
        <f>VLOOKUP(A159,'Profit Loss-Betul-25-26'!$A$9:$J$141,9,0)</f>
        <v>0</v>
      </c>
      <c r="X159" s="55"/>
      <c r="Y159" s="56">
        <f t="shared" si="221"/>
        <v>50000</v>
      </c>
      <c r="Z159" s="65">
        <f t="shared" si="222"/>
        <v>10000</v>
      </c>
      <c r="AA159" s="55">
        <f>VLOOKUP(A159,'Profit Loss-Amravati-25-26'!$A$9:$L$192,11,0)</f>
        <v>60000</v>
      </c>
      <c r="AB159" s="55">
        <f>VLOOKUP(A159,'Profit Loss-Betul-25-26'!$A$9:$L$141,11,0)</f>
        <v>0</v>
      </c>
      <c r="AC159" s="55"/>
      <c r="AD159" s="56">
        <f t="shared" si="214"/>
        <v>60000</v>
      </c>
      <c r="AE159" s="65">
        <f t="shared" si="215"/>
        <v>10000</v>
      </c>
      <c r="AF159" s="55">
        <f>VLOOKUP(A159,'Profit Loss-Amravati-25-26'!$A$9:$N$192,13,0)</f>
        <v>70000</v>
      </c>
      <c r="AG159" s="55">
        <f>VLOOKUP(A159,'Profit Loss-Betul-25-26'!$A$9:$N$141,13,0)</f>
        <v>0</v>
      </c>
      <c r="AH159" s="55"/>
      <c r="AI159" s="56">
        <f t="shared" si="208"/>
        <v>70000</v>
      </c>
      <c r="AJ159" s="65">
        <f t="shared" si="202"/>
        <v>10000</v>
      </c>
      <c r="AK159" s="55">
        <f>VLOOKUP(A159,'Profit Loss-Amravati-25-26'!$A$9:$P$192,15,0)</f>
        <v>80000</v>
      </c>
      <c r="AL159" s="55">
        <f>VLOOKUP(A159,'Profit Loss-Betul-25-26'!$A$9:$P$141,15,0)</f>
        <v>0</v>
      </c>
      <c r="AM159" s="55"/>
      <c r="AN159" s="56">
        <f t="shared" si="203"/>
        <v>80000</v>
      </c>
      <c r="AO159" s="65">
        <f t="shared" si="209"/>
        <v>10000</v>
      </c>
      <c r="AP159" s="55">
        <f>VLOOKUP(A159,'Profit Loss-Amravati-25-26'!$A$9:$R$192,17,0)</f>
        <v>90000</v>
      </c>
      <c r="AQ159" s="55">
        <f>VLOOKUP(A159,'Profit Loss-Betul-25-26'!$A$9:$R$141,17,0)</f>
        <v>0</v>
      </c>
      <c r="AR159" s="55"/>
      <c r="AS159" s="56">
        <f t="shared" si="204"/>
        <v>90000</v>
      </c>
      <c r="AT159" s="65">
        <f t="shared" si="210"/>
        <v>10000</v>
      </c>
      <c r="AU159" s="55">
        <f>VLOOKUP(A159,'Profit Loss-Amravati-25-26'!$A$9:$T$192,19,0)</f>
        <v>100000</v>
      </c>
      <c r="AV159" s="55">
        <f>VLOOKUP(A159,'Profit Loss-Betul-25-26'!$A$9:$T$141,19,0)</f>
        <v>0</v>
      </c>
      <c r="AW159" s="55"/>
      <c r="AX159" s="56">
        <f t="shared" si="205"/>
        <v>100000</v>
      </c>
      <c r="AY159" s="65">
        <f t="shared" si="211"/>
        <v>10000</v>
      </c>
      <c r="AZ159" s="55">
        <f>VLOOKUP(A159,'Profit Loss-Amravati-25-26'!$A$9:$V$192,21,0)</f>
        <v>110000</v>
      </c>
      <c r="BA159" s="55">
        <f>VLOOKUP(A159,'Profit Loss-Betul-25-26'!$A$9:$V$141,21,0)</f>
        <v>0</v>
      </c>
      <c r="BB159" s="55"/>
      <c r="BC159" s="56">
        <f t="shared" si="206"/>
        <v>110000</v>
      </c>
      <c r="BD159" s="65">
        <f t="shared" si="212"/>
        <v>10000</v>
      </c>
      <c r="BE159" s="55"/>
      <c r="BF159" s="55"/>
    </row>
    <row r="160" spans="1:58" x14ac:dyDescent="0.3">
      <c r="A160" s="10" t="s">
        <v>101</v>
      </c>
      <c r="B160" s="11"/>
      <c r="C160" s="11"/>
      <c r="D160" s="57"/>
      <c r="E160" s="57"/>
      <c r="F160" s="65"/>
      <c r="G160" s="11"/>
      <c r="H160" s="57"/>
      <c r="I160" s="57"/>
      <c r="J160" s="56"/>
      <c r="K160" s="65"/>
      <c r="L160" s="55"/>
      <c r="M160" s="55"/>
      <c r="N160" s="55"/>
      <c r="O160" s="56"/>
      <c r="P160" s="65"/>
      <c r="Q160" s="55"/>
      <c r="R160" s="55"/>
      <c r="S160" s="55"/>
      <c r="T160" s="56"/>
      <c r="U160" s="65"/>
      <c r="V160" s="55"/>
      <c r="W160" s="55"/>
      <c r="X160" s="55"/>
      <c r="Y160" s="56"/>
      <c r="Z160" s="65"/>
      <c r="AA160" s="55"/>
      <c r="AB160" s="55"/>
      <c r="AC160" s="55"/>
      <c r="AD160" s="56"/>
      <c r="AE160" s="65"/>
      <c r="AF160" s="55"/>
      <c r="AG160" s="55"/>
      <c r="AH160" s="55"/>
      <c r="AI160" s="56"/>
      <c r="AJ160" s="65"/>
      <c r="AK160" s="55"/>
      <c r="AL160" s="55"/>
      <c r="AM160" s="55"/>
      <c r="AN160" s="56"/>
      <c r="AO160" s="65"/>
      <c r="AP160" s="55"/>
      <c r="AQ160" s="55">
        <f>VLOOKUP(A160,'Profit Loss-Betul-25-26'!$A$9:$R$141,17,0)</f>
        <v>15937.5</v>
      </c>
      <c r="AR160" s="55"/>
      <c r="AS160" s="56">
        <f t="shared" si="204"/>
        <v>15937.5</v>
      </c>
      <c r="AT160" s="65">
        <f t="shared" si="210"/>
        <v>15937.5</v>
      </c>
      <c r="AU160" s="55">
        <f>VLOOKUP(A160,'Profit Loss-Amravati-25-26'!$A$9:$T$192,19,0)</f>
        <v>10259.34</v>
      </c>
      <c r="AV160" s="55">
        <f>VLOOKUP(A160,'Profit Loss-Betul-25-26'!$A$9:$T$141,19,0)</f>
        <v>15937.5</v>
      </c>
      <c r="AW160" s="55"/>
      <c r="AX160" s="56">
        <f t="shared" si="205"/>
        <v>26196.84</v>
      </c>
      <c r="AY160" s="65">
        <f t="shared" si="211"/>
        <v>10259.34</v>
      </c>
      <c r="AZ160" s="55">
        <f>VLOOKUP(A160,'Profit Loss-Amravati-25-26'!$A$9:$V$192,21,0)</f>
        <v>15457.34</v>
      </c>
      <c r="BA160" s="55">
        <f>VLOOKUP(A160,'Profit Loss-Betul-25-26'!$A$9:$V$141,21,0)</f>
        <v>44687.5</v>
      </c>
      <c r="BB160" s="55"/>
      <c r="BC160" s="56">
        <f t="shared" si="206"/>
        <v>60144.84</v>
      </c>
      <c r="BD160" s="65">
        <f t="shared" si="212"/>
        <v>33948</v>
      </c>
      <c r="BE160" s="55"/>
      <c r="BF160" s="55"/>
    </row>
    <row r="161" spans="1:58" x14ac:dyDescent="0.3">
      <c r="A161" s="10" t="s">
        <v>104</v>
      </c>
      <c r="B161" s="11">
        <f>VLOOKUP(A161,'Profit Loss-Textile'!$A$8:$B$135,2,0)</f>
        <v>0</v>
      </c>
      <c r="C161" s="11">
        <f>VLOOKUP(A161,'Profit Loss-Amravati-25-26'!$A$13:$B$190,2,0)</f>
        <v>0</v>
      </c>
      <c r="D161" s="57">
        <f>VLOOKUP(A161,'Profit Loss-Betul-25-26'!$A$9:$B$140,2,0)</f>
        <v>0</v>
      </c>
      <c r="E161" s="57"/>
      <c r="F161" s="65">
        <f t="shared" si="220"/>
        <v>0</v>
      </c>
      <c r="G161" s="11">
        <f>VLOOKUP(A161,'Profit Loss-Amravati-25-26'!$A$9:$D$190,3,0)</f>
        <v>0</v>
      </c>
      <c r="H161" s="57">
        <f>VLOOKUP(A161,'Profit Loss-Betul-25-26'!$A$9:$D$140,3,0)</f>
        <v>0</v>
      </c>
      <c r="I161" s="57"/>
      <c r="J161" s="56">
        <f t="shared" si="183"/>
        <v>0</v>
      </c>
      <c r="K161" s="65">
        <f t="shared" si="223"/>
        <v>0</v>
      </c>
      <c r="L161" s="55">
        <f>VLOOKUP(A161,'Profit Loss-Amravati-25-26'!$A$9:$F$190,5,0)</f>
        <v>0</v>
      </c>
      <c r="M161" s="55">
        <f>VLOOKUP(A161,'Profit Loss-Betul-25-26'!$A$9:$F$141,5,0)</f>
        <v>0</v>
      </c>
      <c r="N161" s="55"/>
      <c r="O161" s="56">
        <f t="shared" si="184"/>
        <v>0</v>
      </c>
      <c r="P161" s="65">
        <f t="shared" si="213"/>
        <v>0</v>
      </c>
      <c r="Q161" s="55">
        <f>VLOOKUP(A161,'Profit Loss-Amravati-25-26'!$A$9:$H$190,7,0)</f>
        <v>0</v>
      </c>
      <c r="R161" s="55">
        <f>VLOOKUP(A161,'Profit Loss-Betul-25-26'!$A$9:$H$141,7,0)</f>
        <v>0</v>
      </c>
      <c r="S161" s="55"/>
      <c r="T161" s="56">
        <f t="shared" si="216"/>
        <v>0</v>
      </c>
      <c r="U161" s="65">
        <f t="shared" si="217"/>
        <v>0</v>
      </c>
      <c r="V161" s="55">
        <f>VLOOKUP(A161,'Profit Loss-Amravati-25-26'!$A$9:$J$190,9,0)</f>
        <v>0</v>
      </c>
      <c r="W161" s="55">
        <f>VLOOKUP(A161,'Profit Loss-Betul-25-26'!$A$9:$J$141,9,0)</f>
        <v>0</v>
      </c>
      <c r="X161" s="55"/>
      <c r="Y161" s="56">
        <f t="shared" si="221"/>
        <v>0</v>
      </c>
      <c r="Z161" s="65">
        <f t="shared" si="222"/>
        <v>0</v>
      </c>
      <c r="AA161" s="55">
        <f>VLOOKUP(A161,'Profit Loss-Amravati-25-26'!$A$9:$L$192,11,0)</f>
        <v>0</v>
      </c>
      <c r="AB161" s="55">
        <f>VLOOKUP(A161,'Profit Loss-Betul-25-26'!$A$9:$L$141,11,0)</f>
        <v>0</v>
      </c>
      <c r="AC161" s="55"/>
      <c r="AD161" s="56">
        <f t="shared" si="214"/>
        <v>0</v>
      </c>
      <c r="AE161" s="65">
        <f t="shared" si="215"/>
        <v>0</v>
      </c>
      <c r="AF161" s="55">
        <f>VLOOKUP(A161,'Profit Loss-Amravati-25-26'!$A$9:$N$192,13,0)</f>
        <v>0</v>
      </c>
      <c r="AG161" s="55">
        <f>VLOOKUP(A161,'Profit Loss-Betul-25-26'!$A$9:$N$141,13,0)</f>
        <v>0</v>
      </c>
      <c r="AH161" s="55"/>
      <c r="AI161" s="56">
        <f t="shared" si="208"/>
        <v>0</v>
      </c>
      <c r="AJ161" s="65">
        <f t="shared" si="202"/>
        <v>0</v>
      </c>
      <c r="AK161" s="55">
        <f>VLOOKUP(A161,'Profit Loss-Amravati-25-26'!$A$9:$P$192,15,0)</f>
        <v>0</v>
      </c>
      <c r="AL161" s="55">
        <f>VLOOKUP(A161,'Profit Loss-Betul-25-26'!$A$9:$P$141,15,0)</f>
        <v>0</v>
      </c>
      <c r="AM161" s="55"/>
      <c r="AN161" s="56">
        <f t="shared" si="203"/>
        <v>0</v>
      </c>
      <c r="AO161" s="65">
        <f t="shared" si="209"/>
        <v>0</v>
      </c>
      <c r="AP161" s="55">
        <f>VLOOKUP(A161,'Profit Loss-Amravati-25-26'!$A$9:$R$192,17,0)</f>
        <v>0</v>
      </c>
      <c r="AQ161" s="55">
        <f>VLOOKUP(A161,'Profit Loss-Betul-25-26'!$A$9:$R$141,17,0)</f>
        <v>0</v>
      </c>
      <c r="AR161" s="55"/>
      <c r="AS161" s="56">
        <f t="shared" si="204"/>
        <v>0</v>
      </c>
      <c r="AT161" s="65">
        <f t="shared" si="210"/>
        <v>0</v>
      </c>
      <c r="AU161" s="55">
        <f>VLOOKUP(A161,'Profit Loss-Amravati-25-26'!$A$9:$T$192,19,0)</f>
        <v>134791.57999999999</v>
      </c>
      <c r="AV161" s="55">
        <f>VLOOKUP(A161,'Profit Loss-Betul-25-26'!$A$9:$T$141,19,0)</f>
        <v>0</v>
      </c>
      <c r="AW161" s="55"/>
      <c r="AX161" s="56">
        <f t="shared" si="205"/>
        <v>134791.57999999999</v>
      </c>
      <c r="AY161" s="65">
        <f t="shared" si="211"/>
        <v>134791.57999999999</v>
      </c>
      <c r="AZ161" s="55">
        <f>VLOOKUP(A161,'Profit Loss-Amravati-25-26'!$A$9:$V$192,21,0)</f>
        <v>134791.57999999999</v>
      </c>
      <c r="BA161" s="55">
        <f>VLOOKUP(A161,'Profit Loss-Betul-25-26'!$A$9:$V$141,21,0)</f>
        <v>0</v>
      </c>
      <c r="BB161" s="55"/>
      <c r="BC161" s="56">
        <f t="shared" si="206"/>
        <v>134791.57999999999</v>
      </c>
      <c r="BD161" s="65">
        <f t="shared" si="212"/>
        <v>0</v>
      </c>
      <c r="BE161" s="55"/>
      <c r="BF161" s="55"/>
    </row>
    <row r="162" spans="1:58" x14ac:dyDescent="0.3">
      <c r="A162" s="10" t="s">
        <v>105</v>
      </c>
      <c r="B162" s="11">
        <f>VLOOKUP(A162,'Profit Loss-Textile'!$A$8:$B$135,2,0)</f>
        <v>0</v>
      </c>
      <c r="C162" s="11">
        <f>VLOOKUP(A162,'Profit Loss-Amravati-25-26'!$A$13:$B$190,2,0)</f>
        <v>0</v>
      </c>
      <c r="D162" s="57">
        <f>VLOOKUP(A162,'Profit Loss-Betul-25-26'!$A$9:$B$140,2,0)</f>
        <v>0</v>
      </c>
      <c r="E162" s="57"/>
      <c r="F162" s="65">
        <f t="shared" si="220"/>
        <v>0</v>
      </c>
      <c r="G162" s="11">
        <f>VLOOKUP(A162,'Profit Loss-Amravati-25-26'!$A$9:$D$190,3,0)</f>
        <v>49530</v>
      </c>
      <c r="H162" s="57">
        <f>VLOOKUP(A162,'Profit Loss-Betul-25-26'!$A$9:$D$140,3,0)</f>
        <v>0</v>
      </c>
      <c r="I162" s="57"/>
      <c r="J162" s="56">
        <f t="shared" ref="J162:J179" si="224">SUM(G162:I162)</f>
        <v>49530</v>
      </c>
      <c r="K162" s="65">
        <f t="shared" si="223"/>
        <v>49530</v>
      </c>
      <c r="L162" s="55">
        <f>VLOOKUP(A162,'Profit Loss-Amravati-25-26'!$A$9:$F$190,5,0)</f>
        <v>71810</v>
      </c>
      <c r="M162" s="55">
        <f>VLOOKUP(A162,'Profit Loss-Betul-25-26'!$A$9:$F$141,5,0)</f>
        <v>0</v>
      </c>
      <c r="N162" s="55"/>
      <c r="O162" s="56">
        <f t="shared" ref="O162:O179" si="225">SUM(L162:M162)</f>
        <v>71810</v>
      </c>
      <c r="P162" s="65">
        <f t="shared" si="213"/>
        <v>22280</v>
      </c>
      <c r="Q162" s="55">
        <f>VLOOKUP(A162,'Profit Loss-Amravati-25-26'!$A$9:$H$190,7,0)</f>
        <v>103899</v>
      </c>
      <c r="R162" s="55">
        <f>VLOOKUP(A162,'Profit Loss-Betul-25-26'!$A$9:$H$141,7,0)</f>
        <v>0</v>
      </c>
      <c r="S162" s="55"/>
      <c r="T162" s="56">
        <f t="shared" si="216"/>
        <v>103899</v>
      </c>
      <c r="U162" s="65">
        <f t="shared" si="217"/>
        <v>32089</v>
      </c>
      <c r="V162" s="55">
        <f>VLOOKUP(A162,'Profit Loss-Amravati-25-26'!$A$9:$J$190,9,0)</f>
        <v>130771</v>
      </c>
      <c r="W162" s="55">
        <f>VLOOKUP(A162,'Profit Loss-Betul-25-26'!$A$9:$J$141,9,0)</f>
        <v>0</v>
      </c>
      <c r="X162" s="55"/>
      <c r="Y162" s="56">
        <f t="shared" si="221"/>
        <v>130771</v>
      </c>
      <c r="Z162" s="65">
        <f t="shared" si="222"/>
        <v>26872</v>
      </c>
      <c r="AA162" s="55">
        <f>VLOOKUP(A162,'Profit Loss-Amravati-25-26'!$A$9:$L$192,11,0)</f>
        <v>145272</v>
      </c>
      <c r="AB162" s="55">
        <f>VLOOKUP(A162,'Profit Loss-Betul-25-26'!$A$9:$L$141,11,0)</f>
        <v>0</v>
      </c>
      <c r="AC162" s="55"/>
      <c r="AD162" s="56">
        <f t="shared" si="214"/>
        <v>145272</v>
      </c>
      <c r="AE162" s="65">
        <f t="shared" si="215"/>
        <v>14501</v>
      </c>
      <c r="AF162" s="55">
        <f>VLOOKUP(A162,'Profit Loss-Amravati-25-26'!$A$9:$N$192,13,0)</f>
        <v>163563</v>
      </c>
      <c r="AG162" s="55">
        <f>VLOOKUP(A162,'Profit Loss-Betul-25-26'!$A$9:$N$141,13,0)</f>
        <v>3781</v>
      </c>
      <c r="AH162" s="55"/>
      <c r="AI162" s="56">
        <f t="shared" si="208"/>
        <v>167344</v>
      </c>
      <c r="AJ162" s="65">
        <f t="shared" si="202"/>
        <v>22072</v>
      </c>
      <c r="AK162" s="55">
        <f>VLOOKUP(A162,'Profit Loss-Amravati-25-26'!$A$9:$P$192,15,0)</f>
        <v>182119</v>
      </c>
      <c r="AL162" s="55">
        <f>VLOOKUP(A162,'Profit Loss-Betul-25-26'!$A$9:$P$141,15,0)</f>
        <v>3781</v>
      </c>
      <c r="AM162" s="55"/>
      <c r="AN162" s="56">
        <f t="shared" si="203"/>
        <v>185900</v>
      </c>
      <c r="AO162" s="65">
        <f t="shared" si="209"/>
        <v>18556</v>
      </c>
      <c r="AP162" s="55">
        <f>VLOOKUP(A162,'Profit Loss-Amravati-25-26'!$A$9:$R$192,17,0)</f>
        <v>194119</v>
      </c>
      <c r="AQ162" s="55">
        <f>VLOOKUP(A162,'Profit Loss-Betul-25-26'!$A$9:$R$141,17,0)</f>
        <v>3781</v>
      </c>
      <c r="AR162" s="55"/>
      <c r="AS162" s="56">
        <f t="shared" si="204"/>
        <v>197900</v>
      </c>
      <c r="AT162" s="65">
        <f t="shared" si="210"/>
        <v>12000</v>
      </c>
      <c r="AU162" s="55">
        <f>VLOOKUP(A162,'Profit Loss-Amravati-25-26'!$A$9:$T$192,19,0)</f>
        <v>232119</v>
      </c>
      <c r="AV162" s="55">
        <f>VLOOKUP(A162,'Profit Loss-Betul-25-26'!$A$9:$T$141,19,0)</f>
        <v>3781</v>
      </c>
      <c r="AW162" s="55"/>
      <c r="AX162" s="56">
        <f t="shared" si="205"/>
        <v>235900</v>
      </c>
      <c r="AY162" s="65">
        <f t="shared" si="211"/>
        <v>38000</v>
      </c>
      <c r="AZ162" s="55">
        <f>VLOOKUP(A162,'Profit Loss-Amravati-25-26'!$A$9:$V$192,21,0)</f>
        <v>254419</v>
      </c>
      <c r="BA162" s="55">
        <f>VLOOKUP(A162,'Profit Loss-Betul-25-26'!$A$9:$V$141,21,0)</f>
        <v>3781</v>
      </c>
      <c r="BB162" s="55"/>
      <c r="BC162" s="56">
        <f t="shared" si="206"/>
        <v>258200</v>
      </c>
      <c r="BD162" s="65">
        <f t="shared" si="212"/>
        <v>22300</v>
      </c>
      <c r="BE162" s="55"/>
      <c r="BF162" s="55"/>
    </row>
    <row r="163" spans="1:58" x14ac:dyDescent="0.3">
      <c r="A163" s="10" t="s">
        <v>393</v>
      </c>
      <c r="B163" s="11"/>
      <c r="C163" s="11"/>
      <c r="D163" s="57"/>
      <c r="E163" s="57"/>
      <c r="F163" s="65"/>
      <c r="G163" s="11"/>
      <c r="H163" s="57"/>
      <c r="I163" s="57"/>
      <c r="J163" s="56"/>
      <c r="K163" s="65"/>
      <c r="L163" s="55"/>
      <c r="M163" s="55"/>
      <c r="N163" s="55"/>
      <c r="O163" s="56"/>
      <c r="P163" s="65"/>
      <c r="Q163" s="55"/>
      <c r="R163" s="55"/>
      <c r="S163" s="55"/>
      <c r="T163" s="56"/>
      <c r="U163" s="65"/>
      <c r="V163" s="55"/>
      <c r="W163" s="55"/>
      <c r="X163" s="55"/>
      <c r="Y163" s="56"/>
      <c r="Z163" s="65"/>
      <c r="AA163" s="55"/>
      <c r="AB163" s="55"/>
      <c r="AC163" s="55"/>
      <c r="AD163" s="56"/>
      <c r="AE163" s="65"/>
      <c r="AF163" s="55">
        <f>VLOOKUP(A163,'Profit Loss-Amravati-25-26'!$A$9:$N$192,13,0)</f>
        <v>15604</v>
      </c>
      <c r="AG163" s="55"/>
      <c r="AH163" s="55"/>
      <c r="AI163" s="56">
        <f t="shared" si="208"/>
        <v>15604</v>
      </c>
      <c r="AJ163" s="65">
        <f t="shared" si="202"/>
        <v>15604</v>
      </c>
      <c r="AK163" s="55">
        <f>VLOOKUP(A163,'Profit Loss-Amravati-25-26'!$A$9:$P$192,15,0)</f>
        <v>15604</v>
      </c>
      <c r="AL163" s="55"/>
      <c r="AM163" s="55"/>
      <c r="AN163" s="56">
        <f t="shared" si="203"/>
        <v>15604</v>
      </c>
      <c r="AO163" s="65">
        <f t="shared" si="209"/>
        <v>0</v>
      </c>
      <c r="AP163" s="55">
        <f>VLOOKUP(A163,'Profit Loss-Amravati-25-26'!$A$9:$R$192,17,0)</f>
        <v>15604</v>
      </c>
      <c r="AQ163" s="55"/>
      <c r="AR163" s="55"/>
      <c r="AS163" s="56">
        <f t="shared" si="204"/>
        <v>15604</v>
      </c>
      <c r="AT163" s="65">
        <f t="shared" si="210"/>
        <v>0</v>
      </c>
      <c r="AU163" s="55">
        <f>VLOOKUP(A163,'Profit Loss-Amravati-25-26'!$A$9:$T$192,19,0)</f>
        <v>15604</v>
      </c>
      <c r="AV163" s="55"/>
      <c r="AW163" s="55"/>
      <c r="AX163" s="56">
        <f t="shared" si="205"/>
        <v>15604</v>
      </c>
      <c r="AY163" s="65">
        <f t="shared" si="211"/>
        <v>0</v>
      </c>
      <c r="AZ163" s="55">
        <f>VLOOKUP(A163,'Profit Loss-Amravati-25-26'!$A$9:$V$192,21,0)</f>
        <v>15604</v>
      </c>
      <c r="BA163" s="55"/>
      <c r="BB163" s="55"/>
      <c r="BC163" s="56">
        <f t="shared" si="206"/>
        <v>15604</v>
      </c>
      <c r="BD163" s="65">
        <f t="shared" si="212"/>
        <v>0</v>
      </c>
      <c r="BE163" s="55"/>
      <c r="BF163" s="55"/>
    </row>
    <row r="164" spans="1:58" x14ac:dyDescent="0.3">
      <c r="A164" s="10" t="s">
        <v>106</v>
      </c>
      <c r="B164" s="11">
        <f>VLOOKUP(A164,'Profit Loss-Textile'!$A$8:$B$135,2,0)</f>
        <v>0</v>
      </c>
      <c r="C164" s="11">
        <f>VLOOKUP(A164,'Profit Loss-Amravati-25-26'!$A$13:$B$190,2,0)</f>
        <v>0</v>
      </c>
      <c r="D164" s="57">
        <f>VLOOKUP(A164,'Profit Loss-Betul-25-26'!$A$9:$B$140,2,0)</f>
        <v>0</v>
      </c>
      <c r="E164" s="57"/>
      <c r="F164" s="65">
        <f t="shared" si="220"/>
        <v>0</v>
      </c>
      <c r="G164" s="11">
        <f>VLOOKUP(A164,'Profit Loss-Amravati-25-26'!$A$9:$D$190,3,0)</f>
        <v>0</v>
      </c>
      <c r="H164" s="57">
        <f>VLOOKUP(A164,'Profit Loss-Betul-25-26'!$A$9:$D$140,3,0)</f>
        <v>0</v>
      </c>
      <c r="I164" s="57"/>
      <c r="J164" s="56">
        <f t="shared" si="224"/>
        <v>0</v>
      </c>
      <c r="K164" s="65">
        <f t="shared" si="223"/>
        <v>0</v>
      </c>
      <c r="L164" s="55">
        <f>VLOOKUP(A164,'Profit Loss-Amravati-25-26'!$A$9:$F$190,5,0)</f>
        <v>0</v>
      </c>
      <c r="M164" s="55">
        <f>VLOOKUP(A164,'Profit Loss-Betul-25-26'!$A$9:$F$141,5,0)</f>
        <v>0</v>
      </c>
      <c r="N164" s="55"/>
      <c r="O164" s="56">
        <f t="shared" si="225"/>
        <v>0</v>
      </c>
      <c r="P164" s="65">
        <f t="shared" si="213"/>
        <v>0</v>
      </c>
      <c r="Q164" s="55">
        <f>VLOOKUP(A164,'Profit Loss-Amravati-25-26'!$A$9:$H$190,7,0)</f>
        <v>2000</v>
      </c>
      <c r="R164" s="55">
        <f>VLOOKUP(A164,'Profit Loss-Betul-25-26'!$A$9:$H$141,7,0)</f>
        <v>0</v>
      </c>
      <c r="S164" s="55"/>
      <c r="T164" s="56">
        <f t="shared" si="216"/>
        <v>2000</v>
      </c>
      <c r="U164" s="65">
        <f t="shared" si="217"/>
        <v>2000</v>
      </c>
      <c r="V164" s="55">
        <f>VLOOKUP(A164,'Profit Loss-Amravati-25-26'!$A$9:$J$190,9,0)</f>
        <v>8000</v>
      </c>
      <c r="W164" s="55">
        <f>VLOOKUP(A164,'Profit Loss-Betul-25-26'!$A$9:$J$141,9,0)</f>
        <v>0</v>
      </c>
      <c r="X164" s="55"/>
      <c r="Y164" s="56">
        <f t="shared" si="221"/>
        <v>8000</v>
      </c>
      <c r="Z164" s="65">
        <f t="shared" si="222"/>
        <v>6000</v>
      </c>
      <c r="AA164" s="55">
        <f>VLOOKUP(A164,'Profit Loss-Amravati-25-26'!$A$9:$L$192,11,0)</f>
        <v>8000</v>
      </c>
      <c r="AB164" s="55">
        <f>VLOOKUP(A164,'Profit Loss-Betul-25-26'!$A$9:$L$141,11,0)</f>
        <v>0</v>
      </c>
      <c r="AC164" s="55"/>
      <c r="AD164" s="56">
        <f t="shared" si="214"/>
        <v>8000</v>
      </c>
      <c r="AE164" s="65">
        <f t="shared" si="215"/>
        <v>0</v>
      </c>
      <c r="AF164" s="55">
        <f>VLOOKUP(A164,'Profit Loss-Amravati-25-26'!$A$9:$N$192,13,0)</f>
        <v>10000</v>
      </c>
      <c r="AG164" s="55">
        <f>VLOOKUP(A164,'Profit Loss-Betul-25-26'!$A$9:$N$141,13,0)</f>
        <v>0</v>
      </c>
      <c r="AH164" s="55"/>
      <c r="AI164" s="56">
        <f t="shared" si="208"/>
        <v>10000</v>
      </c>
      <c r="AJ164" s="65">
        <f t="shared" si="202"/>
        <v>2000</v>
      </c>
      <c r="AK164" s="55">
        <f>VLOOKUP(A164,'Profit Loss-Amravati-25-26'!$A$9:$P$192,15,0)</f>
        <v>12000</v>
      </c>
      <c r="AL164" s="55">
        <f>VLOOKUP(A164,'Profit Loss-Betul-25-26'!$A$9:$P$141,15,0)</f>
        <v>0</v>
      </c>
      <c r="AM164" s="55"/>
      <c r="AN164" s="56">
        <f t="shared" si="203"/>
        <v>12000</v>
      </c>
      <c r="AO164" s="65">
        <f t="shared" si="209"/>
        <v>2000</v>
      </c>
      <c r="AP164" s="55">
        <f>VLOOKUP(A164,'Profit Loss-Amravati-25-26'!$A$9:$R$192,17,0)</f>
        <v>16000</v>
      </c>
      <c r="AQ164" s="55">
        <f>VLOOKUP(A164,'Profit Loss-Betul-25-26'!$A$9:$R$141,17,0)</f>
        <v>0</v>
      </c>
      <c r="AR164" s="55"/>
      <c r="AS164" s="56">
        <f t="shared" si="204"/>
        <v>16000</v>
      </c>
      <c r="AT164" s="65">
        <f t="shared" si="210"/>
        <v>4000</v>
      </c>
      <c r="AU164" s="55">
        <f>VLOOKUP(A164,'Profit Loss-Amravati-25-26'!$A$9:$T$192,19,0)</f>
        <v>16000</v>
      </c>
      <c r="AV164" s="55">
        <f>VLOOKUP(A164,'Profit Loss-Betul-25-26'!$A$9:$T$141,19,0)</f>
        <v>2000</v>
      </c>
      <c r="AW164" s="55"/>
      <c r="AX164" s="56">
        <f t="shared" si="205"/>
        <v>18000</v>
      </c>
      <c r="AY164" s="65">
        <f t="shared" si="211"/>
        <v>2000</v>
      </c>
      <c r="AZ164" s="55">
        <f>VLOOKUP(A164,'Profit Loss-Amravati-25-26'!$A$9:$V$192,21,0)</f>
        <v>16000</v>
      </c>
      <c r="BA164" s="55">
        <f>VLOOKUP(A164,'Profit Loss-Betul-25-26'!$A$9:$V$141,21,0)</f>
        <v>2000</v>
      </c>
      <c r="BB164" s="55"/>
      <c r="BC164" s="56">
        <f t="shared" si="206"/>
        <v>18000</v>
      </c>
      <c r="BD164" s="65">
        <f t="shared" si="212"/>
        <v>0</v>
      </c>
      <c r="BE164" s="55"/>
      <c r="BF164" s="55"/>
    </row>
    <row r="165" spans="1:58" hidden="1" x14ac:dyDescent="0.3">
      <c r="A165" s="10" t="s">
        <v>107</v>
      </c>
      <c r="B165" s="11">
        <f>VLOOKUP(A165,'Profit Loss-Textile'!$A$8:$B$135,2,0)</f>
        <v>0</v>
      </c>
      <c r="C165" s="11"/>
      <c r="D165" s="57"/>
      <c r="E165" s="57"/>
      <c r="F165" s="65">
        <f t="shared" si="220"/>
        <v>0</v>
      </c>
      <c r="G165" s="11"/>
      <c r="H165" s="57"/>
      <c r="I165" s="57"/>
      <c r="J165" s="56">
        <f t="shared" si="224"/>
        <v>0</v>
      </c>
      <c r="K165" s="65">
        <f t="shared" si="223"/>
        <v>0</v>
      </c>
      <c r="L165" s="55"/>
      <c r="M165" s="55"/>
      <c r="N165" s="55"/>
      <c r="O165" s="56">
        <f t="shared" si="225"/>
        <v>0</v>
      </c>
      <c r="P165" s="65">
        <f t="shared" si="213"/>
        <v>0</v>
      </c>
      <c r="Q165" s="55"/>
      <c r="R165" s="55"/>
      <c r="S165" s="55"/>
      <c r="T165" s="56">
        <f t="shared" si="216"/>
        <v>0</v>
      </c>
      <c r="U165" s="65">
        <f t="shared" si="217"/>
        <v>0</v>
      </c>
      <c r="V165" s="55"/>
      <c r="W165" s="55"/>
      <c r="X165" s="55"/>
      <c r="Y165" s="56">
        <f t="shared" si="221"/>
        <v>0</v>
      </c>
      <c r="Z165" s="65">
        <f t="shared" si="222"/>
        <v>0</v>
      </c>
      <c r="AA165" s="55"/>
      <c r="AB165" s="55"/>
      <c r="AC165" s="55"/>
      <c r="AD165" s="56">
        <f t="shared" si="214"/>
        <v>0</v>
      </c>
      <c r="AE165" s="65">
        <f t="shared" si="215"/>
        <v>0</v>
      </c>
      <c r="AF165" s="55"/>
      <c r="AG165" s="55"/>
      <c r="AH165" s="55"/>
      <c r="AI165" s="56">
        <f t="shared" si="208"/>
        <v>0</v>
      </c>
      <c r="AJ165" s="65">
        <f t="shared" si="202"/>
        <v>0</v>
      </c>
      <c r="AK165" s="55"/>
      <c r="AL165" s="55"/>
      <c r="AM165" s="55"/>
      <c r="AN165" s="56">
        <f t="shared" si="203"/>
        <v>0</v>
      </c>
      <c r="AO165" s="65">
        <f t="shared" si="209"/>
        <v>0</v>
      </c>
      <c r="AP165" s="55"/>
      <c r="AQ165" s="55"/>
      <c r="AR165" s="55"/>
      <c r="AS165" s="56">
        <f t="shared" si="204"/>
        <v>0</v>
      </c>
      <c r="AT165" s="65">
        <f t="shared" si="210"/>
        <v>0</v>
      </c>
      <c r="AU165" s="55"/>
      <c r="AV165" s="55"/>
      <c r="AW165" s="55"/>
      <c r="AX165" s="56">
        <f t="shared" si="205"/>
        <v>0</v>
      </c>
      <c r="AY165" s="65">
        <f t="shared" si="211"/>
        <v>0</v>
      </c>
      <c r="AZ165" s="55"/>
      <c r="BA165" s="55"/>
      <c r="BB165" s="55"/>
      <c r="BC165" s="56">
        <f t="shared" si="206"/>
        <v>0</v>
      </c>
      <c r="BD165" s="65">
        <f t="shared" si="212"/>
        <v>0</v>
      </c>
      <c r="BE165" s="55"/>
      <c r="BF165" s="55"/>
    </row>
    <row r="166" spans="1:58" hidden="1" x14ac:dyDescent="0.3">
      <c r="A166" s="25" t="s">
        <v>108</v>
      </c>
      <c r="B166" s="11">
        <f>VLOOKUP(A166,'Profit Loss-Textile'!$A$8:$B$135,2,0)</f>
        <v>0</v>
      </c>
      <c r="C166" s="11">
        <f>VLOOKUP(A166,'Profit Loss-Amravati-25-26'!$A$13:$B$190,2,0)</f>
        <v>0</v>
      </c>
      <c r="D166" s="57">
        <f>VLOOKUP(A166,'Profit Loss-Betul-25-26'!$A$9:$B$140,2,0)</f>
        <v>0</v>
      </c>
      <c r="E166" s="57"/>
      <c r="F166" s="65">
        <f t="shared" si="220"/>
        <v>0</v>
      </c>
      <c r="G166" s="11">
        <f>VLOOKUP(A166,'Profit Loss-Amravati-25-26'!$A$9:$D$190,3,0)</f>
        <v>0</v>
      </c>
      <c r="H166" s="57">
        <f>VLOOKUP(A166,'Profit Loss-Betul-25-26'!$A$9:$D$140,3,0)</f>
        <v>0</v>
      </c>
      <c r="I166" s="57"/>
      <c r="J166" s="56">
        <f t="shared" si="224"/>
        <v>0</v>
      </c>
      <c r="K166" s="65">
        <f t="shared" si="223"/>
        <v>0</v>
      </c>
      <c r="L166" s="55">
        <f>VLOOKUP(A166,'Profit Loss-Amravati-25-26'!$A$9:$F$190,5,0)</f>
        <v>0</v>
      </c>
      <c r="M166" s="55">
        <f>VLOOKUP(A166,'Profit Loss-Betul-25-26'!$A$9:$F$141,5,0)</f>
        <v>0</v>
      </c>
      <c r="N166" s="55"/>
      <c r="O166" s="56">
        <f t="shared" si="225"/>
        <v>0</v>
      </c>
      <c r="P166" s="65">
        <f t="shared" si="213"/>
        <v>0</v>
      </c>
      <c r="Q166" s="55">
        <f>VLOOKUP(A166,'Profit Loss-Amravati-25-26'!$A$9:$H$190,7,0)</f>
        <v>0</v>
      </c>
      <c r="R166" s="55">
        <f>VLOOKUP(A166,'Profit Loss-Betul-25-26'!$A$9:$H$141,7,0)</f>
        <v>0</v>
      </c>
      <c r="S166" s="55"/>
      <c r="T166" s="56">
        <f t="shared" si="216"/>
        <v>0</v>
      </c>
      <c r="U166" s="65">
        <f t="shared" si="217"/>
        <v>0</v>
      </c>
      <c r="V166" s="55">
        <f>VLOOKUP(A166,'Profit Loss-Amravati-25-26'!$A$9:$J$190,9,0)</f>
        <v>0</v>
      </c>
      <c r="W166" s="55">
        <f>VLOOKUP(A166,'Profit Loss-Betul-25-26'!$A$9:$J$141,9,0)</f>
        <v>0</v>
      </c>
      <c r="X166" s="55"/>
      <c r="Y166" s="56">
        <f t="shared" si="221"/>
        <v>0</v>
      </c>
      <c r="Z166" s="65">
        <f t="shared" si="222"/>
        <v>0</v>
      </c>
      <c r="AA166" s="55">
        <f>VLOOKUP(A166,'Profit Loss-Amravati-25-26'!$A$9:$L$192,11,0)</f>
        <v>0</v>
      </c>
      <c r="AB166" s="55">
        <f>VLOOKUP(A166,'Profit Loss-Betul-25-26'!$A$9:$L$141,11,0)</f>
        <v>0</v>
      </c>
      <c r="AC166" s="55"/>
      <c r="AD166" s="56">
        <f t="shared" si="214"/>
        <v>0</v>
      </c>
      <c r="AE166" s="65">
        <f t="shared" si="215"/>
        <v>0</v>
      </c>
      <c r="AF166" s="55">
        <f>VLOOKUP(A166,'Profit Loss-Amravati-25-26'!$A$9:$N$192,13,0)</f>
        <v>0</v>
      </c>
      <c r="AG166" s="55">
        <f>VLOOKUP(A166,'Profit Loss-Betul-25-26'!$A$9:$N$141,13,0)</f>
        <v>0</v>
      </c>
      <c r="AH166" s="55"/>
      <c r="AI166" s="56">
        <f t="shared" si="208"/>
        <v>0</v>
      </c>
      <c r="AJ166" s="65">
        <f t="shared" si="202"/>
        <v>0</v>
      </c>
      <c r="AK166" s="55">
        <f>VLOOKUP(A166,'Profit Loss-Amravati-25-26'!$A$9:$P$192,15,0)</f>
        <v>0</v>
      </c>
      <c r="AL166" s="55">
        <f>VLOOKUP(A166,'Profit Loss-Betul-25-26'!$A$9:$P$141,15,0)</f>
        <v>0</v>
      </c>
      <c r="AM166" s="55"/>
      <c r="AN166" s="56">
        <f t="shared" si="203"/>
        <v>0</v>
      </c>
      <c r="AO166" s="65">
        <f t="shared" si="209"/>
        <v>0</v>
      </c>
      <c r="AP166" s="55">
        <f>VLOOKUP(A166,'Profit Loss-Amravati-25-26'!$A$9:$R$192,17,0)</f>
        <v>0</v>
      </c>
      <c r="AQ166" s="55">
        <f>VLOOKUP(A166,'Profit Loss-Betul-25-26'!$A$9:$R$141,17,0)</f>
        <v>0</v>
      </c>
      <c r="AR166" s="55"/>
      <c r="AS166" s="56">
        <f t="shared" si="204"/>
        <v>0</v>
      </c>
      <c r="AT166" s="65">
        <f t="shared" si="210"/>
        <v>0</v>
      </c>
      <c r="AU166" s="55">
        <f>VLOOKUP(A166,'Profit Loss-Amravati-25-26'!$A$9:$T$192,19,0)</f>
        <v>0</v>
      </c>
      <c r="AV166" s="55">
        <f>VLOOKUP(A166,'Profit Loss-Betul-25-26'!$A$9:$T$141,19,0)</f>
        <v>0</v>
      </c>
      <c r="AW166" s="55"/>
      <c r="AX166" s="56">
        <f t="shared" si="205"/>
        <v>0</v>
      </c>
      <c r="AY166" s="65">
        <f t="shared" si="211"/>
        <v>0</v>
      </c>
      <c r="AZ166" s="55">
        <f>VLOOKUP(A166,'Profit Loss-Amravati-25-26'!$A$9:$V$192,21,0)</f>
        <v>0</v>
      </c>
      <c r="BA166" s="55">
        <f>VLOOKUP(A166,'Profit Loss-Betul-25-26'!$A$9:$V$141,21,0)</f>
        <v>0</v>
      </c>
      <c r="BB166" s="55"/>
      <c r="BC166" s="56">
        <f t="shared" si="206"/>
        <v>0</v>
      </c>
      <c r="BD166" s="65">
        <f t="shared" si="212"/>
        <v>0</v>
      </c>
      <c r="BE166" s="55"/>
      <c r="BF166" s="55"/>
    </row>
    <row r="167" spans="1:58" x14ac:dyDescent="0.3">
      <c r="A167" s="10" t="s">
        <v>234</v>
      </c>
      <c r="B167" s="11"/>
      <c r="C167" s="11">
        <f>VLOOKUP(A167,'Profit Loss-Amravati-25-26'!$A$13:$B$190,2,0)</f>
        <v>297660</v>
      </c>
      <c r="D167" s="57">
        <f>VLOOKUP(A167,'Profit Loss-Betul-25-26'!$A$9:$B$140,2,0)</f>
        <v>0</v>
      </c>
      <c r="E167" s="57"/>
      <c r="F167" s="65">
        <f t="shared" si="220"/>
        <v>297660</v>
      </c>
      <c r="G167" s="11">
        <f>VLOOKUP(A167,'Profit Loss-Amravati-25-26'!$A$9:$D$190,3,0)</f>
        <v>299666</v>
      </c>
      <c r="H167" s="57">
        <f>VLOOKUP(A167,'Profit Loss-Betul-25-26'!$A$9:$D$140,3,0)</f>
        <v>0</v>
      </c>
      <c r="I167" s="57"/>
      <c r="J167" s="56">
        <f t="shared" si="224"/>
        <v>299666</v>
      </c>
      <c r="K167" s="65">
        <f t="shared" si="223"/>
        <v>2006</v>
      </c>
      <c r="L167" s="55">
        <f>VLOOKUP(A167,'Profit Loss-Amravati-25-26'!$A$9:$F$190,5,0)</f>
        <v>410603.5</v>
      </c>
      <c r="M167" s="55">
        <f>VLOOKUP(A167,'Profit Loss-Betul-25-26'!$A$9:$F$141,5,0)</f>
        <v>0</v>
      </c>
      <c r="N167" s="55"/>
      <c r="O167" s="56">
        <f t="shared" si="225"/>
        <v>410603.5</v>
      </c>
      <c r="P167" s="65">
        <f t="shared" si="213"/>
        <v>110937.5</v>
      </c>
      <c r="Q167" s="55">
        <f>VLOOKUP(A167,'Profit Loss-Amravati-25-26'!$A$9:$H$190,7,0)</f>
        <v>487467.33333333331</v>
      </c>
      <c r="R167" s="55">
        <f>VLOOKUP(A167,'Profit Loss-Betul-25-26'!$A$9:$H$141,7,0)</f>
        <v>0</v>
      </c>
      <c r="S167" s="55"/>
      <c r="T167" s="56">
        <f t="shared" si="216"/>
        <v>487467.33333333331</v>
      </c>
      <c r="U167" s="65">
        <f t="shared" si="217"/>
        <v>76863.833333333314</v>
      </c>
      <c r="V167" s="55">
        <f>VLOOKUP(A167,'Profit Loss-Amravati-25-26'!$A$9:$J$190,9,0)</f>
        <v>513620.16666666663</v>
      </c>
      <c r="W167" s="55">
        <f>VLOOKUP(A167,'Profit Loss-Betul-25-26'!$A$9:$J$141,9,0)</f>
        <v>0</v>
      </c>
      <c r="X167" s="55"/>
      <c r="Y167" s="56">
        <f t="shared" si="221"/>
        <v>513620.16666666663</v>
      </c>
      <c r="Z167" s="65">
        <f t="shared" si="222"/>
        <v>26152.833333333314</v>
      </c>
      <c r="AA167" s="55">
        <f>VLOOKUP(A167,'Profit Loss-Amravati-25-26'!$A$9:$L$192,11,0)</f>
        <v>523336</v>
      </c>
      <c r="AB167" s="55">
        <f>VLOOKUP(A167,'Profit Loss-Betul-25-26'!$A$9:$L$141,11,0)</f>
        <v>0</v>
      </c>
      <c r="AC167" s="55"/>
      <c r="AD167" s="56">
        <f t="shared" si="214"/>
        <v>523336</v>
      </c>
      <c r="AE167" s="65">
        <f t="shared" si="215"/>
        <v>9715.8333333333721</v>
      </c>
      <c r="AF167" s="55">
        <f>VLOOKUP(A167,'Profit Loss-Amravati-25-26'!$A$9:$N$192,13,0)</f>
        <v>538709.83333333337</v>
      </c>
      <c r="AG167" s="55">
        <f>VLOOKUP(A167,'Profit Loss-Betul-25-26'!$A$9:$N$141,13,0)</f>
        <v>0</v>
      </c>
      <c r="AH167" s="55"/>
      <c r="AI167" s="56">
        <f t="shared" si="208"/>
        <v>538709.83333333337</v>
      </c>
      <c r="AJ167" s="65">
        <f t="shared" si="202"/>
        <v>15373.833333333372</v>
      </c>
      <c r="AK167" s="55">
        <f>VLOOKUP(A167,'Profit Loss-Amravati-25-26'!$A$9:$P$192,15,0)</f>
        <v>548425.66666666663</v>
      </c>
      <c r="AL167" s="55">
        <f>VLOOKUP(A167,'Profit Loss-Betul-25-26'!$A$9:$P$141,15,0)</f>
        <v>0</v>
      </c>
      <c r="AM167" s="55"/>
      <c r="AN167" s="56">
        <f t="shared" si="203"/>
        <v>548425.66666666663</v>
      </c>
      <c r="AO167" s="65">
        <f t="shared" si="209"/>
        <v>9715.8333333332557</v>
      </c>
      <c r="AP167" s="55">
        <f>VLOOKUP(A167,'Profit Loss-Amravati-25-26'!$A$9:$R$192,17,0)</f>
        <v>558141.5</v>
      </c>
      <c r="AQ167" s="55">
        <f>VLOOKUP(A167,'Profit Loss-Betul-25-26'!$A$9:$R$141,17,0)</f>
        <v>0</v>
      </c>
      <c r="AR167" s="55"/>
      <c r="AS167" s="56">
        <f t="shared" si="204"/>
        <v>558141.5</v>
      </c>
      <c r="AT167" s="65">
        <f t="shared" si="210"/>
        <v>9715.8333333333721</v>
      </c>
      <c r="AU167" s="55">
        <f>VLOOKUP(A167,'Profit Loss-Amravati-25-26'!$A$9:$T$192,19,0)</f>
        <v>571496.33333333337</v>
      </c>
      <c r="AV167" s="55">
        <f>VLOOKUP(A167,'Profit Loss-Betul-25-26'!$A$9:$T$141,19,0)</f>
        <v>0</v>
      </c>
      <c r="AW167" s="55"/>
      <c r="AX167" s="56">
        <f t="shared" si="205"/>
        <v>571496.33333333337</v>
      </c>
      <c r="AY167" s="65">
        <f t="shared" si="211"/>
        <v>13354.833333333372</v>
      </c>
      <c r="AZ167" s="55">
        <f>VLOOKUP(A167,'Profit Loss-Amravati-25-26'!$A$9:$V$192,21,0)</f>
        <v>634304.16666666663</v>
      </c>
      <c r="BA167" s="55">
        <f>VLOOKUP(A167,'Profit Loss-Betul-25-26'!$A$9:$V$141,21,0)</f>
        <v>0</v>
      </c>
      <c r="BB167" s="55"/>
      <c r="BC167" s="56">
        <f t="shared" si="206"/>
        <v>634304.16666666663</v>
      </c>
      <c r="BD167" s="65">
        <f t="shared" si="212"/>
        <v>62807.833333333256</v>
      </c>
      <c r="BE167" s="55"/>
      <c r="BF167" s="55"/>
    </row>
    <row r="168" spans="1:58" x14ac:dyDescent="0.3">
      <c r="A168" t="s">
        <v>204</v>
      </c>
      <c r="B168" s="11"/>
      <c r="C168" s="11"/>
      <c r="D168" s="57"/>
      <c r="E168" s="57"/>
      <c r="F168" s="65"/>
      <c r="G168" s="11"/>
      <c r="H168" s="57"/>
      <c r="I168" s="57"/>
      <c r="J168" s="56"/>
      <c r="K168" s="65"/>
      <c r="L168" s="55"/>
      <c r="M168" s="55"/>
      <c r="N168" s="55"/>
      <c r="O168" s="56"/>
      <c r="P168" s="65"/>
      <c r="Q168" s="55"/>
      <c r="R168" s="55"/>
      <c r="S168" s="55"/>
      <c r="T168" s="56"/>
      <c r="U168" s="65"/>
      <c r="V168" s="55"/>
      <c r="W168" s="55"/>
      <c r="X168" s="55"/>
      <c r="Y168" s="56"/>
      <c r="Z168" s="65"/>
      <c r="AA168" s="55"/>
      <c r="AB168" s="55"/>
      <c r="AC168" s="55"/>
      <c r="AD168" s="56"/>
      <c r="AE168" s="65"/>
      <c r="AF168" s="55">
        <f>VLOOKUP(A168,'Profit Loss-Amravati-25-26'!$A$9:$N$192,13,0)</f>
        <v>0</v>
      </c>
      <c r="AG168" s="55"/>
      <c r="AH168" s="55"/>
      <c r="AI168" s="56"/>
      <c r="AJ168" s="65"/>
      <c r="AK168" s="55">
        <f>VLOOKUP(A168,'Profit Loss-Amravati-25-26'!$A$9:$P$192,15,0)</f>
        <v>2000</v>
      </c>
      <c r="AL168" s="55"/>
      <c r="AM168" s="55"/>
      <c r="AN168" s="56">
        <f t="shared" si="203"/>
        <v>2000</v>
      </c>
      <c r="AO168" s="65">
        <f t="shared" si="209"/>
        <v>2000</v>
      </c>
      <c r="AP168" s="55">
        <f>VLOOKUP(A168,'Profit Loss-Amravati-25-26'!$A$9:$R$192,17,0)</f>
        <v>121697.75</v>
      </c>
      <c r="AQ168" s="55">
        <f>VLOOKUP(A168,'Profit Loss-Betul-25-26'!$A$9:$R$141,17,0)</f>
        <v>0</v>
      </c>
      <c r="AR168" s="55"/>
      <c r="AS168" s="56">
        <f t="shared" si="204"/>
        <v>121697.75</v>
      </c>
      <c r="AT168" s="65">
        <f t="shared" si="210"/>
        <v>119697.75</v>
      </c>
      <c r="AU168" s="55">
        <f>VLOOKUP(A168,'Profit Loss-Amravati-25-26'!$A$9:$T$192,19,0)</f>
        <v>121697.75</v>
      </c>
      <c r="AV168" s="55">
        <f>VLOOKUP(A168,'Profit Loss-Betul-25-26'!$A$9:$T$141,19,0)</f>
        <v>0</v>
      </c>
      <c r="AW168" s="55"/>
      <c r="AX168" s="56">
        <f t="shared" si="205"/>
        <v>121697.75</v>
      </c>
      <c r="AY168" s="65">
        <f t="shared" si="211"/>
        <v>0</v>
      </c>
      <c r="AZ168" s="55">
        <f>VLOOKUP(A168,'Profit Loss-Amravati-25-26'!$A$9:$V$192,21,0)</f>
        <v>123697.75</v>
      </c>
      <c r="BA168" s="55">
        <f>VLOOKUP(A168,'Profit Loss-Betul-25-26'!$A$9:$V$141,21,0)</f>
        <v>0</v>
      </c>
      <c r="BB168" s="55"/>
      <c r="BC168" s="56">
        <f t="shared" si="206"/>
        <v>123697.75</v>
      </c>
      <c r="BD168" s="65">
        <f t="shared" si="212"/>
        <v>2000</v>
      </c>
      <c r="BE168" s="55"/>
      <c r="BF168" s="55"/>
    </row>
    <row r="169" spans="1:58" x14ac:dyDescent="0.3">
      <c r="A169" s="10" t="s">
        <v>109</v>
      </c>
      <c r="B169" s="11">
        <f>VLOOKUP(A169,'Profit Loss-Textile'!$A$8:$B$135,2,0)</f>
        <v>0</v>
      </c>
      <c r="C169" s="11">
        <f>VLOOKUP(A169,'Profit Loss-Amravati-25-26'!$A$13:$B$190,2,0)</f>
        <v>26263.5</v>
      </c>
      <c r="D169" s="57">
        <f>VLOOKUP(A169,'Profit Loss-Betul-25-26'!$A$9:$B$140,2,0)</f>
        <v>765.82</v>
      </c>
      <c r="E169" s="57"/>
      <c r="F169" s="65">
        <f t="shared" si="220"/>
        <v>27029.32</v>
      </c>
      <c r="G169" s="11">
        <f>VLOOKUP(A169,'Profit Loss-Amravati-25-26'!$A$9:$D$190,3,0)</f>
        <v>72288.34</v>
      </c>
      <c r="H169" s="57">
        <f>VLOOKUP(A169,'Profit Loss-Betul-25-26'!$A$9:$D$140,3,0)</f>
        <v>1498.6</v>
      </c>
      <c r="I169" s="57"/>
      <c r="J169" s="56">
        <f t="shared" si="224"/>
        <v>73786.94</v>
      </c>
      <c r="K169" s="65">
        <f t="shared" si="223"/>
        <v>46757.62</v>
      </c>
      <c r="L169" s="55">
        <f>VLOOKUP(A169,'Profit Loss-Amravati-25-26'!$A$9:$F$190,5,0)</f>
        <v>108224.17</v>
      </c>
      <c r="M169" s="55">
        <f>VLOOKUP(A169,'Profit Loss-Betul-25-26'!$A$9:$F$141,5,0)</f>
        <v>2302.1799999999998</v>
      </c>
      <c r="N169" s="55"/>
      <c r="O169" s="56">
        <f t="shared" si="225"/>
        <v>110526.34999999999</v>
      </c>
      <c r="P169" s="65">
        <f t="shared" si="213"/>
        <v>36739.409999999989</v>
      </c>
      <c r="Q169" s="55">
        <f>VLOOKUP(A169,'Profit Loss-Amravati-25-26'!$A$9:$H$190,7,0)</f>
        <v>192771.49</v>
      </c>
      <c r="R169" s="55">
        <f>VLOOKUP(A169,'Profit Loss-Betul-25-26'!$A$9:$H$141,7,0)</f>
        <v>8820.5</v>
      </c>
      <c r="S169" s="55"/>
      <c r="T169" s="56">
        <f t="shared" si="216"/>
        <v>201591.99</v>
      </c>
      <c r="U169" s="65">
        <f t="shared" si="217"/>
        <v>91065.64</v>
      </c>
      <c r="V169" s="55">
        <f>VLOOKUP(A169,'Profit Loss-Amravati-25-26'!$A$9:$J$190,9,0)</f>
        <v>221540.57</v>
      </c>
      <c r="W169" s="55">
        <f>VLOOKUP(A169,'Profit Loss-Betul-25-26'!$A$9:$J$141,9,0)</f>
        <v>9600.48</v>
      </c>
      <c r="X169" s="55"/>
      <c r="Y169" s="56">
        <f t="shared" si="221"/>
        <v>231141.05000000002</v>
      </c>
      <c r="Z169" s="65">
        <f t="shared" si="222"/>
        <v>29549.060000000027</v>
      </c>
      <c r="AA169" s="55">
        <f>VLOOKUP(A169,'Profit Loss-Amravati-25-26'!$A$9:$L$192,11,0)</f>
        <v>236988.89</v>
      </c>
      <c r="AB169" s="55">
        <f>VLOOKUP(A169,'Profit Loss-Betul-25-26'!$A$9:$L$141,11,0)</f>
        <v>10472.5</v>
      </c>
      <c r="AC169" s="55"/>
      <c r="AD169" s="56">
        <f t="shared" si="214"/>
        <v>247461.39</v>
      </c>
      <c r="AE169" s="65">
        <f t="shared" si="215"/>
        <v>16320.339999999997</v>
      </c>
      <c r="AF169" s="55">
        <f>VLOOKUP(A169,'Profit Loss-Amravati-25-26'!$A$9:$N$192,13,0)</f>
        <v>256510.49</v>
      </c>
      <c r="AG169" s="55">
        <f>VLOOKUP(A169,'Profit Loss-Betul-25-26'!$A$9:$N$141,13,0)</f>
        <v>11202.92</v>
      </c>
      <c r="AH169" s="55"/>
      <c r="AI169" s="56">
        <f t="shared" si="208"/>
        <v>267713.40999999997</v>
      </c>
      <c r="AJ169" s="65">
        <f t="shared" si="202"/>
        <v>20252.01999999996</v>
      </c>
      <c r="AK169" s="55">
        <f>VLOOKUP(A169,'Profit Loss-Amravati-25-26'!$A$9:$P$192,15,0)</f>
        <v>322695.65000000002</v>
      </c>
      <c r="AL169" s="55">
        <f>VLOOKUP(A169,'Profit Loss-Betul-25-26'!$A$9:$P$141,15,0)</f>
        <v>13927.54</v>
      </c>
      <c r="AM169" s="55"/>
      <c r="AN169" s="56">
        <f t="shared" si="203"/>
        <v>336623.19</v>
      </c>
      <c r="AO169" s="65">
        <f t="shared" si="209"/>
        <v>68909.780000000028</v>
      </c>
      <c r="AP169" s="55">
        <f>VLOOKUP(A169,'Profit Loss-Amravati-25-26'!$A$9:$R$192,17,0)</f>
        <v>374746.27</v>
      </c>
      <c r="AQ169" s="55">
        <f>VLOOKUP(A169,'Profit Loss-Betul-25-26'!$A$9:$R$141,17,0)</f>
        <v>14974.2</v>
      </c>
      <c r="AR169" s="55"/>
      <c r="AS169" s="56">
        <f t="shared" si="204"/>
        <v>389720.47000000003</v>
      </c>
      <c r="AT169" s="65">
        <f t="shared" si="210"/>
        <v>53097.280000000028</v>
      </c>
      <c r="AU169" s="55">
        <f>VLOOKUP(A169,'Profit Loss-Amravati-25-26'!$A$9:$T$192,19,0)</f>
        <v>486035.33</v>
      </c>
      <c r="AV169" s="55">
        <f>VLOOKUP(A169,'Profit Loss-Betul-25-26'!$A$9:$T$141,19,0)</f>
        <v>15810.82</v>
      </c>
      <c r="AW169" s="55"/>
      <c r="AX169" s="56">
        <f t="shared" si="205"/>
        <v>501846.15</v>
      </c>
      <c r="AY169" s="65">
        <f t="shared" si="211"/>
        <v>112125.68</v>
      </c>
      <c r="AZ169" s="55">
        <f>VLOOKUP(A169,'Profit Loss-Amravati-25-26'!$A$9:$V$192,21,0)</f>
        <v>724895.65</v>
      </c>
      <c r="BA169" s="55">
        <f>VLOOKUP(A169,'Profit Loss-Betul-25-26'!$A$9:$V$141,21,0)</f>
        <v>16458.64</v>
      </c>
      <c r="BB169" s="55"/>
      <c r="BC169" s="56">
        <f t="shared" si="206"/>
        <v>741354.29</v>
      </c>
      <c r="BD169" s="65">
        <f t="shared" si="212"/>
        <v>239508.14</v>
      </c>
      <c r="BE169" s="55"/>
      <c r="BF169" s="55"/>
    </row>
    <row r="170" spans="1:58" hidden="1" x14ac:dyDescent="0.3">
      <c r="A170" s="10" t="s">
        <v>110</v>
      </c>
      <c r="B170" s="11"/>
      <c r="C170" s="11"/>
      <c r="D170" s="57"/>
      <c r="E170" s="57"/>
      <c r="F170" s="65">
        <f t="shared" si="220"/>
        <v>0</v>
      </c>
      <c r="G170" s="11"/>
      <c r="H170" s="57"/>
      <c r="I170" s="57"/>
      <c r="J170" s="56">
        <f t="shared" si="224"/>
        <v>0</v>
      </c>
      <c r="K170" s="65">
        <f t="shared" si="223"/>
        <v>0</v>
      </c>
      <c r="L170" s="55"/>
      <c r="M170" s="55"/>
      <c r="N170" s="55"/>
      <c r="O170" s="56">
        <f t="shared" si="225"/>
        <v>0</v>
      </c>
      <c r="P170" s="65">
        <f t="shared" si="213"/>
        <v>0</v>
      </c>
      <c r="Q170" s="55"/>
      <c r="R170" s="55"/>
      <c r="S170" s="55"/>
      <c r="T170" s="56">
        <f t="shared" si="216"/>
        <v>0</v>
      </c>
      <c r="U170" s="65">
        <f t="shared" si="217"/>
        <v>0</v>
      </c>
      <c r="V170" s="55"/>
      <c r="W170" s="55"/>
      <c r="X170" s="55"/>
      <c r="Y170" s="56">
        <f t="shared" si="221"/>
        <v>0</v>
      </c>
      <c r="Z170" s="65">
        <f t="shared" si="222"/>
        <v>0</v>
      </c>
      <c r="AA170" s="55"/>
      <c r="AB170" s="55"/>
      <c r="AC170" s="55"/>
      <c r="AD170" s="56">
        <f t="shared" si="214"/>
        <v>0</v>
      </c>
      <c r="AE170" s="65">
        <f t="shared" si="215"/>
        <v>0</v>
      </c>
      <c r="AF170" s="55"/>
      <c r="AG170" s="55"/>
      <c r="AH170" s="55"/>
      <c r="AI170" s="56">
        <f t="shared" si="208"/>
        <v>0</v>
      </c>
      <c r="AJ170" s="65">
        <f t="shared" si="202"/>
        <v>0</v>
      </c>
      <c r="AK170" s="55"/>
      <c r="AL170" s="55"/>
      <c r="AM170" s="55"/>
      <c r="AN170" s="56">
        <f t="shared" si="203"/>
        <v>0</v>
      </c>
      <c r="AO170" s="65">
        <f t="shared" si="209"/>
        <v>0</v>
      </c>
      <c r="AP170" s="55"/>
      <c r="AQ170" s="55"/>
      <c r="AR170" s="55"/>
      <c r="AS170" s="56">
        <f t="shared" si="204"/>
        <v>0</v>
      </c>
      <c r="AT170" s="65">
        <f t="shared" si="210"/>
        <v>0</v>
      </c>
      <c r="AU170" s="55"/>
      <c r="AV170" s="55"/>
      <c r="AW170" s="55"/>
      <c r="AX170" s="56">
        <f t="shared" si="205"/>
        <v>0</v>
      </c>
      <c r="AY170" s="65">
        <f t="shared" si="211"/>
        <v>0</v>
      </c>
      <c r="AZ170" s="55"/>
      <c r="BA170" s="55"/>
      <c r="BB170" s="55"/>
      <c r="BC170" s="56">
        <f t="shared" si="206"/>
        <v>0</v>
      </c>
      <c r="BD170" s="65">
        <f t="shared" si="212"/>
        <v>0</v>
      </c>
      <c r="BE170" s="55"/>
      <c r="BF170" s="55"/>
    </row>
    <row r="171" spans="1:58" hidden="1" x14ac:dyDescent="0.3">
      <c r="A171" t="s">
        <v>111</v>
      </c>
      <c r="B171" s="11"/>
      <c r="C171" s="11">
        <f>VLOOKUP(A171,'Profit Loss-Amravati-25-26'!$A$13:$B$190,2,0)</f>
        <v>0</v>
      </c>
      <c r="D171" s="57">
        <f>VLOOKUP(A171,'Profit Loss-Betul-25-26'!$A$9:$B$140,2,0)</f>
        <v>0</v>
      </c>
      <c r="E171" s="57"/>
      <c r="F171" s="65">
        <f t="shared" si="220"/>
        <v>0</v>
      </c>
      <c r="G171" s="11">
        <f>VLOOKUP(A171,'Profit Loss-Amravati-25-26'!$A$9:$D$190,3,0)</f>
        <v>0</v>
      </c>
      <c r="H171" s="57">
        <f>VLOOKUP(A171,'Profit Loss-Betul-25-26'!$A$9:$D$140,3,0)</f>
        <v>0</v>
      </c>
      <c r="I171" s="57"/>
      <c r="J171" s="56">
        <f t="shared" si="224"/>
        <v>0</v>
      </c>
      <c r="K171" s="65">
        <f t="shared" si="223"/>
        <v>0</v>
      </c>
      <c r="L171" s="55">
        <f>VLOOKUP(A171,'Profit Loss-Amravati-25-26'!$A$9:$F$190,5,0)</f>
        <v>0</v>
      </c>
      <c r="M171" s="55">
        <f>VLOOKUP(A171,'Profit Loss-Betul-25-26'!$A$9:$F$141,5,0)</f>
        <v>0</v>
      </c>
      <c r="N171" s="55"/>
      <c r="O171" s="56">
        <f t="shared" si="225"/>
        <v>0</v>
      </c>
      <c r="P171" s="65">
        <f t="shared" si="213"/>
        <v>0</v>
      </c>
      <c r="Q171" s="55">
        <f>VLOOKUP(A171,'Profit Loss-Amravati-25-26'!$A$9:$H$190,7,0)</f>
        <v>0</v>
      </c>
      <c r="R171" s="55">
        <f>VLOOKUP(A171,'Profit Loss-Betul-25-26'!$A$9:$H$141,7,0)</f>
        <v>0</v>
      </c>
      <c r="S171" s="55"/>
      <c r="T171" s="56">
        <f t="shared" si="216"/>
        <v>0</v>
      </c>
      <c r="U171" s="65">
        <f t="shared" si="217"/>
        <v>0</v>
      </c>
      <c r="V171" s="55">
        <f>VLOOKUP(A171,'Profit Loss-Amravati-25-26'!$A$9:$J$190,9,0)</f>
        <v>0</v>
      </c>
      <c r="W171" s="55">
        <f>VLOOKUP(A171,'Profit Loss-Betul-25-26'!$A$9:$J$141,9,0)</f>
        <v>0</v>
      </c>
      <c r="X171" s="55"/>
      <c r="Y171" s="56">
        <f t="shared" si="221"/>
        <v>0</v>
      </c>
      <c r="Z171" s="65">
        <f t="shared" si="222"/>
        <v>0</v>
      </c>
      <c r="AA171" s="55">
        <f>VLOOKUP(A171,'Profit Loss-Amravati-25-26'!$A$9:$L$192,11,0)</f>
        <v>0</v>
      </c>
      <c r="AB171" s="55">
        <f>VLOOKUP(A171,'Profit Loss-Betul-25-26'!$A$9:$L$141,11,0)</f>
        <v>0</v>
      </c>
      <c r="AC171" s="55"/>
      <c r="AD171" s="56">
        <f t="shared" si="214"/>
        <v>0</v>
      </c>
      <c r="AE171" s="65">
        <f t="shared" si="215"/>
        <v>0</v>
      </c>
      <c r="AF171" s="55">
        <f>VLOOKUP(A171,'Profit Loss-Amravati-25-26'!$A$9:$N$192,13,0)</f>
        <v>0</v>
      </c>
      <c r="AG171" s="55">
        <f>VLOOKUP(A171,'Profit Loss-Betul-25-26'!$A$9:$N$141,13,0)</f>
        <v>0</v>
      </c>
      <c r="AH171" s="55"/>
      <c r="AI171" s="56">
        <f t="shared" si="208"/>
        <v>0</v>
      </c>
      <c r="AJ171" s="65">
        <f t="shared" si="202"/>
        <v>0</v>
      </c>
      <c r="AK171" s="55">
        <f>VLOOKUP(A171,'Profit Loss-Amravati-25-26'!$A$9:$P$192,15,0)</f>
        <v>0</v>
      </c>
      <c r="AL171" s="55">
        <f>VLOOKUP(A171,'Profit Loss-Betul-25-26'!$A$9:$P$141,15,0)</f>
        <v>0</v>
      </c>
      <c r="AM171" s="55"/>
      <c r="AN171" s="56">
        <f t="shared" si="203"/>
        <v>0</v>
      </c>
      <c r="AO171" s="65">
        <f t="shared" si="209"/>
        <v>0</v>
      </c>
      <c r="AP171" s="55">
        <f>VLOOKUP(A171,'Profit Loss-Amravati-25-26'!$A$9:$R$192,17,0)</f>
        <v>0</v>
      </c>
      <c r="AQ171" s="55">
        <f>VLOOKUP(A171,'Profit Loss-Betul-25-26'!$A$9:$R$141,17,0)</f>
        <v>0</v>
      </c>
      <c r="AR171" s="55"/>
      <c r="AS171" s="56">
        <f t="shared" si="204"/>
        <v>0</v>
      </c>
      <c r="AT171" s="65">
        <f t="shared" si="210"/>
        <v>0</v>
      </c>
      <c r="AU171" s="55">
        <f>VLOOKUP(A171,'Profit Loss-Amravati-25-26'!$A$9:$T$192,19,0)</f>
        <v>0</v>
      </c>
      <c r="AV171" s="55">
        <f>VLOOKUP(A171,'Profit Loss-Betul-25-26'!$A$9:$T$141,19,0)</f>
        <v>0</v>
      </c>
      <c r="AW171" s="55"/>
      <c r="AX171" s="56">
        <f t="shared" si="205"/>
        <v>0</v>
      </c>
      <c r="AY171" s="65">
        <f t="shared" si="211"/>
        <v>0</v>
      </c>
      <c r="AZ171" s="55">
        <f>VLOOKUP(A171,'Profit Loss-Amravati-25-26'!$A$9:$V$192,21,0)</f>
        <v>0</v>
      </c>
      <c r="BA171" s="55">
        <f>VLOOKUP(A171,'Profit Loss-Betul-25-26'!$A$9:$V$141,21,0)</f>
        <v>0</v>
      </c>
      <c r="BB171" s="55"/>
      <c r="BC171" s="56">
        <f t="shared" si="206"/>
        <v>0</v>
      </c>
      <c r="BD171" s="65">
        <f t="shared" si="212"/>
        <v>0</v>
      </c>
      <c r="BE171" s="55"/>
      <c r="BF171" s="55"/>
    </row>
    <row r="172" spans="1:58" x14ac:dyDescent="0.3">
      <c r="A172" s="10" t="s">
        <v>112</v>
      </c>
      <c r="B172" s="11"/>
      <c r="C172" s="11">
        <f>VLOOKUP(A172,'Profit Loss-Amravati-25-26'!$A$13:$B$190,2,0)</f>
        <v>181979.24</v>
      </c>
      <c r="D172" s="57">
        <f>VLOOKUP(A172,'Profit Loss-Betul-25-26'!$A$9:$B$140,2,0)</f>
        <v>0</v>
      </c>
      <c r="E172" s="57"/>
      <c r="F172" s="65">
        <f t="shared" si="220"/>
        <v>181979.24</v>
      </c>
      <c r="G172" s="11">
        <f>VLOOKUP(A172,'Profit Loss-Amravati-25-26'!$A$9:$D$190,3,0)</f>
        <v>307114.27</v>
      </c>
      <c r="H172" s="57">
        <f>VLOOKUP(A172,'Profit Loss-Betul-25-26'!$A$9:$D$140,3,0)</f>
        <v>0</v>
      </c>
      <c r="I172" s="57"/>
      <c r="J172" s="56">
        <f t="shared" si="224"/>
        <v>307114.27</v>
      </c>
      <c r="K172" s="65">
        <f t="shared" si="223"/>
        <v>125135.03000000003</v>
      </c>
      <c r="L172" s="55">
        <f>VLOOKUP(A172,'Profit Loss-Amravati-25-26'!$A$9:$F$190,5,0)</f>
        <v>353706.71</v>
      </c>
      <c r="M172" s="55">
        <f>VLOOKUP(A172,'Profit Loss-Betul-25-26'!$A$9:$F$141,5,0)</f>
        <v>0</v>
      </c>
      <c r="N172" s="55"/>
      <c r="O172" s="56">
        <f t="shared" si="225"/>
        <v>353706.71</v>
      </c>
      <c r="P172" s="65">
        <f t="shared" si="213"/>
        <v>46592.44</v>
      </c>
      <c r="Q172" s="55">
        <f>VLOOKUP(A172,'Profit Loss-Amravati-25-26'!$A$9:$H$190,7,0)</f>
        <v>717626.67</v>
      </c>
      <c r="R172" s="55">
        <f>VLOOKUP(A172,'Profit Loss-Betul-25-26'!$A$9:$H$141,7,0)</f>
        <v>0</v>
      </c>
      <c r="S172" s="55"/>
      <c r="T172" s="56">
        <f t="shared" si="216"/>
        <v>717626.67</v>
      </c>
      <c r="U172" s="65">
        <f t="shared" si="217"/>
        <v>363919.96</v>
      </c>
      <c r="V172" s="55">
        <f>VLOOKUP(A172,'Profit Loss-Amravati-25-26'!$A$9:$J$190,9,0)</f>
        <v>872560.36</v>
      </c>
      <c r="W172" s="55">
        <f>VLOOKUP(A172,'Profit Loss-Betul-25-26'!$A$9:$J$141,9,0)</f>
        <v>0</v>
      </c>
      <c r="X172" s="55"/>
      <c r="Y172" s="56">
        <f t="shared" si="221"/>
        <v>872560.36</v>
      </c>
      <c r="Z172" s="65">
        <f t="shared" si="222"/>
        <v>154933.68999999994</v>
      </c>
      <c r="AA172" s="55">
        <f>VLOOKUP(A172,'Profit Loss-Amravati-25-26'!$A$9:$L$192,11,0)</f>
        <v>1195018.75</v>
      </c>
      <c r="AB172" s="55">
        <f>VLOOKUP(A172,'Profit Loss-Betul-25-26'!$A$9:$L$141,11,0)</f>
        <v>0</v>
      </c>
      <c r="AC172" s="55"/>
      <c r="AD172" s="56">
        <f t="shared" si="214"/>
        <v>1195018.75</v>
      </c>
      <c r="AE172" s="65">
        <f t="shared" si="215"/>
        <v>322458.39</v>
      </c>
      <c r="AF172" s="55">
        <f>VLOOKUP(A172,'Profit Loss-Amravati-25-26'!$A$9:$N$192,13,0)</f>
        <v>1421763.15</v>
      </c>
      <c r="AG172" s="55">
        <f>VLOOKUP(A172,'Profit Loss-Betul-25-26'!$A$9:$N$141,13,0)</f>
        <v>0</v>
      </c>
      <c r="AH172" s="55"/>
      <c r="AI172" s="56">
        <f t="shared" si="208"/>
        <v>1421763.15</v>
      </c>
      <c r="AJ172" s="65">
        <f t="shared" si="202"/>
        <v>226744.39999999991</v>
      </c>
      <c r="AK172" s="55">
        <f>VLOOKUP(A172,'Profit Loss-Amravati-25-26'!$A$9:$P$192,15,0)</f>
        <v>1510730.66</v>
      </c>
      <c r="AL172" s="55">
        <f>VLOOKUP(A172,'Profit Loss-Betul-25-26'!$A$9:$P$141,15,0)</f>
        <v>0</v>
      </c>
      <c r="AM172" s="55"/>
      <c r="AN172" s="56">
        <f t="shared" si="203"/>
        <v>1510730.66</v>
      </c>
      <c r="AO172" s="65">
        <f t="shared" si="209"/>
        <v>88967.510000000009</v>
      </c>
      <c r="AP172" s="55">
        <f>VLOOKUP(A172,'Profit Loss-Amravati-25-26'!$A$9:$R$192,17,0)</f>
        <v>1693502.77</v>
      </c>
      <c r="AQ172" s="55">
        <f>VLOOKUP(A172,'Profit Loss-Betul-25-26'!$A$9:$R$141,17,0)</f>
        <v>0</v>
      </c>
      <c r="AR172" s="55"/>
      <c r="AS172" s="56">
        <f t="shared" si="204"/>
        <v>1693502.77</v>
      </c>
      <c r="AT172" s="65">
        <f t="shared" si="210"/>
        <v>182772.1100000001</v>
      </c>
      <c r="AU172" s="55">
        <f>VLOOKUP(A172,'Profit Loss-Amravati-25-26'!$A$9:$T$192,19,0)</f>
        <v>1875870.41</v>
      </c>
      <c r="AV172" s="55">
        <f>VLOOKUP(A172,'Profit Loss-Betul-25-26'!$A$9:$T$141,19,0)</f>
        <v>0</v>
      </c>
      <c r="AW172" s="55"/>
      <c r="AX172" s="56">
        <f t="shared" si="205"/>
        <v>1875870.41</v>
      </c>
      <c r="AY172" s="65">
        <f t="shared" si="211"/>
        <v>182367.6399999999</v>
      </c>
      <c r="AZ172" s="55">
        <f>VLOOKUP(A172,'Profit Loss-Amravati-25-26'!$A$9:$V$192,21,0)</f>
        <v>2052887.22</v>
      </c>
      <c r="BA172" s="55">
        <f>VLOOKUP(A172,'Profit Loss-Betul-25-26'!$A$9:$V$141,21,0)</f>
        <v>0</v>
      </c>
      <c r="BB172" s="55"/>
      <c r="BC172" s="56">
        <f t="shared" si="206"/>
        <v>2052887.22</v>
      </c>
      <c r="BD172" s="65">
        <f t="shared" si="212"/>
        <v>177016.81000000006</v>
      </c>
      <c r="BE172" s="55"/>
      <c r="BF172" s="55"/>
    </row>
    <row r="173" spans="1:58" x14ac:dyDescent="0.3">
      <c r="A173" s="10" t="s">
        <v>231</v>
      </c>
      <c r="B173" s="11"/>
      <c r="C173" s="11"/>
      <c r="D173" s="57"/>
      <c r="E173" s="57"/>
      <c r="F173" s="65"/>
      <c r="G173" s="11"/>
      <c r="H173" s="57"/>
      <c r="I173" s="57"/>
      <c r="J173" s="56"/>
      <c r="K173" s="65">
        <f t="shared" si="223"/>
        <v>0</v>
      </c>
      <c r="L173" s="55"/>
      <c r="M173" s="55"/>
      <c r="N173" s="55"/>
      <c r="O173" s="56"/>
      <c r="P173" s="65">
        <f t="shared" si="213"/>
        <v>0</v>
      </c>
      <c r="Q173" s="55">
        <f>VLOOKUP(A173,'Profit Loss-Amravati-25-26'!$A$9:$H$190,7,0)</f>
        <v>576</v>
      </c>
      <c r="R173" s="55">
        <f>VLOOKUP(A173,'Profit Loss-Betul-25-26'!$A$9:$H$141,7,0)</f>
        <v>0</v>
      </c>
      <c r="S173" s="55"/>
      <c r="T173" s="56">
        <f t="shared" si="216"/>
        <v>576</v>
      </c>
      <c r="U173" s="65">
        <f t="shared" si="217"/>
        <v>576</v>
      </c>
      <c r="V173" s="55">
        <f>VLOOKUP(A173,'Profit Loss-Amravati-25-26'!$A$9:$J$190,9,0)</f>
        <v>576</v>
      </c>
      <c r="W173" s="55">
        <f>VLOOKUP(A173,'Profit Loss-Betul-25-26'!$A$9:$J$141,9,0)</f>
        <v>0</v>
      </c>
      <c r="X173" s="55"/>
      <c r="Y173" s="56">
        <f t="shared" si="221"/>
        <v>576</v>
      </c>
      <c r="Z173" s="65">
        <f t="shared" si="222"/>
        <v>0</v>
      </c>
      <c r="AA173" s="55">
        <f>VLOOKUP(A173,'Profit Loss-Amravati-25-26'!$A$9:$L$192,11,0)</f>
        <v>576</v>
      </c>
      <c r="AB173" s="55">
        <f>VLOOKUP(A173,'Profit Loss-Betul-25-26'!$A$9:$L$141,11,0)</f>
        <v>0</v>
      </c>
      <c r="AC173" s="55"/>
      <c r="AD173" s="56">
        <f t="shared" si="214"/>
        <v>576</v>
      </c>
      <c r="AE173" s="65">
        <f t="shared" si="215"/>
        <v>0</v>
      </c>
      <c r="AF173" s="55">
        <f>VLOOKUP(A173,'Profit Loss-Amravati-25-26'!$A$9:$N$192,13,0)</f>
        <v>576</v>
      </c>
      <c r="AG173" s="55">
        <f>VLOOKUP(A173,'Profit Loss-Betul-25-26'!$A$9:$N$141,13,0)</f>
        <v>0</v>
      </c>
      <c r="AH173" s="55"/>
      <c r="AI173" s="56">
        <f t="shared" si="208"/>
        <v>576</v>
      </c>
      <c r="AJ173" s="65">
        <f t="shared" si="202"/>
        <v>0</v>
      </c>
      <c r="AK173" s="55">
        <f>VLOOKUP(A173,'Profit Loss-Amravati-25-26'!$A$9:$P$192,15,0)</f>
        <v>576</v>
      </c>
      <c r="AL173" s="55">
        <f>VLOOKUP(A173,'Profit Loss-Betul-25-26'!$A$9:$P$141,15,0)</f>
        <v>0</v>
      </c>
      <c r="AM173" s="55"/>
      <c r="AN173" s="56">
        <f t="shared" si="203"/>
        <v>576</v>
      </c>
      <c r="AO173" s="65">
        <f t="shared" si="209"/>
        <v>0</v>
      </c>
      <c r="AP173" s="55">
        <f>VLOOKUP(A173,'Profit Loss-Amravati-25-26'!$A$9:$R$192,17,0)</f>
        <v>576</v>
      </c>
      <c r="AQ173" s="55">
        <f>VLOOKUP(A173,'Profit Loss-Betul-25-26'!$A$9:$R$141,17,0)</f>
        <v>0</v>
      </c>
      <c r="AR173" s="55"/>
      <c r="AS173" s="56">
        <f t="shared" si="204"/>
        <v>576</v>
      </c>
      <c r="AT173" s="65">
        <f t="shared" si="210"/>
        <v>0</v>
      </c>
      <c r="AU173" s="55">
        <f>VLOOKUP(A173,'Profit Loss-Amravati-25-26'!$A$9:$T$192,19,0)</f>
        <v>576</v>
      </c>
      <c r="AV173" s="55">
        <f>VLOOKUP(A173,'Profit Loss-Betul-25-26'!$A$9:$T$141,19,0)</f>
        <v>0</v>
      </c>
      <c r="AW173" s="55"/>
      <c r="AX173" s="56">
        <f t="shared" si="205"/>
        <v>576</v>
      </c>
      <c r="AY173" s="65">
        <f t="shared" si="211"/>
        <v>0</v>
      </c>
      <c r="AZ173" s="55">
        <f>VLOOKUP(A173,'Profit Loss-Amravati-25-26'!$A$9:$V$192,21,0)</f>
        <v>6799</v>
      </c>
      <c r="BA173" s="55">
        <f>VLOOKUP(A173,'Profit Loss-Betul-25-26'!$A$9:$V$141,21,0)</f>
        <v>0</v>
      </c>
      <c r="BB173" s="55"/>
      <c r="BC173" s="56">
        <f t="shared" si="206"/>
        <v>6799</v>
      </c>
      <c r="BD173" s="65">
        <f t="shared" si="212"/>
        <v>6223</v>
      </c>
      <c r="BE173" s="55"/>
      <c r="BF173" s="55"/>
    </row>
    <row r="174" spans="1:58" x14ac:dyDescent="0.3">
      <c r="A174" s="10" t="s">
        <v>68</v>
      </c>
      <c r="B174" s="11"/>
      <c r="C174" s="11"/>
      <c r="D174" s="57"/>
      <c r="E174" s="57"/>
      <c r="F174" s="65"/>
      <c r="G174" s="11"/>
      <c r="H174" s="57"/>
      <c r="I174" s="57"/>
      <c r="J174" s="56"/>
      <c r="K174" s="65">
        <f t="shared" si="223"/>
        <v>0</v>
      </c>
      <c r="L174" s="55"/>
      <c r="M174" s="55"/>
      <c r="N174" s="55"/>
      <c r="O174" s="56"/>
      <c r="P174" s="65">
        <f t="shared" si="213"/>
        <v>0</v>
      </c>
      <c r="Q174" s="55"/>
      <c r="R174" s="55"/>
      <c r="S174" s="55"/>
      <c r="T174" s="56"/>
      <c r="U174" s="65"/>
      <c r="V174" s="55"/>
      <c r="W174" s="55">
        <f>VLOOKUP(A174,'Profit Loss-Betul-25-26'!$A$9:$J$141,9,0)</f>
        <v>4900</v>
      </c>
      <c r="X174" s="55"/>
      <c r="Y174" s="56">
        <f t="shared" si="221"/>
        <v>4900</v>
      </c>
      <c r="Z174" s="65">
        <f t="shared" si="222"/>
        <v>4900</v>
      </c>
      <c r="AA174" s="55"/>
      <c r="AB174" s="55">
        <f>VLOOKUP(A174,'Profit Loss-Betul-25-26'!$A$9:$L$141,11,0)</f>
        <v>4900</v>
      </c>
      <c r="AC174" s="55"/>
      <c r="AD174" s="56">
        <f t="shared" si="214"/>
        <v>4900</v>
      </c>
      <c r="AE174" s="65">
        <f t="shared" si="215"/>
        <v>0</v>
      </c>
      <c r="AF174" s="55"/>
      <c r="AG174" s="55">
        <f>VLOOKUP(A174,'Profit Loss-Betul-25-26'!$A$9:$N$141,13,0)</f>
        <v>4900</v>
      </c>
      <c r="AH174" s="55"/>
      <c r="AI174" s="56">
        <f t="shared" si="208"/>
        <v>4900</v>
      </c>
      <c r="AJ174" s="65">
        <f t="shared" si="202"/>
        <v>0</v>
      </c>
      <c r="AK174" s="55"/>
      <c r="AL174" s="55">
        <f>VLOOKUP(A174,'Profit Loss-Betul-25-26'!$A$9:$P$141,15,0)</f>
        <v>4900</v>
      </c>
      <c r="AM174" s="55"/>
      <c r="AN174" s="56">
        <f t="shared" si="203"/>
        <v>4900</v>
      </c>
      <c r="AO174" s="65">
        <f t="shared" si="209"/>
        <v>0</v>
      </c>
      <c r="AP174" s="55">
        <f>VLOOKUP(A174,'Profit Loss-Amravati-25-26'!$A$9:$R$192,17,0)</f>
        <v>35000</v>
      </c>
      <c r="AQ174" s="55">
        <f>VLOOKUP(A174,'Profit Loss-Betul-25-26'!$A$9:$R$141,17,0)</f>
        <v>4900</v>
      </c>
      <c r="AR174" s="55"/>
      <c r="AS174" s="56">
        <f t="shared" si="204"/>
        <v>39900</v>
      </c>
      <c r="AT174" s="65">
        <f t="shared" si="210"/>
        <v>35000</v>
      </c>
      <c r="AU174" s="55">
        <f>VLOOKUP(A174,'Profit Loss-Amravati-25-26'!$A$9:$T$192,19,0)</f>
        <v>65000</v>
      </c>
      <c r="AV174" s="55">
        <f>VLOOKUP(A174,'Profit Loss-Betul-25-26'!$A$9:$T$141,19,0)</f>
        <v>4900</v>
      </c>
      <c r="AW174" s="55"/>
      <c r="AX174" s="56">
        <f t="shared" si="205"/>
        <v>69900</v>
      </c>
      <c r="AY174" s="65">
        <f t="shared" si="211"/>
        <v>30000</v>
      </c>
      <c r="AZ174" s="55">
        <f>VLOOKUP(A174,'Profit Loss-Amravati-25-26'!$A$9:$V$192,21,0)</f>
        <v>65000</v>
      </c>
      <c r="BA174" s="55">
        <f>VLOOKUP(A174,'Profit Loss-Betul-25-26'!$A$9:$V$141,21,0)</f>
        <v>4900</v>
      </c>
      <c r="BB174" s="55"/>
      <c r="BC174" s="56">
        <f t="shared" si="206"/>
        <v>69900</v>
      </c>
      <c r="BD174" s="65">
        <f t="shared" si="212"/>
        <v>0</v>
      </c>
      <c r="BE174" s="55"/>
      <c r="BF174" s="55"/>
    </row>
    <row r="175" spans="1:58" x14ac:dyDescent="0.3">
      <c r="A175" s="10" t="s">
        <v>365</v>
      </c>
      <c r="B175" s="11"/>
      <c r="C175" s="11"/>
      <c r="D175" s="57"/>
      <c r="E175" s="57"/>
      <c r="F175" s="65"/>
      <c r="G175" s="11"/>
      <c r="H175" s="57"/>
      <c r="I175" s="57"/>
      <c r="J175" s="56"/>
      <c r="K175" s="65">
        <f t="shared" si="223"/>
        <v>0</v>
      </c>
      <c r="L175" s="55"/>
      <c r="M175" s="55"/>
      <c r="N175" s="55"/>
      <c r="O175" s="56"/>
      <c r="P175" s="65">
        <f t="shared" si="213"/>
        <v>0</v>
      </c>
      <c r="Q175" s="55"/>
      <c r="R175" s="55"/>
      <c r="S175" s="55"/>
      <c r="T175" s="56"/>
      <c r="U175" s="65"/>
      <c r="V175" s="55">
        <f>VLOOKUP(A175,'Profit Loss-Amravati-25-26'!$A$9:$J$190,9,0)</f>
        <v>2317078</v>
      </c>
      <c r="W175" s="55"/>
      <c r="X175" s="55"/>
      <c r="Y175" s="56">
        <f t="shared" si="221"/>
        <v>2317078</v>
      </c>
      <c r="Z175" s="44">
        <f t="shared" si="222"/>
        <v>2317078</v>
      </c>
      <c r="AA175" s="55">
        <f>VLOOKUP(A175,'Profit Loss-Amravati-25-26'!$A$9:$L$192,11,0)</f>
        <v>2317078</v>
      </c>
      <c r="AB175" s="55"/>
      <c r="AC175" s="55"/>
      <c r="AD175" s="56">
        <f t="shared" si="214"/>
        <v>2317078</v>
      </c>
      <c r="AE175" s="65">
        <f t="shared" si="215"/>
        <v>0</v>
      </c>
      <c r="AF175" s="55">
        <f>VLOOKUP(A175,'Profit Loss-Amravati-25-26'!$A$9:$N$192,13,0)</f>
        <v>2317078</v>
      </c>
      <c r="AG175" s="55"/>
      <c r="AH175" s="55"/>
      <c r="AI175" s="56">
        <f t="shared" si="208"/>
        <v>2317078</v>
      </c>
      <c r="AJ175" s="65">
        <f t="shared" si="202"/>
        <v>0</v>
      </c>
      <c r="AK175" s="55">
        <f>VLOOKUP(A175,'Profit Loss-Amravati-25-26'!$A$9:$P$192,15,0)</f>
        <v>2317078</v>
      </c>
      <c r="AL175" s="55"/>
      <c r="AM175" s="55"/>
      <c r="AN175" s="56">
        <f t="shared" si="203"/>
        <v>2317078</v>
      </c>
      <c r="AO175" s="65">
        <f t="shared" si="209"/>
        <v>0</v>
      </c>
      <c r="AP175" s="55">
        <f>VLOOKUP(A175,'Profit Loss-Amravati-25-26'!$A$9:$R$192,17,0)</f>
        <v>2317078</v>
      </c>
      <c r="AQ175" s="55"/>
      <c r="AR175" s="55"/>
      <c r="AS175" s="56">
        <f t="shared" si="204"/>
        <v>2317078</v>
      </c>
      <c r="AT175" s="65">
        <f t="shared" si="210"/>
        <v>0</v>
      </c>
      <c r="AU175" s="55">
        <f>VLOOKUP(A175,'Profit Loss-Amravati-25-26'!$A$9:$T$192,19,0)</f>
        <v>2317078</v>
      </c>
      <c r="AV175" s="55"/>
      <c r="AW175" s="55"/>
      <c r="AX175" s="56">
        <f t="shared" si="205"/>
        <v>2317078</v>
      </c>
      <c r="AY175" s="65">
        <f t="shared" si="211"/>
        <v>0</v>
      </c>
      <c r="AZ175" s="55">
        <f>VLOOKUP(A175,'Profit Loss-Amravati-25-26'!$A$9:$V$192,21,0)</f>
        <v>2317078</v>
      </c>
      <c r="BA175" s="55"/>
      <c r="BB175" s="55"/>
      <c r="BC175" s="56">
        <f t="shared" si="206"/>
        <v>2317078</v>
      </c>
      <c r="BD175" s="65">
        <f t="shared" si="212"/>
        <v>0</v>
      </c>
      <c r="BE175" s="55"/>
      <c r="BF175" s="55"/>
    </row>
    <row r="176" spans="1:58" x14ac:dyDescent="0.3">
      <c r="A176" s="10" t="s">
        <v>113</v>
      </c>
      <c r="B176" s="11"/>
      <c r="C176" s="11">
        <f>VLOOKUP(A176,'Profit Loss-Amravati-25-26'!$A$13:$B$190,2,0)</f>
        <v>409833</v>
      </c>
      <c r="D176" s="57">
        <f>VLOOKUP(A176,'Profit Loss-Betul-25-26'!$A$9:$B$140,2,0)</f>
        <v>151700</v>
      </c>
      <c r="E176" s="57"/>
      <c r="F176" s="65">
        <f>+B176+C176+D176</f>
        <v>561533</v>
      </c>
      <c r="G176" s="11">
        <f>VLOOKUP(A176,'Profit Loss-Amravati-25-26'!$A$9:$D$190,3,0)</f>
        <v>631914</v>
      </c>
      <c r="H176" s="57">
        <f>VLOOKUP(A176,'Profit Loss-Betul-25-26'!$A$9:$D$140,3,0)</f>
        <v>322900</v>
      </c>
      <c r="I176" s="57"/>
      <c r="J176" s="56">
        <f t="shared" si="224"/>
        <v>954814</v>
      </c>
      <c r="K176" s="65">
        <f t="shared" si="223"/>
        <v>393281</v>
      </c>
      <c r="L176" s="55">
        <f>VLOOKUP(A176,'Profit Loss-Amravati-25-26'!$A$9:$F$190,5,0)</f>
        <v>892538</v>
      </c>
      <c r="M176" s="55">
        <f>VLOOKUP(A176,'Profit Loss-Betul-25-26'!$A$9:$F$141,5,0)</f>
        <v>471100</v>
      </c>
      <c r="N176" s="55"/>
      <c r="O176" s="56">
        <f t="shared" si="225"/>
        <v>1363638</v>
      </c>
      <c r="P176" s="65">
        <f t="shared" si="213"/>
        <v>408824</v>
      </c>
      <c r="Q176" s="55">
        <f>VLOOKUP(A176,'Profit Loss-Amravati-25-26'!$A$9:$H$190,7,0)</f>
        <v>1220486</v>
      </c>
      <c r="R176" s="55">
        <f>VLOOKUP(A176,'Profit Loss-Betul-25-26'!$A$9:$H$141,7,0)</f>
        <v>645800</v>
      </c>
      <c r="S176" s="55"/>
      <c r="T176" s="56">
        <f t="shared" si="216"/>
        <v>1866286</v>
      </c>
      <c r="U176" s="65">
        <f t="shared" si="217"/>
        <v>502648</v>
      </c>
      <c r="V176" s="55">
        <f>VLOOKUP(A176,'Profit Loss-Amravati-25-26'!$A$9:$J$190,9,0)</f>
        <v>1647610</v>
      </c>
      <c r="W176" s="55">
        <f>VLOOKUP(A176,'Profit Loss-Betul-25-26'!$A$9:$J$141,9,0)</f>
        <v>809000</v>
      </c>
      <c r="X176" s="55"/>
      <c r="Y176" s="56">
        <f t="shared" si="221"/>
        <v>2456610</v>
      </c>
      <c r="Z176" s="65">
        <f t="shared" si="222"/>
        <v>590324</v>
      </c>
      <c r="AA176" s="55">
        <f>VLOOKUP(A176,'Profit Loss-Amravati-25-26'!$A$9:$L$192,11,0)</f>
        <v>1968234</v>
      </c>
      <c r="AB176" s="55">
        <f>VLOOKUP(A176,'Profit Loss-Betul-25-26'!$A$9:$L$141,11,0)</f>
        <v>957200</v>
      </c>
      <c r="AC176" s="55"/>
      <c r="AD176" s="56">
        <f t="shared" si="214"/>
        <v>2925434</v>
      </c>
      <c r="AE176" s="65">
        <f t="shared" si="215"/>
        <v>468824</v>
      </c>
      <c r="AF176" s="55">
        <f>VLOOKUP(A176,'Profit Loss-Amravati-25-26'!$A$9:$N$192,13,0)</f>
        <v>2284358</v>
      </c>
      <c r="AG176" s="55">
        <f>VLOOKUP(A176,'Profit Loss-Betul-25-26'!$A$9:$N$141,13,0)</f>
        <v>1361900</v>
      </c>
      <c r="AH176" s="55"/>
      <c r="AI176" s="56">
        <f t="shared" si="208"/>
        <v>3646258</v>
      </c>
      <c r="AJ176" s="65">
        <f t="shared" si="202"/>
        <v>720824</v>
      </c>
      <c r="AK176" s="55">
        <f>VLOOKUP(A176,'Profit Loss-Amravati-25-26'!$A$9:$P$192,15,0)</f>
        <v>2635482</v>
      </c>
      <c r="AL176" s="55">
        <f>VLOOKUP(A176,'Profit Loss-Betul-25-26'!$A$9:$P$141,15,0)</f>
        <v>1768600</v>
      </c>
      <c r="AM176" s="55"/>
      <c r="AN176" s="56">
        <f t="shared" si="203"/>
        <v>4404082</v>
      </c>
      <c r="AO176" s="65">
        <f t="shared" si="209"/>
        <v>757824</v>
      </c>
      <c r="AP176" s="55">
        <f>VLOOKUP(A176,'Profit Loss-Amravati-25-26'!$A$9:$R$192,17,0)</f>
        <v>3224630</v>
      </c>
      <c r="AQ176" s="55">
        <f>VLOOKUP(A176,'Profit Loss-Betul-25-26'!$A$9:$R$141,17,0)</f>
        <v>2008600</v>
      </c>
      <c r="AR176" s="55"/>
      <c r="AS176" s="56">
        <f t="shared" si="204"/>
        <v>5233230</v>
      </c>
      <c r="AT176" s="65">
        <f t="shared" si="210"/>
        <v>829148</v>
      </c>
      <c r="AU176" s="55">
        <f>VLOOKUP(A176,'Profit Loss-Amravati-25-26'!$A$9:$T$192,19,0)</f>
        <v>3379130</v>
      </c>
      <c r="AV176" s="55">
        <f>VLOOKUP(A176,'Profit Loss-Betul-25-26'!$A$9:$T$141,19,0)</f>
        <v>2401534</v>
      </c>
      <c r="AW176" s="55"/>
      <c r="AX176" s="56">
        <f t="shared" si="205"/>
        <v>5780664</v>
      </c>
      <c r="AY176" s="65">
        <f t="shared" si="211"/>
        <v>547434</v>
      </c>
      <c r="AZ176" s="55">
        <f>VLOOKUP(A176,'Profit Loss-Amravati-25-26'!$A$9:$V$192,21,0)</f>
        <v>3692554</v>
      </c>
      <c r="BA176" s="55">
        <f>VLOOKUP(A176,'Profit Loss-Betul-25-26'!$A$9:$V$141,21,0)</f>
        <v>2656534</v>
      </c>
      <c r="BB176" s="55"/>
      <c r="BC176" s="56">
        <f t="shared" si="206"/>
        <v>6349088</v>
      </c>
      <c r="BD176" s="65">
        <f t="shared" si="212"/>
        <v>568424</v>
      </c>
      <c r="BE176" s="55"/>
      <c r="BF176" s="55"/>
    </row>
    <row r="177" spans="1:58" x14ac:dyDescent="0.3">
      <c r="A177" s="10" t="s">
        <v>236</v>
      </c>
      <c r="B177" s="11"/>
      <c r="C177" s="11">
        <f>VLOOKUP(A177,'Profit Loss-Amravati-25-26'!$A$13:$B$190,2,0)</f>
        <v>1640110</v>
      </c>
      <c r="D177" s="57">
        <f>VLOOKUP(A177,'Profit Loss-Betul-25-26'!$A$9:$B$140,2,0)</f>
        <v>359041</v>
      </c>
      <c r="E177" s="57"/>
      <c r="F177" s="65">
        <f>+B177+C177+D177</f>
        <v>1999151</v>
      </c>
      <c r="G177" s="11">
        <f>VLOOKUP(A177,'Profit Loss-Amravati-25-26'!$A$9:$D$190,3,0)</f>
        <v>3520548</v>
      </c>
      <c r="H177" s="57">
        <f>VLOOKUP(A177,'Profit Loss-Betul-25-26'!$A$9:$D$140,3,0)</f>
        <v>776849</v>
      </c>
      <c r="I177" s="57"/>
      <c r="J177" s="56">
        <f t="shared" si="224"/>
        <v>4297397</v>
      </c>
      <c r="K177" s="65">
        <f t="shared" si="223"/>
        <v>2298246</v>
      </c>
      <c r="L177" s="55">
        <f>VLOOKUP(A177,'Profit Loss-Amravati-25-26'!$A$9:$F$190,5,0)</f>
        <v>5415942</v>
      </c>
      <c r="M177" s="55">
        <f>VLOOKUP(A177,'Profit Loss-Betul-25-26'!$A$9:$F$141,5,0)</f>
        <v>1203973</v>
      </c>
      <c r="N177" s="55"/>
      <c r="O177" s="56">
        <f t="shared" si="225"/>
        <v>6619915</v>
      </c>
      <c r="P177" s="65">
        <f t="shared" si="213"/>
        <v>2322518</v>
      </c>
      <c r="Q177" s="55">
        <f>VLOOKUP(A177,'Profit Loss-Amravati-25-26'!$A$9:$H$190,7,0)</f>
        <v>7497699</v>
      </c>
      <c r="R177" s="55">
        <f>VLOOKUP(A177,'Profit Loss-Betul-25-26'!$A$9:$H$141,7,0)</f>
        <v>1680137</v>
      </c>
      <c r="S177" s="55"/>
      <c r="T177" s="56">
        <f t="shared" si="216"/>
        <v>9177836</v>
      </c>
      <c r="U177" s="65">
        <f t="shared" si="217"/>
        <v>2557921</v>
      </c>
      <c r="V177" s="55">
        <f>VLOOKUP(A177,'Profit Loss-Amravati-25-26'!$A$9:$J$190,9,0)</f>
        <v>9626082</v>
      </c>
      <c r="W177" s="55">
        <f>VLOOKUP(A177,'Profit Loss-Betul-25-26'!$A$9:$J$141,9,0)</f>
        <v>2202877</v>
      </c>
      <c r="X177" s="55"/>
      <c r="Y177" s="56">
        <f t="shared" si="221"/>
        <v>11828959</v>
      </c>
      <c r="Z177" s="65">
        <f t="shared" si="222"/>
        <v>2651123</v>
      </c>
      <c r="AA177" s="55">
        <f>VLOOKUP(A177,'Profit Loss-Amravati-25-26'!$A$9:$L$192,11,0)</f>
        <v>11685808</v>
      </c>
      <c r="AB177" s="55">
        <f>VLOOKUP(A177,'Profit Loss-Betul-25-26'!$A$9:$L$141,11,0)</f>
        <v>2729726</v>
      </c>
      <c r="AC177" s="55"/>
      <c r="AD177" s="56">
        <f t="shared" si="214"/>
        <v>14415534</v>
      </c>
      <c r="AE177" s="65">
        <f t="shared" si="215"/>
        <v>2586575</v>
      </c>
      <c r="AF177" s="55">
        <f>VLOOKUP(A177,'Profit Loss-Amravati-25-26'!$A$9:$N$192,13,0)</f>
        <v>13814192</v>
      </c>
      <c r="AG177" s="55">
        <f>VLOOKUP(A177,'Profit Loss-Betul-25-26'!$A$9:$N$141,13,0)</f>
        <v>3327123</v>
      </c>
      <c r="AH177" s="55"/>
      <c r="AI177" s="56">
        <f t="shared" si="208"/>
        <v>17141315</v>
      </c>
      <c r="AJ177" s="65">
        <f t="shared" si="202"/>
        <v>2725781</v>
      </c>
      <c r="AK177" s="55">
        <f>VLOOKUP(A177,'Profit Loss-Amravati-25-26'!$A$9:$P$192,15,0)</f>
        <v>15872822</v>
      </c>
      <c r="AL177" s="55">
        <f>VLOOKUP(A177,'Profit Loss-Betul-25-26'!$A$9:$P$141,15,0)</f>
        <v>3936986</v>
      </c>
      <c r="AM177" s="55"/>
      <c r="AN177" s="56">
        <f t="shared" si="203"/>
        <v>19809808</v>
      </c>
      <c r="AO177" s="65">
        <f t="shared" si="209"/>
        <v>2668493</v>
      </c>
      <c r="AP177" s="55">
        <f>VLOOKUP(A177,'Profit Loss-Amravati-25-26'!$A$9:$R$192,17,0)</f>
        <v>17967233</v>
      </c>
      <c r="AQ177" s="55">
        <f>VLOOKUP(A177,'Profit Loss-Betul-25-26'!$A$9:$R$141,17,0)</f>
        <v>4622630</v>
      </c>
      <c r="AR177" s="55"/>
      <c r="AS177" s="56">
        <f t="shared" si="204"/>
        <v>22589863</v>
      </c>
      <c r="AT177" s="65">
        <f t="shared" si="210"/>
        <v>2780055</v>
      </c>
      <c r="AU177" s="55">
        <f>VLOOKUP(A177,'Profit Loss-Amravati-25-26'!$A$9:$T$192,19,0)</f>
        <v>20061644</v>
      </c>
      <c r="AV177" s="55">
        <f>VLOOKUP(A177,'Profit Loss-Betul-25-26'!$A$9:$T$141,19,0)</f>
        <v>5361874</v>
      </c>
      <c r="AW177" s="55"/>
      <c r="AX177" s="56">
        <f t="shared" si="205"/>
        <v>25423518</v>
      </c>
      <c r="AY177" s="65">
        <f t="shared" si="211"/>
        <v>2833655</v>
      </c>
      <c r="AZ177" s="55">
        <f>VLOOKUP(A177,'Profit Loss-Amravati-25-26'!$A$9:$V$192,21,0)</f>
        <v>21953370</v>
      </c>
      <c r="BA177" s="55">
        <f>VLOOKUP(A177,'Profit Loss-Betul-25-26'!$A$9:$V$141,21,0)</f>
        <v>6070126</v>
      </c>
      <c r="BB177" s="55"/>
      <c r="BC177" s="56">
        <f t="shared" si="206"/>
        <v>28023496</v>
      </c>
      <c r="BD177" s="65">
        <f t="shared" si="212"/>
        <v>2599978</v>
      </c>
      <c r="BE177" s="55"/>
      <c r="BF177" s="55"/>
    </row>
    <row r="178" spans="1:58" x14ac:dyDescent="0.3">
      <c r="A178" s="10" t="s">
        <v>114</v>
      </c>
      <c r="B178" s="11"/>
      <c r="C178" s="11">
        <f>VLOOKUP(A178,'Profit Loss-Amravati-25-26'!$A$13:$B$190,2,0)</f>
        <v>0</v>
      </c>
      <c r="D178" s="57">
        <f>VLOOKUP(A178,'Profit Loss-Betul-25-26'!$A$9:$B$140,2,0)</f>
        <v>0</v>
      </c>
      <c r="E178" s="57"/>
      <c r="F178" s="65">
        <f>+B178+C178+D178</f>
        <v>0</v>
      </c>
      <c r="G178" s="11">
        <f>VLOOKUP(A178,'Profit Loss-Amravati-25-26'!$A$9:$D$190,3,0)</f>
        <v>0</v>
      </c>
      <c r="H178" s="57">
        <f>VLOOKUP(A178,'Profit Loss-Betul-25-26'!$A$9:$D$140,3,0)</f>
        <v>0</v>
      </c>
      <c r="I178" s="57"/>
      <c r="J178" s="56">
        <f t="shared" si="224"/>
        <v>0</v>
      </c>
      <c r="K178" s="65">
        <f t="shared" si="223"/>
        <v>0</v>
      </c>
      <c r="L178" s="55">
        <f>VLOOKUP(A178,'Profit Loss-Amravati-25-26'!$A$9:$F$190,5,0)</f>
        <v>1540</v>
      </c>
      <c r="M178" s="55">
        <f>VLOOKUP(A178,'Profit Loss-Betul-25-26'!$A$9:$F$141,5,0)</f>
        <v>0</v>
      </c>
      <c r="N178" s="55"/>
      <c r="O178" s="56">
        <f t="shared" si="225"/>
        <v>1540</v>
      </c>
      <c r="P178" s="65">
        <f t="shared" si="213"/>
        <v>1540</v>
      </c>
      <c r="Q178" s="55">
        <f>VLOOKUP(A178,'Profit Loss-Amravati-25-26'!$A$9:$H$190,7,0)</f>
        <v>1577</v>
      </c>
      <c r="R178" s="55">
        <f>VLOOKUP(A178,'Profit Loss-Betul-25-26'!$A$9:$H$141,7,0)</f>
        <v>0</v>
      </c>
      <c r="S178" s="55"/>
      <c r="T178" s="56">
        <f t="shared" si="216"/>
        <v>1577</v>
      </c>
      <c r="U178" s="65">
        <f t="shared" si="217"/>
        <v>37</v>
      </c>
      <c r="V178" s="55">
        <f>VLOOKUP(A178,'Profit Loss-Amravati-25-26'!$A$9:$J$190,9,0)</f>
        <v>1577</v>
      </c>
      <c r="W178" s="55">
        <f>VLOOKUP(A178,'Profit Loss-Betul-25-26'!$A$9:$J$141,9,0)</f>
        <v>0</v>
      </c>
      <c r="X178" s="55"/>
      <c r="Y178" s="56">
        <f t="shared" si="221"/>
        <v>1577</v>
      </c>
      <c r="Z178" s="65">
        <f t="shared" si="222"/>
        <v>0</v>
      </c>
      <c r="AA178" s="55">
        <f>VLOOKUP(A178,'Profit Loss-Amravati-25-26'!$A$9:$L$192,11,0)</f>
        <v>1577</v>
      </c>
      <c r="AB178" s="55">
        <f>VLOOKUP(A178,'Profit Loss-Betul-25-26'!$A$9:$L$141,11,0)</f>
        <v>0</v>
      </c>
      <c r="AC178" s="55"/>
      <c r="AD178" s="56">
        <f t="shared" si="214"/>
        <v>1577</v>
      </c>
      <c r="AE178" s="65">
        <f t="shared" si="215"/>
        <v>0</v>
      </c>
      <c r="AF178" s="55">
        <f>VLOOKUP(A178,'Profit Loss-Amravati-25-26'!$A$9:$N$192,13,0)</f>
        <v>1577</v>
      </c>
      <c r="AG178" s="55">
        <f>VLOOKUP(A178,'Profit Loss-Betul-25-26'!$A$9:$N$141,13,0)</f>
        <v>0</v>
      </c>
      <c r="AH178" s="55"/>
      <c r="AI178" s="56">
        <f t="shared" si="208"/>
        <v>1577</v>
      </c>
      <c r="AJ178" s="65">
        <f t="shared" si="202"/>
        <v>0</v>
      </c>
      <c r="AK178" s="55">
        <f>VLOOKUP(A178,'Profit Loss-Amravati-25-26'!$A$9:$P$192,15,0)</f>
        <v>1577</v>
      </c>
      <c r="AL178" s="55">
        <f>VLOOKUP(A178,'Profit Loss-Betul-25-26'!$A$9:$P$141,15,0)</f>
        <v>0</v>
      </c>
      <c r="AM178" s="55"/>
      <c r="AN178" s="56">
        <f t="shared" si="203"/>
        <v>1577</v>
      </c>
      <c r="AO178" s="65">
        <f t="shared" si="209"/>
        <v>0</v>
      </c>
      <c r="AP178" s="55">
        <f>VLOOKUP(A178,'Profit Loss-Amravati-25-26'!$A$9:$R$192,17,0)</f>
        <v>1577</v>
      </c>
      <c r="AQ178" s="55">
        <f>VLOOKUP(A178,'Profit Loss-Betul-25-26'!$A$9:$R$141,17,0)</f>
        <v>0</v>
      </c>
      <c r="AR178" s="55"/>
      <c r="AS178" s="56">
        <f t="shared" si="204"/>
        <v>1577</v>
      </c>
      <c r="AT178" s="65">
        <f t="shared" si="210"/>
        <v>0</v>
      </c>
      <c r="AU178" s="55">
        <f>VLOOKUP(A178,'Profit Loss-Amravati-25-26'!$A$9:$T$192,19,0)</f>
        <v>1583</v>
      </c>
      <c r="AV178" s="55">
        <f>VLOOKUP(A178,'Profit Loss-Betul-25-26'!$A$9:$T$141,19,0)</f>
        <v>0</v>
      </c>
      <c r="AW178" s="55"/>
      <c r="AX178" s="56">
        <f t="shared" si="205"/>
        <v>1583</v>
      </c>
      <c r="AY178" s="65">
        <f t="shared" si="211"/>
        <v>6</v>
      </c>
      <c r="AZ178" s="55">
        <f>VLOOKUP(A178,'Profit Loss-Amravati-25-26'!$A$9:$V$192,21,0)</f>
        <v>1583</v>
      </c>
      <c r="BA178" s="55">
        <f>VLOOKUP(A178,'Profit Loss-Betul-25-26'!$A$9:$V$141,21,0)</f>
        <v>0</v>
      </c>
      <c r="BB178" s="55"/>
      <c r="BC178" s="56">
        <f t="shared" si="206"/>
        <v>1583</v>
      </c>
      <c r="BD178" s="65">
        <f t="shared" si="212"/>
        <v>0</v>
      </c>
      <c r="BE178" s="55"/>
      <c r="BF178" s="55"/>
    </row>
    <row r="179" spans="1:58" x14ac:dyDescent="0.3">
      <c r="A179" s="10" t="s">
        <v>115</v>
      </c>
      <c r="B179" s="16"/>
      <c r="C179" s="11">
        <v>1450000</v>
      </c>
      <c r="D179" s="57">
        <f>VLOOKUP(A179,'Profit Loss-Betul-25-26'!$A$9:$B$140,2,0)</f>
        <v>225000</v>
      </c>
      <c r="E179" s="57"/>
      <c r="F179" s="65">
        <f>+B179+C179+D179</f>
        <v>1675000</v>
      </c>
      <c r="G179" s="11">
        <f>VLOOKUP(A179,'Profit Loss-Amravati-25-26'!$A$9:$D$190,3,0)</f>
        <v>2900000</v>
      </c>
      <c r="H179" s="57">
        <f>VLOOKUP(A179,'Profit Loss-Betul-25-26'!$A$9:$D$140,3,0)</f>
        <v>450000</v>
      </c>
      <c r="I179" s="57"/>
      <c r="J179" s="56">
        <f t="shared" si="224"/>
        <v>3350000</v>
      </c>
      <c r="K179" s="65">
        <f t="shared" ref="K179" si="226">+H179+G179-F179</f>
        <v>1675000</v>
      </c>
      <c r="L179" s="55">
        <f>VLOOKUP(A179,'Profit Loss-Amravati-25-26'!$A$9:$F$190,5,0)</f>
        <v>4350000</v>
      </c>
      <c r="M179" s="55">
        <f>VLOOKUP(A179,'Profit Loss-Betul-25-26'!$A$9:$F$141,5,0)</f>
        <v>675000</v>
      </c>
      <c r="N179" s="55"/>
      <c r="O179" s="56">
        <f t="shared" si="225"/>
        <v>5025000</v>
      </c>
      <c r="P179" s="65">
        <f t="shared" si="213"/>
        <v>1675000</v>
      </c>
      <c r="Q179" s="55">
        <f>VLOOKUP(A179,'Profit Loss-Amravati-25-26'!$A$9:$H$190,7,0)</f>
        <v>5800000</v>
      </c>
      <c r="R179" s="55">
        <f>VLOOKUP(A179,'Profit Loss-Betul-25-26'!$A$9:$H$141,7,0)</f>
        <v>900000</v>
      </c>
      <c r="S179" s="55"/>
      <c r="T179" s="56">
        <f t="shared" si="216"/>
        <v>6700000</v>
      </c>
      <c r="U179" s="65">
        <f t="shared" si="217"/>
        <v>1675000</v>
      </c>
      <c r="V179" s="55">
        <f>VLOOKUP(A179,'Profit Loss-Amravati-25-26'!$A$9:$J$190,9,0)</f>
        <v>7250000</v>
      </c>
      <c r="W179" s="55">
        <f>VLOOKUP(A179,'Profit Loss-Betul-25-26'!$A$9:$J$141,9,0)</f>
        <v>1125000</v>
      </c>
      <c r="X179" s="55"/>
      <c r="Y179" s="56">
        <f t="shared" si="221"/>
        <v>8375000</v>
      </c>
      <c r="Z179" s="65">
        <f t="shared" si="222"/>
        <v>1675000</v>
      </c>
      <c r="AA179" s="55">
        <f>VLOOKUP(A179,'Profit Loss-Amravati-25-26'!$A$9:$L$192,11,0)</f>
        <v>8700000</v>
      </c>
      <c r="AB179" s="55">
        <f>VLOOKUP(A179,'Profit Loss-Betul-25-26'!$A$9:$L$141,11,0)</f>
        <v>1350000</v>
      </c>
      <c r="AC179" s="55"/>
      <c r="AD179" s="56">
        <f t="shared" si="214"/>
        <v>10050000</v>
      </c>
      <c r="AE179" s="65">
        <f t="shared" si="215"/>
        <v>1675000</v>
      </c>
      <c r="AF179" s="55">
        <f>VLOOKUP(A179,'Profit Loss-Amravati-25-26'!$A$9:$N$192,13,0)</f>
        <v>10150000</v>
      </c>
      <c r="AG179" s="55">
        <f>VLOOKUP(A179,'Profit Loss-Betul-25-26'!$A$9:$N$141,13,0)</f>
        <v>1575000</v>
      </c>
      <c r="AH179" s="55"/>
      <c r="AI179" s="56">
        <f t="shared" si="208"/>
        <v>11725000</v>
      </c>
      <c r="AJ179" s="65">
        <f t="shared" si="202"/>
        <v>1675000</v>
      </c>
      <c r="AK179" s="55">
        <f>VLOOKUP(A179,'Profit Loss-Amravati-25-26'!$A$9:$P$192,15,0)</f>
        <v>11600000</v>
      </c>
      <c r="AL179" s="55">
        <f>VLOOKUP(A179,'Profit Loss-Betul-25-26'!$A$9:$P$141,15,0)</f>
        <v>1800000</v>
      </c>
      <c r="AM179" s="55"/>
      <c r="AN179" s="56">
        <f t="shared" si="203"/>
        <v>13400000</v>
      </c>
      <c r="AO179" s="65">
        <f t="shared" si="209"/>
        <v>1675000</v>
      </c>
      <c r="AP179" s="55">
        <f>VLOOKUP(A179,'Profit Loss-Amravati-25-26'!$A$9:$R$192,17,0)</f>
        <v>13050000</v>
      </c>
      <c r="AQ179" s="55">
        <f>VLOOKUP(A179,'Profit Loss-Betul-25-26'!$A$9:$R$141,17,0)</f>
        <v>2025000</v>
      </c>
      <c r="AR179" s="55"/>
      <c r="AS179" s="56">
        <f t="shared" si="204"/>
        <v>15075000</v>
      </c>
      <c r="AT179" s="65">
        <f t="shared" si="210"/>
        <v>1675000</v>
      </c>
      <c r="AU179" s="55">
        <f>VLOOKUP(A179,'Profit Loss-Amravati-25-26'!$A$9:$T$192,19,0)</f>
        <v>14500000</v>
      </c>
      <c r="AV179" s="55">
        <f>VLOOKUP(A179,'Profit Loss-Betul-25-26'!$A$9:$T$141,19,0)</f>
        <v>2250000</v>
      </c>
      <c r="AW179" s="55"/>
      <c r="AX179" s="56">
        <f t="shared" si="205"/>
        <v>16750000</v>
      </c>
      <c r="AY179" s="65">
        <f t="shared" si="211"/>
        <v>1675000</v>
      </c>
      <c r="AZ179" s="55">
        <f>VLOOKUP(A179,'Profit Loss-Amravati-25-26'!$A$9:$V$192,21,0)</f>
        <v>15950000</v>
      </c>
      <c r="BA179" s="55">
        <f>VLOOKUP(A179,'Profit Loss-Betul-25-26'!$A$9:$V$141,21,0)</f>
        <v>2475000</v>
      </c>
      <c r="BB179" s="55"/>
      <c r="BC179" s="56">
        <f t="shared" si="206"/>
        <v>18425000</v>
      </c>
      <c r="BD179" s="65">
        <f t="shared" si="212"/>
        <v>1675000</v>
      </c>
      <c r="BE179" s="55"/>
      <c r="BF179" s="55"/>
    </row>
    <row r="180" spans="1:58" x14ac:dyDescent="0.3">
      <c r="A180" s="13" t="s">
        <v>116</v>
      </c>
      <c r="B180" s="14">
        <f>SUM(B77:B179)</f>
        <v>0</v>
      </c>
      <c r="C180" s="14">
        <f>SUM(C77:C179)</f>
        <v>22277441.879999999</v>
      </c>
      <c r="D180" s="58">
        <f>SUM(D77:D179)</f>
        <v>3597181.6599999997</v>
      </c>
      <c r="E180" s="58"/>
      <c r="F180" s="14">
        <f t="shared" ref="F180:M180" si="227">SUM(F77:F179)</f>
        <v>25874623.539999995</v>
      </c>
      <c r="G180" s="14">
        <f t="shared" si="227"/>
        <v>46776738.019999996</v>
      </c>
      <c r="H180" s="14">
        <f t="shared" si="227"/>
        <v>7175776.5499999998</v>
      </c>
      <c r="I180" s="14">
        <f t="shared" si="227"/>
        <v>0</v>
      </c>
      <c r="J180" s="14">
        <f t="shared" si="227"/>
        <v>53952514.569999985</v>
      </c>
      <c r="K180" s="14">
        <f t="shared" si="227"/>
        <v>28077891.030000009</v>
      </c>
      <c r="L180" s="14">
        <f t="shared" si="227"/>
        <v>71304276.439999998</v>
      </c>
      <c r="M180" s="14">
        <f t="shared" si="227"/>
        <v>11323389.869999999</v>
      </c>
      <c r="N180" s="14"/>
      <c r="O180" s="14">
        <f>SUM(O77:O179)</f>
        <v>82623736.309999958</v>
      </c>
      <c r="P180" s="14">
        <f>SUM(P77:P179)</f>
        <v>28671221.739999995</v>
      </c>
      <c r="Q180" s="14">
        <f>SUM(Q77:Q179)</f>
        <v>97260008.986666679</v>
      </c>
      <c r="R180" s="14">
        <f>SUM(R77:R179)</f>
        <v>15805939.68</v>
      </c>
      <c r="S180" s="14"/>
      <c r="T180" s="14">
        <f>SUM(T77:T179)</f>
        <v>113065948.6666667</v>
      </c>
      <c r="U180" s="14">
        <f>SUM(U77:U179)</f>
        <v>30442212.356666699</v>
      </c>
      <c r="V180" s="14">
        <f>SUM(V78:V179)</f>
        <v>124481094.74333331</v>
      </c>
      <c r="W180" s="14">
        <f>SUM(W77:W179)</f>
        <v>19930527.879999999</v>
      </c>
      <c r="X180" s="14"/>
      <c r="Y180" s="14">
        <f>SUM(Y77:Y179)</f>
        <v>144411622.62333333</v>
      </c>
      <c r="Z180" s="14">
        <f>SUM(Z77:Z179)</f>
        <v>31345673.956666596</v>
      </c>
      <c r="AA180" s="14">
        <f>SUM(AA78:AA179)</f>
        <v>151915427.13</v>
      </c>
      <c r="AB180" s="14">
        <f>SUM(AB78:AB179)</f>
        <v>24072254.479999997</v>
      </c>
      <c r="AC180" s="14"/>
      <c r="AD180" s="14">
        <f>SUM(AD78:AD179)</f>
        <v>175987681.60999995</v>
      </c>
      <c r="AE180" s="14">
        <f>SUM(AE77:AE179)</f>
        <v>31576058.986666691</v>
      </c>
      <c r="AF180" s="14">
        <f>SUM(AF78:AF179)</f>
        <v>178033003.46666673</v>
      </c>
      <c r="AG180" s="14">
        <f>SUM(AG78:AG179)</f>
        <v>28597607.440000001</v>
      </c>
      <c r="AH180" s="14"/>
      <c r="AI180" s="14">
        <f>SUM(AI78:AI179)</f>
        <v>206630610.9066667</v>
      </c>
      <c r="AJ180" s="14">
        <f>SUM(AJ77:AJ179)</f>
        <v>30642929.296666633</v>
      </c>
      <c r="AK180" s="14">
        <f>SUM(AK78:AK179)</f>
        <v>203592100.76333329</v>
      </c>
      <c r="AL180" s="14">
        <f>SUM(AL78:AL179)</f>
        <v>33385942.410000004</v>
      </c>
      <c r="AM180" s="14">
        <f>SUM(AM78:AM179)</f>
        <v>0</v>
      </c>
      <c r="AN180" s="14">
        <f>SUM(AN78:AN179)</f>
        <v>236978043.17333326</v>
      </c>
      <c r="AO180" s="14">
        <f>SUM(AO77:AO179)</f>
        <v>30347432.266666695</v>
      </c>
      <c r="AP180" s="14">
        <f>SUM(AP78:AP179)</f>
        <v>231058584.16000003</v>
      </c>
      <c r="AQ180" s="14">
        <f>SUM(AQ78:AQ179)</f>
        <v>39066947.640000001</v>
      </c>
      <c r="AR180" s="14">
        <f>SUM(AR78:AR179)</f>
        <v>0</v>
      </c>
      <c r="AS180" s="14">
        <f>SUM(AS78:AS179)</f>
        <v>270125531.80000001</v>
      </c>
      <c r="AT180" s="14">
        <f>SUM(AT77:AT179)</f>
        <v>33147488.62666665</v>
      </c>
      <c r="AU180" s="14">
        <f>SUM(AU78:AU179)</f>
        <v>257717723.54666671</v>
      </c>
      <c r="AV180" s="14">
        <f>SUM(AV78:AV179)</f>
        <v>44603381.390000001</v>
      </c>
      <c r="AW180" s="14">
        <f>SUM(AW78:AW179)</f>
        <v>0</v>
      </c>
      <c r="AX180" s="14">
        <f>SUM(AX78:AX179)</f>
        <v>302321104.93666673</v>
      </c>
      <c r="AY180" s="14">
        <f>SUM(AY77:AY179)</f>
        <v>32195573.136666663</v>
      </c>
      <c r="AZ180" s="14">
        <f>SUM(AZ78:AZ179)</f>
        <v>285237474.19333333</v>
      </c>
      <c r="BA180" s="14">
        <f>SUM(BA78:BA179)</f>
        <v>50661862.780000009</v>
      </c>
      <c r="BB180" s="14">
        <f>SUM(BB78:BB179)</f>
        <v>0</v>
      </c>
      <c r="BC180" s="14">
        <f>SUM(BC78:BC179)</f>
        <v>335899336.97333342</v>
      </c>
      <c r="BD180" s="14">
        <f>SUM(BD77:BD179)</f>
        <v>33578232.036666662</v>
      </c>
      <c r="BE180" s="71">
        <f>+BC180-AX180-BD180</f>
        <v>0</v>
      </c>
      <c r="BF180" s="71"/>
    </row>
    <row r="181" spans="1:58" x14ac:dyDescent="0.3">
      <c r="A181" s="8"/>
      <c r="B181" s="16"/>
      <c r="C181" s="16"/>
      <c r="D181" s="59"/>
      <c r="E181" s="59"/>
      <c r="F181" s="65"/>
      <c r="G181" s="16"/>
      <c r="H181" s="59"/>
      <c r="I181" s="59"/>
      <c r="J181" s="59"/>
      <c r="K181" s="65"/>
      <c r="L181" s="55"/>
      <c r="M181" s="55"/>
      <c r="N181" s="55"/>
      <c r="O181" s="59"/>
      <c r="P181" s="65"/>
      <c r="Q181" s="55"/>
      <c r="R181" s="55"/>
      <c r="S181" s="55"/>
      <c r="T181" s="59"/>
      <c r="U181" s="65"/>
      <c r="V181" s="55"/>
      <c r="W181" s="55"/>
      <c r="X181" s="55"/>
      <c r="Y181" s="59"/>
      <c r="Z181" s="65"/>
      <c r="AA181" s="55"/>
      <c r="AB181" s="55"/>
      <c r="AC181" s="55"/>
      <c r="AD181" s="59"/>
      <c r="AE181" s="65"/>
      <c r="AF181" s="55"/>
      <c r="AG181" s="55"/>
      <c r="AH181" s="55"/>
      <c r="AI181" s="59"/>
      <c r="AJ181" s="65"/>
      <c r="AK181" s="55"/>
      <c r="AL181" s="55"/>
      <c r="AM181" s="55"/>
      <c r="AN181" s="59"/>
      <c r="AO181" s="65"/>
      <c r="AP181" s="55"/>
      <c r="AQ181" s="55"/>
      <c r="AR181" s="55"/>
      <c r="AS181" s="59"/>
      <c r="AT181" s="65"/>
      <c r="AU181" s="55"/>
      <c r="AV181" s="55"/>
      <c r="AW181" s="55"/>
      <c r="AX181" s="59"/>
      <c r="AY181" s="65"/>
      <c r="AZ181" s="55"/>
      <c r="BA181" s="55"/>
      <c r="BB181" s="55"/>
      <c r="BC181" s="59"/>
      <c r="BD181" s="65"/>
      <c r="BE181" s="55"/>
      <c r="BF181" s="55"/>
    </row>
    <row r="182" spans="1:58" x14ac:dyDescent="0.3">
      <c r="A182" s="13" t="s">
        <v>357</v>
      </c>
      <c r="B182" s="14">
        <f>+B180+B72</f>
        <v>0</v>
      </c>
      <c r="C182" s="14">
        <f>+C180+C72</f>
        <v>63349952.51000002</v>
      </c>
      <c r="D182" s="58">
        <f>+D180+D72</f>
        <v>3597181.6599999997</v>
      </c>
      <c r="E182" s="58"/>
      <c r="F182" s="14">
        <f t="shared" ref="F182:M182" si="228">+F180+F72</f>
        <v>65445262.170000017</v>
      </c>
      <c r="G182" s="14">
        <f t="shared" si="228"/>
        <v>144069734.26999998</v>
      </c>
      <c r="H182" s="58">
        <f t="shared" si="228"/>
        <v>7175776.5499999998</v>
      </c>
      <c r="I182" s="58">
        <f t="shared" si="228"/>
        <v>-2501098</v>
      </c>
      <c r="J182" s="14">
        <f t="shared" si="228"/>
        <v>148744412.81999999</v>
      </c>
      <c r="K182" s="14">
        <f t="shared" si="228"/>
        <v>83299150.780000001</v>
      </c>
      <c r="L182" s="14">
        <f t="shared" si="228"/>
        <v>225850423.72000003</v>
      </c>
      <c r="M182" s="14">
        <f t="shared" si="228"/>
        <v>11323389.869999999</v>
      </c>
      <c r="N182" s="14"/>
      <c r="O182" s="14">
        <f>+O180+O72</f>
        <v>231883704.58999997</v>
      </c>
      <c r="P182" s="14">
        <f>+P180+P72</f>
        <v>83139291.769999981</v>
      </c>
      <c r="Q182" s="14">
        <f>+Q180+Q72</f>
        <v>321690494.12666667</v>
      </c>
      <c r="R182" s="14">
        <f>+R180+R72</f>
        <v>15806339.68</v>
      </c>
      <c r="S182" s="14"/>
      <c r="T182" s="14">
        <f>+T180+T72</f>
        <v>328470250.80666673</v>
      </c>
      <c r="U182" s="14">
        <f>+U180+U72</f>
        <v>96586546.216666713</v>
      </c>
      <c r="V182" s="14">
        <f>+V180+V72</f>
        <v>404103305.40933335</v>
      </c>
      <c r="W182" s="14">
        <f>+W180+W72</f>
        <v>19930927.879999999</v>
      </c>
      <c r="X182" s="14"/>
      <c r="Y182" s="14">
        <f>+Y180+Y72</f>
        <v>411840701.28933334</v>
      </c>
      <c r="Z182" s="14">
        <f>+Z180+Z72</f>
        <v>83370450.482666567</v>
      </c>
      <c r="AA182" s="14">
        <f>+AA180+AA72</f>
        <v>506091047.65000004</v>
      </c>
      <c r="AB182" s="14">
        <f>+AB180+AB72</f>
        <v>24072654.479999997</v>
      </c>
      <c r="AC182" s="14"/>
      <c r="AD182" s="14">
        <f>+AD180+AD72</f>
        <v>514780788.13</v>
      </c>
      <c r="AE182" s="14">
        <f>+AE180+AE72</f>
        <v>102940086.84066671</v>
      </c>
      <c r="AF182" s="14">
        <f>+AF180+AF72</f>
        <v>589887458.82666671</v>
      </c>
      <c r="AG182" s="14">
        <f>+AG180+AG72</f>
        <v>28599077.440000001</v>
      </c>
      <c r="AH182" s="14"/>
      <c r="AI182" s="14">
        <f t="shared" ref="AI182:AY182" si="229">+AI180+AI72</f>
        <v>602050828.26666665</v>
      </c>
      <c r="AJ182" s="14">
        <f t="shared" si="229"/>
        <v>87270040.136666611</v>
      </c>
      <c r="AK182" s="14">
        <f t="shared" si="229"/>
        <v>716941565.40333354</v>
      </c>
      <c r="AL182" s="14">
        <f t="shared" si="229"/>
        <v>33399132.410000004</v>
      </c>
      <c r="AM182" s="14">
        <f t="shared" si="229"/>
        <v>18524580</v>
      </c>
      <c r="AN182" s="14">
        <f t="shared" si="229"/>
        <v>731816117.81333351</v>
      </c>
      <c r="AO182" s="14">
        <f t="shared" si="229"/>
        <v>129765289.54666673</v>
      </c>
      <c r="AP182" s="14">
        <f t="shared" si="229"/>
        <v>885473373.82999992</v>
      </c>
      <c r="AQ182" s="14">
        <f t="shared" si="229"/>
        <v>39114387.640000001</v>
      </c>
      <c r="AR182" s="14">
        <f t="shared" si="229"/>
        <v>21712831</v>
      </c>
      <c r="AS182" s="14">
        <f t="shared" si="229"/>
        <v>902874930.47000003</v>
      </c>
      <c r="AT182" s="14">
        <f t="shared" si="229"/>
        <v>171058812.65666664</v>
      </c>
      <c r="AU182" s="14">
        <f t="shared" si="229"/>
        <v>982447209.64281869</v>
      </c>
      <c r="AV182" s="14">
        <f t="shared" si="229"/>
        <v>44701202.590000004</v>
      </c>
      <c r="AW182" s="14">
        <f t="shared" si="229"/>
        <v>25000388</v>
      </c>
      <c r="AX182" s="14">
        <f t="shared" si="229"/>
        <v>1002148024.2328187</v>
      </c>
      <c r="AY182" s="14">
        <f t="shared" si="229"/>
        <v>99273093.762818694</v>
      </c>
      <c r="AZ182" s="14">
        <f t="shared" ref="AZ182:BD182" si="230">+AZ180+AZ72</f>
        <v>1097495411.9533334</v>
      </c>
      <c r="BA182" s="14">
        <f t="shared" si="230"/>
        <v>50851400.680000007</v>
      </c>
      <c r="BB182" s="14">
        <f t="shared" si="230"/>
        <v>27034065</v>
      </c>
      <c r="BC182" s="14">
        <f t="shared" si="230"/>
        <v>1121312747.6333334</v>
      </c>
      <c r="BD182" s="14">
        <f t="shared" si="230"/>
        <v>119164723.40051457</v>
      </c>
      <c r="BE182" s="71">
        <f>+BC182-AX182-BD182</f>
        <v>1.4901161193847656E-7</v>
      </c>
      <c r="BF182" s="71"/>
    </row>
    <row r="183" spans="1:58" x14ac:dyDescent="0.3">
      <c r="A183" s="8"/>
      <c r="B183" s="16"/>
      <c r="C183" s="16"/>
      <c r="D183" s="59"/>
      <c r="E183" s="59"/>
      <c r="F183" s="10"/>
      <c r="G183" s="16">
        <v>144069734.27000001</v>
      </c>
      <c r="H183" s="59"/>
      <c r="I183" s="59"/>
      <c r="J183" s="59"/>
      <c r="K183" s="10"/>
      <c r="L183" s="55"/>
      <c r="M183" s="55"/>
      <c r="N183" s="55"/>
      <c r="O183" s="59"/>
      <c r="P183" s="10"/>
      <c r="Q183" s="55"/>
      <c r="R183" s="55"/>
      <c r="S183" s="55"/>
      <c r="T183" s="59"/>
      <c r="U183" s="10"/>
      <c r="V183" s="55"/>
      <c r="W183" s="55"/>
      <c r="X183" s="55"/>
      <c r="Y183" s="59"/>
      <c r="Z183" s="10"/>
      <c r="AA183" s="55"/>
      <c r="AB183" s="55"/>
      <c r="AC183" s="55"/>
      <c r="AD183" s="59"/>
      <c r="AE183" s="10"/>
      <c r="AF183" s="55"/>
      <c r="AG183" s="55"/>
      <c r="AH183" s="55"/>
      <c r="AI183" s="59"/>
      <c r="AJ183" s="10"/>
      <c r="AK183" s="55"/>
      <c r="AL183" s="55"/>
      <c r="AM183" s="55"/>
      <c r="AN183" s="59"/>
      <c r="AO183" s="10"/>
      <c r="AP183" s="55"/>
      <c r="AQ183" s="55"/>
      <c r="AR183" s="55"/>
      <c r="AS183" s="59"/>
      <c r="AT183" s="10"/>
      <c r="AU183" s="55"/>
      <c r="AV183" s="55"/>
      <c r="AW183" s="55"/>
      <c r="AX183" s="59"/>
      <c r="AY183" s="10"/>
      <c r="AZ183" s="55"/>
      <c r="BA183" s="55"/>
      <c r="BB183" s="55"/>
      <c r="BC183" s="59"/>
      <c r="BD183" s="10"/>
    </row>
    <row r="184" spans="1:58" x14ac:dyDescent="0.3">
      <c r="A184" s="8"/>
      <c r="B184" s="16"/>
      <c r="C184" s="16"/>
      <c r="D184" s="59"/>
      <c r="E184" s="59"/>
      <c r="F184" s="10"/>
      <c r="G184" s="16"/>
      <c r="H184" s="59"/>
      <c r="I184" s="59"/>
      <c r="J184" s="59"/>
      <c r="K184" s="10"/>
      <c r="L184" s="55"/>
      <c r="M184" s="55"/>
      <c r="N184" s="55"/>
      <c r="O184" s="59"/>
      <c r="P184" s="10"/>
      <c r="Q184" s="55"/>
      <c r="R184" s="55"/>
      <c r="S184" s="55"/>
      <c r="T184" s="59"/>
      <c r="U184" s="10"/>
      <c r="V184" s="55"/>
      <c r="W184" s="55"/>
      <c r="X184" s="55"/>
      <c r="Y184" s="59"/>
      <c r="Z184" s="10"/>
      <c r="AA184" s="55"/>
      <c r="AB184" s="55"/>
      <c r="AC184" s="55"/>
      <c r="AD184" s="59"/>
      <c r="AE184" s="10"/>
      <c r="AF184" s="55"/>
      <c r="AG184" s="55"/>
      <c r="AH184" s="55"/>
      <c r="AI184" s="59"/>
      <c r="AJ184" s="10"/>
      <c r="AK184" s="55"/>
      <c r="AL184" s="55"/>
      <c r="AM184" s="55"/>
      <c r="AN184" s="59"/>
      <c r="AO184" s="10"/>
      <c r="AP184" s="55"/>
      <c r="AQ184" s="55"/>
      <c r="AR184" s="55"/>
      <c r="AS184" s="59"/>
      <c r="AT184" s="10"/>
      <c r="AU184" s="55"/>
      <c r="AV184" s="55"/>
      <c r="AW184" s="55"/>
      <c r="AX184" s="59"/>
      <c r="AY184" s="10"/>
      <c r="AZ184" s="55"/>
      <c r="BA184" s="55"/>
      <c r="BB184" s="55"/>
      <c r="BC184" s="59"/>
      <c r="BD184" s="10"/>
    </row>
    <row r="185" spans="1:58" x14ac:dyDescent="0.3">
      <c r="A185" s="8" t="s">
        <v>118</v>
      </c>
      <c r="B185" s="11"/>
      <c r="C185" s="11"/>
      <c r="D185" s="57"/>
      <c r="E185" s="57"/>
      <c r="F185" s="10"/>
      <c r="G185" s="11"/>
      <c r="H185" s="57"/>
      <c r="I185" s="57"/>
      <c r="J185" s="57"/>
      <c r="K185" s="10"/>
      <c r="L185" s="55">
        <f>VLOOKUP(A185,'Profit Loss-Amravati-25-26'!$A$9:$F$190,5,0)</f>
        <v>0</v>
      </c>
      <c r="M185" s="55">
        <f>VLOOKUP(A185,'Profit Loss-Betul-25-26'!$A$9:$F$141,5,0)</f>
        <v>0</v>
      </c>
      <c r="N185" s="55"/>
      <c r="O185" s="57"/>
      <c r="P185" s="10"/>
      <c r="Q185" s="55">
        <f>VLOOKUP(A185,'Profit Loss-Amravati-25-26'!$A$9:$H$190,7,0)</f>
        <v>0</v>
      </c>
      <c r="R185" s="55">
        <f>VLOOKUP(A185,'Profit Loss-Betul-25-26'!$A$9:$H$141,7,0)</f>
        <v>0</v>
      </c>
      <c r="S185" s="55"/>
      <c r="T185" s="57"/>
      <c r="U185" s="10"/>
      <c r="V185" s="55">
        <f>VLOOKUP(A185,'Profit Loss-Amravati-25-26'!$A$9:$J$190,9,0)</f>
        <v>0</v>
      </c>
      <c r="W185" s="55">
        <f>VLOOKUP(A185,'Profit Loss-Betul-25-26'!$A$9:$J$141,9,0)</f>
        <v>0</v>
      </c>
      <c r="X185" s="55"/>
      <c r="Y185" s="57"/>
      <c r="Z185" s="10"/>
      <c r="AA185" s="55">
        <f>VLOOKUP(A185,'Profit Loss-Amravati-25-26'!$A$9:$L$192,11,0)</f>
        <v>0</v>
      </c>
      <c r="AB185" s="55">
        <f>VLOOKUP(A185,'Profit Loss-Betul-25-26'!$A$9:$L$141,11,0)</f>
        <v>0</v>
      </c>
      <c r="AC185" s="55"/>
      <c r="AD185" s="57"/>
      <c r="AE185" s="10"/>
      <c r="AF185" s="55">
        <f>VLOOKUP(A185,'Profit Loss-Amravati-25-26'!$A$9:$N$192,13,0)</f>
        <v>0</v>
      </c>
      <c r="AG185" s="55">
        <f>VLOOKUP(A185,'Profit Loss-Betul-25-26'!$A$9:$N$141,13,0)</f>
        <v>0</v>
      </c>
      <c r="AH185" s="55"/>
      <c r="AI185" s="56">
        <f t="shared" ref="AI185:AI193" si="231">+AF185+AG185-AH185</f>
        <v>0</v>
      </c>
      <c r="AJ185" s="10"/>
      <c r="AK185" s="55">
        <f>VLOOKUP(A185,'Profit Loss-Amravati-25-26'!$A$9:$P$192,15,0)</f>
        <v>0</v>
      </c>
      <c r="AL185" s="55">
        <f>VLOOKUP(A185,'Profit Loss-Betul-25-26'!$A$9:$P$141,15,0)</f>
        <v>0</v>
      </c>
      <c r="AM185" s="55"/>
      <c r="AN185" s="56">
        <f t="shared" ref="AN185:AN193" si="232">+AK185+AL185-AM185</f>
        <v>0</v>
      </c>
      <c r="AO185" s="10"/>
      <c r="AP185" s="55">
        <f>VLOOKUP(A185,'Profit Loss-Amravati-25-26'!$A$9:$R$192,17,0)</f>
        <v>0</v>
      </c>
      <c r="AQ185" s="55">
        <f>VLOOKUP(A185,'Profit Loss-Betul-25-26'!$A$9:$R$141,17,0)</f>
        <v>0</v>
      </c>
      <c r="AR185" s="55"/>
      <c r="AS185" s="56">
        <f t="shared" ref="AS185:AS194" si="233">+AP185+AQ185-AR185</f>
        <v>0</v>
      </c>
      <c r="AT185" s="10"/>
      <c r="AU185" s="55">
        <f>VLOOKUP(A185,'Profit Loss-Amravati-25-26'!$A$9:$T$192,19,0)</f>
        <v>0</v>
      </c>
      <c r="AV185" s="55">
        <f>VLOOKUP(A185,'Profit Loss-Betul-25-26'!$A$9:$T$141,19,0)</f>
        <v>0</v>
      </c>
      <c r="AW185" s="55"/>
      <c r="AX185" s="56">
        <f t="shared" ref="AX185:AX194" si="234">+AU185+AV185-AW185</f>
        <v>0</v>
      </c>
      <c r="AY185" s="10"/>
      <c r="AZ185" s="55">
        <f>VLOOKUP(A185,'Profit Loss-Amravati-25-26'!$A$9:$V$192,21,0)</f>
        <v>0</v>
      </c>
      <c r="BA185" s="55">
        <f>VLOOKUP(A185,'Profit Loss-Betul-25-26'!$A$9:$V$141,21,0)</f>
        <v>0</v>
      </c>
      <c r="BB185" s="55"/>
      <c r="BC185" s="56">
        <f t="shared" ref="BC185:BC194" si="235">+AZ185+BA185-BB185</f>
        <v>0</v>
      </c>
      <c r="BD185" s="10"/>
    </row>
    <row r="186" spans="1:58" x14ac:dyDescent="0.3">
      <c r="A186" s="10" t="s">
        <v>120</v>
      </c>
      <c r="B186" s="11">
        <f>VLOOKUP(A186,'Profit Loss-Textile'!$A$8:$B$135,2,0)</f>
        <v>0</v>
      </c>
      <c r="C186" s="11">
        <f>VLOOKUP(A186,'Profit Loss-Amravati-25-26'!$A$13:$B$190,2,0)</f>
        <v>8.1300000000000008</v>
      </c>
      <c r="D186" s="57">
        <v>0</v>
      </c>
      <c r="E186" s="57"/>
      <c r="F186" s="65">
        <f>+B186+C186+D186</f>
        <v>8.1300000000000008</v>
      </c>
      <c r="G186" s="11">
        <f>VLOOKUP(A186,'Profit Loss-Amravati-25-26'!$A$9:$D$190,3,0)</f>
        <v>-81694.2</v>
      </c>
      <c r="H186" s="57">
        <v>0</v>
      </c>
      <c r="I186" s="57"/>
      <c r="J186" s="57">
        <f>SUM(G186:I186)</f>
        <v>-81694.2</v>
      </c>
      <c r="K186" s="65">
        <f t="shared" ref="K186:K193" si="236">+H186+G186-F186</f>
        <v>-81702.33</v>
      </c>
      <c r="L186" s="55">
        <f>VLOOKUP(A186,'Profit Loss-Amravati-25-26'!$A$9:$F$190,5,0)</f>
        <v>-56797.37</v>
      </c>
      <c r="M186" s="55">
        <f>VLOOKUP(A186,'Profit Loss-Betul-25-26'!$A$9:$F$141,5,0)</f>
        <v>0</v>
      </c>
      <c r="N186" s="55"/>
      <c r="O186" s="56">
        <f t="shared" ref="O186:O193" si="237">SUM(L186:M186)</f>
        <v>-56797.37</v>
      </c>
      <c r="P186" s="65">
        <f t="shared" ref="P186:P193" si="238">+O186-J186</f>
        <v>24896.829999999994</v>
      </c>
      <c r="Q186" s="55">
        <f>VLOOKUP(A186,'Profit Loss-Amravati-25-26'!$A$9:$H$190,7,0)</f>
        <v>168256.52</v>
      </c>
      <c r="R186" s="55">
        <f>VLOOKUP(A186,'Profit Loss-Betul-25-26'!$A$9:$H$141,7,0)</f>
        <v>0</v>
      </c>
      <c r="S186" s="55"/>
      <c r="T186" s="56">
        <f t="shared" ref="T186:T193" si="239">SUM(Q186:R186)</f>
        <v>168256.52</v>
      </c>
      <c r="U186" s="65">
        <f t="shared" ref="U186:U193" si="240">+T186-O186</f>
        <v>225053.88999999998</v>
      </c>
      <c r="V186" s="55">
        <f>VLOOKUP(A186,'Profit Loss-Amravati-25-26'!$A$9:$J$190,9,0)</f>
        <v>423262.5</v>
      </c>
      <c r="W186" s="55">
        <f>VLOOKUP(A186,'Profit Loss-Betul-25-26'!$A$9:$J$141,9,0)</f>
        <v>0</v>
      </c>
      <c r="X186" s="55"/>
      <c r="Y186" s="56">
        <f t="shared" ref="Y186:Y193" si="241">SUM(V186:W186)</f>
        <v>423262.5</v>
      </c>
      <c r="Z186" s="65">
        <f t="shared" ref="Z186:Z193" si="242">+Y186-T186</f>
        <v>255005.98</v>
      </c>
      <c r="AA186" s="55">
        <f>VLOOKUP(A186,'Profit Loss-Amravati-25-26'!$A$9:$L$192,11,0)</f>
        <v>754028.88</v>
      </c>
      <c r="AB186" s="55">
        <f>VLOOKUP(A186,'Profit Loss-Betul-25-26'!$A$9:$L$141,11,0)</f>
        <v>0</v>
      </c>
      <c r="AC186" s="55"/>
      <c r="AD186" s="56">
        <f t="shared" ref="AD186:AD192" si="243">+AA186+AB186</f>
        <v>754028.88</v>
      </c>
      <c r="AE186" s="65">
        <f t="shared" ref="AE186:AE193" si="244">+AD186-Y186</f>
        <v>330766.38</v>
      </c>
      <c r="AF186" s="55">
        <f>VLOOKUP(A186,'Profit Loss-Amravati-25-26'!$A$9:$N$192,13,0)</f>
        <v>823238.6</v>
      </c>
      <c r="AG186" s="55">
        <f>VLOOKUP(A186,'Profit Loss-Betul-25-26'!$A$9:$N$141,13,0)</f>
        <v>0</v>
      </c>
      <c r="AH186" s="55"/>
      <c r="AI186" s="56">
        <f t="shared" si="231"/>
        <v>823238.6</v>
      </c>
      <c r="AJ186" s="65">
        <f t="shared" ref="AJ186:AJ193" si="245">+AI186-AD186</f>
        <v>69209.719999999972</v>
      </c>
      <c r="AK186" s="55">
        <f>VLOOKUP(A186,'Profit Loss-Amravati-25-26'!$A$9:$P$192,15,0)</f>
        <v>875604.08</v>
      </c>
      <c r="AL186" s="55">
        <f>VLOOKUP(A186,'Profit Loss-Betul-25-26'!$A$9:$P$141,15,0)</f>
        <v>0</v>
      </c>
      <c r="AM186" s="55"/>
      <c r="AN186" s="56">
        <f t="shared" si="232"/>
        <v>875604.08</v>
      </c>
      <c r="AO186" s="65">
        <f t="shared" ref="AO186:AO193" si="246">+AN186-AI186</f>
        <v>52365.479999999981</v>
      </c>
      <c r="AP186" s="55">
        <f>VLOOKUP(A186,'Profit Loss-Amravati-25-26'!$A$9:$R$192,17,0)</f>
        <v>1410169.94</v>
      </c>
      <c r="AQ186" s="55">
        <f>VLOOKUP(A186,'Profit Loss-Betul-25-26'!$A$9:$R$141,17,0)</f>
        <v>0</v>
      </c>
      <c r="AR186" s="55"/>
      <c r="AS186" s="56">
        <f t="shared" si="233"/>
        <v>1410169.94</v>
      </c>
      <c r="AT186" s="65">
        <f t="shared" ref="AT186:AT194" si="247">+AS186-AN186</f>
        <v>534565.86</v>
      </c>
      <c r="AU186" s="55">
        <f>VLOOKUP(A186,'Profit Loss-Amravati-25-26'!$A$9:$T$192,19,0)</f>
        <v>3093101.84</v>
      </c>
      <c r="AV186" s="55">
        <f>VLOOKUP(A186,'Profit Loss-Betul-25-26'!$A$9:$T$141,19,0)</f>
        <v>0</v>
      </c>
      <c r="AW186" s="55"/>
      <c r="AX186" s="56">
        <f t="shared" si="234"/>
        <v>3093101.84</v>
      </c>
      <c r="AY186" s="65">
        <f t="shared" ref="AY186:AY194" si="248">+AX186-AS186</f>
        <v>1682931.9</v>
      </c>
      <c r="AZ186" s="55">
        <f>VLOOKUP(A186,'Profit Loss-Amravati-25-26'!$A$9:$V$192,21,0)</f>
        <v>5403135.8799999999</v>
      </c>
      <c r="BA186" s="55">
        <f>VLOOKUP(A186,'Profit Loss-Betul-25-26'!$A$9:$V$141,21,0)</f>
        <v>0</v>
      </c>
      <c r="BB186" s="55"/>
      <c r="BC186" s="56">
        <f t="shared" si="235"/>
        <v>5403135.8799999999</v>
      </c>
      <c r="BD186" s="65">
        <f t="shared" ref="BD186:BD194" si="249">+BC186-AX186</f>
        <v>2310034.04</v>
      </c>
      <c r="BE186" s="55"/>
      <c r="BF186" s="55"/>
    </row>
    <row r="187" spans="1:58" x14ac:dyDescent="0.3">
      <c r="A187" s="20" t="s">
        <v>119</v>
      </c>
      <c r="B187" s="11"/>
      <c r="C187" s="11"/>
      <c r="D187" s="57"/>
      <c r="E187" s="57"/>
      <c r="F187" s="65"/>
      <c r="G187" s="11"/>
      <c r="H187" s="57"/>
      <c r="I187" s="57"/>
      <c r="J187" s="57"/>
      <c r="K187" s="65"/>
      <c r="L187" s="55"/>
      <c r="M187" s="55"/>
      <c r="N187" s="55"/>
      <c r="O187" s="56"/>
      <c r="P187" s="65"/>
      <c r="Q187" s="55">
        <f>VLOOKUP(A187,'Profit Loss-Amravati-25-26'!$A$9:$H$190,7,0)</f>
        <v>640</v>
      </c>
      <c r="R187" s="55"/>
      <c r="S187" s="55"/>
      <c r="T187" s="56">
        <f t="shared" si="239"/>
        <v>640</v>
      </c>
      <c r="U187" s="65">
        <f t="shared" si="240"/>
        <v>640</v>
      </c>
      <c r="V187" s="55">
        <f>VLOOKUP(A187,'Profit Loss-Amravati-25-26'!$A$9:$J$190,9,0)</f>
        <v>640</v>
      </c>
      <c r="W187" s="55">
        <f>VLOOKUP(A187,'Profit Loss-Betul-25-26'!$A$9:$J$141,9,0)</f>
        <v>0</v>
      </c>
      <c r="X187" s="55"/>
      <c r="Y187" s="56">
        <f t="shared" si="241"/>
        <v>640</v>
      </c>
      <c r="Z187" s="65">
        <f t="shared" si="242"/>
        <v>0</v>
      </c>
      <c r="AA187" s="55">
        <f>VLOOKUP(A187,'Profit Loss-Amravati-25-26'!$A$9:$L$192,11,0)</f>
        <v>640</v>
      </c>
      <c r="AB187" s="55">
        <f>VLOOKUP(A187,'Profit Loss-Betul-25-26'!$A$9:$L$141,11,0)</f>
        <v>0</v>
      </c>
      <c r="AC187" s="55"/>
      <c r="AD187" s="56">
        <f t="shared" si="243"/>
        <v>640</v>
      </c>
      <c r="AE187" s="65">
        <f t="shared" si="244"/>
        <v>0</v>
      </c>
      <c r="AF187" s="55">
        <f>VLOOKUP(A187,'Profit Loss-Amravati-25-26'!$A$9:$N$192,13,0)</f>
        <v>640</v>
      </c>
      <c r="AG187" s="55">
        <f>VLOOKUP(A187,'Profit Loss-Betul-25-26'!$A$9:$N$141,13,0)</f>
        <v>0</v>
      </c>
      <c r="AH187" s="55"/>
      <c r="AI187" s="56">
        <f t="shared" si="231"/>
        <v>640</v>
      </c>
      <c r="AJ187" s="65">
        <f t="shared" si="245"/>
        <v>0</v>
      </c>
      <c r="AK187" s="55">
        <f>VLOOKUP(A187,'Profit Loss-Amravati-25-26'!$A$9:$P$192,15,0)</f>
        <v>640</v>
      </c>
      <c r="AL187" s="55">
        <f>VLOOKUP(A187,'Profit Loss-Betul-25-26'!$A$9:$P$141,15,0)</f>
        <v>0</v>
      </c>
      <c r="AM187" s="55"/>
      <c r="AN187" s="56">
        <f t="shared" si="232"/>
        <v>640</v>
      </c>
      <c r="AO187" s="65">
        <f t="shared" si="246"/>
        <v>0</v>
      </c>
      <c r="AP187" s="55">
        <f>VLOOKUP(A187,'Profit Loss-Amravati-25-26'!$A$9:$R$192,17,0)</f>
        <v>640</v>
      </c>
      <c r="AQ187" s="55">
        <f>VLOOKUP(A187,'Profit Loss-Betul-25-26'!$A$9:$R$141,17,0)</f>
        <v>0</v>
      </c>
      <c r="AR187" s="55"/>
      <c r="AS187" s="56">
        <f t="shared" si="233"/>
        <v>640</v>
      </c>
      <c r="AT187" s="65">
        <f t="shared" si="247"/>
        <v>0</v>
      </c>
      <c r="AU187" s="55">
        <f>VLOOKUP(A187,'Profit Loss-Amravati-25-26'!$A$9:$T$192,19,0)</f>
        <v>640</v>
      </c>
      <c r="AV187" s="55">
        <f>VLOOKUP(A187,'Profit Loss-Betul-25-26'!$A$9:$T$141,19,0)</f>
        <v>0</v>
      </c>
      <c r="AW187" s="55"/>
      <c r="AX187" s="56">
        <f t="shared" si="234"/>
        <v>640</v>
      </c>
      <c r="AY187" s="65">
        <f t="shared" si="248"/>
        <v>0</v>
      </c>
      <c r="AZ187" s="55">
        <f>VLOOKUP(A187,'Profit Loss-Amravati-25-26'!$A$9:$V$192,21,0)</f>
        <v>640</v>
      </c>
      <c r="BA187" s="55">
        <f>VLOOKUP(A187,'Profit Loss-Betul-25-26'!$A$9:$V$141,21,0)</f>
        <v>0</v>
      </c>
      <c r="BB187" s="55"/>
      <c r="BC187" s="56">
        <f t="shared" si="235"/>
        <v>640</v>
      </c>
      <c r="BD187" s="65">
        <f t="shared" si="249"/>
        <v>0</v>
      </c>
      <c r="BE187" s="55"/>
      <c r="BF187" s="55"/>
    </row>
    <row r="188" spans="1:58" hidden="1" x14ac:dyDescent="0.3">
      <c r="A188" s="10" t="s">
        <v>121</v>
      </c>
      <c r="B188" s="11"/>
      <c r="C188" s="11"/>
      <c r="D188" s="57"/>
      <c r="E188" s="57"/>
      <c r="F188" s="65">
        <f>+B188+C188+D188</f>
        <v>0</v>
      </c>
      <c r="G188" s="11"/>
      <c r="H188" s="57"/>
      <c r="I188" s="57"/>
      <c r="J188" s="57">
        <f t="shared" ref="J188:J193" si="250">SUM(G188:I188)</f>
        <v>0</v>
      </c>
      <c r="K188" s="65">
        <f t="shared" si="236"/>
        <v>0</v>
      </c>
      <c r="L188" s="55"/>
      <c r="M188" s="55"/>
      <c r="N188" s="55"/>
      <c r="O188" s="56">
        <f t="shared" si="237"/>
        <v>0</v>
      </c>
      <c r="P188" s="65">
        <f t="shared" si="238"/>
        <v>0</v>
      </c>
      <c r="Q188" s="55"/>
      <c r="R188" s="55"/>
      <c r="S188" s="55"/>
      <c r="T188" s="56">
        <f t="shared" si="239"/>
        <v>0</v>
      </c>
      <c r="U188" s="65">
        <f t="shared" si="240"/>
        <v>0</v>
      </c>
      <c r="V188" s="55"/>
      <c r="W188" s="55"/>
      <c r="X188" s="55"/>
      <c r="Y188" s="56">
        <f t="shared" si="241"/>
        <v>0</v>
      </c>
      <c r="Z188" s="65">
        <f t="shared" si="242"/>
        <v>0</v>
      </c>
      <c r="AA188" s="55"/>
      <c r="AB188" s="55"/>
      <c r="AC188" s="55"/>
      <c r="AD188" s="56">
        <f t="shared" si="243"/>
        <v>0</v>
      </c>
      <c r="AE188" s="65">
        <f t="shared" si="244"/>
        <v>0</v>
      </c>
      <c r="AF188" s="55"/>
      <c r="AG188" s="55"/>
      <c r="AH188" s="55"/>
      <c r="AI188" s="56">
        <f t="shared" si="231"/>
        <v>0</v>
      </c>
      <c r="AJ188" s="65">
        <f t="shared" si="245"/>
        <v>0</v>
      </c>
      <c r="AK188" s="55"/>
      <c r="AL188" s="55"/>
      <c r="AM188" s="55"/>
      <c r="AN188" s="56">
        <f t="shared" si="232"/>
        <v>0</v>
      </c>
      <c r="AO188" s="65">
        <f t="shared" si="246"/>
        <v>0</v>
      </c>
      <c r="AP188" s="55"/>
      <c r="AQ188" s="55"/>
      <c r="AR188" s="55"/>
      <c r="AS188" s="56">
        <f t="shared" si="233"/>
        <v>0</v>
      </c>
      <c r="AT188" s="65">
        <f t="shared" si="247"/>
        <v>0</v>
      </c>
      <c r="AU188" s="55"/>
      <c r="AV188" s="55"/>
      <c r="AW188" s="55"/>
      <c r="AX188" s="56">
        <f t="shared" si="234"/>
        <v>0</v>
      </c>
      <c r="AY188" s="65">
        <f t="shared" si="248"/>
        <v>0</v>
      </c>
      <c r="AZ188" s="55"/>
      <c r="BA188" s="55"/>
      <c r="BB188" s="55"/>
      <c r="BC188" s="56">
        <f t="shared" si="235"/>
        <v>0</v>
      </c>
      <c r="BD188" s="65">
        <f t="shared" si="249"/>
        <v>0</v>
      </c>
      <c r="BE188" s="55"/>
      <c r="BF188" s="55"/>
    </row>
    <row r="189" spans="1:58" x14ac:dyDescent="0.3">
      <c r="A189" s="10" t="s">
        <v>122</v>
      </c>
      <c r="B189" s="11"/>
      <c r="C189" s="11"/>
      <c r="D189" s="57"/>
      <c r="E189" s="57"/>
      <c r="F189" s="65">
        <f>+B189+C189+D189</f>
        <v>0</v>
      </c>
      <c r="G189" s="11">
        <f>VLOOKUP(A189,'Profit Loss-Amravati-25-26'!$A$9:$D$190,3,0)</f>
        <v>0</v>
      </c>
      <c r="H189" s="57"/>
      <c r="I189" s="57"/>
      <c r="J189" s="57">
        <f t="shared" si="250"/>
        <v>0</v>
      </c>
      <c r="K189" s="65">
        <f t="shared" si="236"/>
        <v>0</v>
      </c>
      <c r="L189" s="55">
        <f>VLOOKUP(A189,'Profit Loss-Amravati-25-26'!$A$9:$F$190,5,0)</f>
        <v>0</v>
      </c>
      <c r="M189" s="55">
        <f>VLOOKUP(A189,'Profit Loss-Betul-25-26'!$A$9:$F$141,5,0)</f>
        <v>0</v>
      </c>
      <c r="N189" s="55"/>
      <c r="O189" s="56">
        <f t="shared" si="237"/>
        <v>0</v>
      </c>
      <c r="P189" s="65">
        <f t="shared" si="238"/>
        <v>0</v>
      </c>
      <c r="Q189" s="55">
        <f>VLOOKUP(A189,'Profit Loss-Amravati-25-26'!$A$9:$H$190,7,0)</f>
        <v>0</v>
      </c>
      <c r="R189" s="55">
        <f>VLOOKUP(A189,'Profit Loss-Betul-25-26'!$A$9:$H$141,7,0)</f>
        <v>0</v>
      </c>
      <c r="S189" s="55"/>
      <c r="T189" s="56">
        <f t="shared" si="239"/>
        <v>0</v>
      </c>
      <c r="U189" s="65">
        <f t="shared" si="240"/>
        <v>0</v>
      </c>
      <c r="V189" s="55"/>
      <c r="W189" s="55"/>
      <c r="X189" s="55"/>
      <c r="Y189" s="56">
        <f t="shared" si="241"/>
        <v>0</v>
      </c>
      <c r="Z189" s="65">
        <f t="shared" si="242"/>
        <v>0</v>
      </c>
      <c r="AA189" s="55">
        <f>VLOOKUP(A189,'Profit Loss-Amravati-25-26'!$A$9:$L$192,11,0)</f>
        <v>0</v>
      </c>
      <c r="AB189" s="55"/>
      <c r="AC189" s="55"/>
      <c r="AD189" s="56">
        <f t="shared" si="243"/>
        <v>0</v>
      </c>
      <c r="AE189" s="65">
        <f t="shared" si="244"/>
        <v>0</v>
      </c>
      <c r="AF189" s="55">
        <f>VLOOKUP(A189,'Profit Loss-Amravati-25-26'!$A$9:$N$192,13,0)</f>
        <v>0</v>
      </c>
      <c r="AG189" s="55">
        <f>VLOOKUP(A189,'Profit Loss-Betul-25-26'!$A$9:$N$141,13,0)</f>
        <v>0</v>
      </c>
      <c r="AH189" s="55"/>
      <c r="AI189" s="56">
        <f t="shared" si="231"/>
        <v>0</v>
      </c>
      <c r="AJ189" s="65">
        <f t="shared" si="245"/>
        <v>0</v>
      </c>
      <c r="AK189" s="55">
        <f>VLOOKUP(A189,'Profit Loss-Amravati-25-26'!$A$9:$P$192,15,0)</f>
        <v>0</v>
      </c>
      <c r="AL189" s="55">
        <f>VLOOKUP(A189,'Profit Loss-Betul-25-26'!$A$9:$P$141,15,0)</f>
        <v>0</v>
      </c>
      <c r="AM189" s="55"/>
      <c r="AN189" s="56">
        <f t="shared" si="232"/>
        <v>0</v>
      </c>
      <c r="AO189" s="65">
        <f t="shared" si="246"/>
        <v>0</v>
      </c>
      <c r="AP189" s="55">
        <f>VLOOKUP(A189,'Profit Loss-Amravati-25-26'!$A$9:$R$192,17,0)</f>
        <v>0</v>
      </c>
      <c r="AQ189" s="55">
        <f>VLOOKUP(A189,'Profit Loss-Betul-25-26'!$A$9:$R$141,17,0)</f>
        <v>0</v>
      </c>
      <c r="AR189" s="55"/>
      <c r="AS189" s="56">
        <f t="shared" si="233"/>
        <v>0</v>
      </c>
      <c r="AT189" s="65">
        <f t="shared" si="247"/>
        <v>0</v>
      </c>
      <c r="AU189" s="55">
        <f>VLOOKUP(A189,'Profit Loss-Amravati-25-26'!$A$9:$T$192,19,0)</f>
        <v>0</v>
      </c>
      <c r="AV189" s="55">
        <f>VLOOKUP(A189,'Profit Loss-Betul-25-26'!$A$9:$T$141,19,0)</f>
        <v>0</v>
      </c>
      <c r="AW189" s="55"/>
      <c r="AX189" s="56">
        <f t="shared" si="234"/>
        <v>0</v>
      </c>
      <c r="AY189" s="65">
        <f t="shared" si="248"/>
        <v>0</v>
      </c>
      <c r="AZ189" s="55">
        <f>VLOOKUP(A189,'Profit Loss-Amravati-25-26'!$A$9:$V$192,21,0)</f>
        <v>31329.49</v>
      </c>
      <c r="BA189" s="55">
        <f>VLOOKUP(A189,'Profit Loss-Betul-25-26'!$A$9:$V$141,21,0)</f>
        <v>0</v>
      </c>
      <c r="BB189" s="55"/>
      <c r="BC189" s="56">
        <f t="shared" si="235"/>
        <v>31329.49</v>
      </c>
      <c r="BD189" s="65">
        <f t="shared" si="249"/>
        <v>31329.49</v>
      </c>
      <c r="BE189" s="55"/>
      <c r="BF189" s="55"/>
    </row>
    <row r="190" spans="1:58" hidden="1" x14ac:dyDescent="0.3">
      <c r="A190" s="10" t="s">
        <v>123</v>
      </c>
      <c r="B190" s="11"/>
      <c r="C190" s="11"/>
      <c r="D190" s="57"/>
      <c r="E190" s="57"/>
      <c r="F190" s="65">
        <f>+B190+C190+D190</f>
        <v>0</v>
      </c>
      <c r="G190" s="11">
        <f>VLOOKUP(A190,'Profit Loss-Amravati-25-26'!$A$9:$D$190,3,0)</f>
        <v>0</v>
      </c>
      <c r="H190" s="57"/>
      <c r="I190" s="57"/>
      <c r="J190" s="57">
        <f t="shared" si="250"/>
        <v>0</v>
      </c>
      <c r="K190" s="65">
        <f t="shared" si="236"/>
        <v>0</v>
      </c>
      <c r="L190" s="55">
        <f>VLOOKUP(A190,'Profit Loss-Amravati-25-26'!$A$9:$F$190,5,0)</f>
        <v>0</v>
      </c>
      <c r="M190" s="55">
        <f>VLOOKUP(A190,'Profit Loss-Betul-25-26'!$A$9:$F$141,5,0)</f>
        <v>0</v>
      </c>
      <c r="N190" s="55"/>
      <c r="O190" s="56">
        <f t="shared" si="237"/>
        <v>0</v>
      </c>
      <c r="P190" s="65">
        <f t="shared" si="238"/>
        <v>0</v>
      </c>
      <c r="Q190" s="55">
        <f>VLOOKUP(A190,'Profit Loss-Amravati-25-26'!$A$9:$H$190,7,0)</f>
        <v>0</v>
      </c>
      <c r="R190" s="55">
        <f>VLOOKUP(A190,'Profit Loss-Betul-25-26'!$A$9:$H$141,7,0)</f>
        <v>0</v>
      </c>
      <c r="S190" s="55"/>
      <c r="T190" s="56">
        <f t="shared" si="239"/>
        <v>0</v>
      </c>
      <c r="U190" s="65">
        <f t="shared" si="240"/>
        <v>0</v>
      </c>
      <c r="V190" s="55"/>
      <c r="W190" s="55"/>
      <c r="X190" s="55"/>
      <c r="Y190" s="56">
        <f t="shared" si="241"/>
        <v>0</v>
      </c>
      <c r="Z190" s="65">
        <f t="shared" si="242"/>
        <v>0</v>
      </c>
      <c r="AA190" s="55">
        <f>VLOOKUP(A190,'Profit Loss-Amravati-25-26'!$A$9:$L$192,11,0)</f>
        <v>0</v>
      </c>
      <c r="AB190" s="55"/>
      <c r="AC190" s="55"/>
      <c r="AD190" s="56">
        <f t="shared" si="243"/>
        <v>0</v>
      </c>
      <c r="AE190" s="65">
        <f t="shared" si="244"/>
        <v>0</v>
      </c>
      <c r="AF190" s="55">
        <f>VLOOKUP(A190,'Profit Loss-Amravati-25-26'!$A$9:$N$192,13,0)</f>
        <v>0</v>
      </c>
      <c r="AG190" s="55">
        <f>VLOOKUP(A190,'Profit Loss-Betul-25-26'!$A$9:$N$141,13,0)</f>
        <v>0</v>
      </c>
      <c r="AH190" s="55"/>
      <c r="AI190" s="56">
        <f t="shared" si="231"/>
        <v>0</v>
      </c>
      <c r="AJ190" s="65">
        <f t="shared" si="245"/>
        <v>0</v>
      </c>
      <c r="AK190" s="55">
        <f>VLOOKUP(A190,'Profit Loss-Amravati-25-26'!$A$9:$P$192,15,0)</f>
        <v>0</v>
      </c>
      <c r="AL190" s="55">
        <f>VLOOKUP(A190,'Profit Loss-Betul-25-26'!$A$9:$P$141,15,0)</f>
        <v>0</v>
      </c>
      <c r="AM190" s="55"/>
      <c r="AN190" s="56">
        <f t="shared" si="232"/>
        <v>0</v>
      </c>
      <c r="AO190" s="65">
        <f t="shared" si="246"/>
        <v>0</v>
      </c>
      <c r="AP190" s="55">
        <f>VLOOKUP(A190,'Profit Loss-Amravati-25-26'!$A$9:$R$192,17,0)</f>
        <v>0</v>
      </c>
      <c r="AQ190" s="55">
        <f>VLOOKUP(A190,'Profit Loss-Betul-25-26'!$A$9:$R$141,17,0)</f>
        <v>0</v>
      </c>
      <c r="AR190" s="55"/>
      <c r="AS190" s="56">
        <f t="shared" si="233"/>
        <v>0</v>
      </c>
      <c r="AT190" s="65">
        <f t="shared" si="247"/>
        <v>0</v>
      </c>
      <c r="AU190" s="55">
        <f>VLOOKUP(A190,'Profit Loss-Amravati-25-26'!$A$9:$T$192,19,0)</f>
        <v>0</v>
      </c>
      <c r="AV190" s="55">
        <f>-VLOOKUP(A190,'Profit Loss-Betul-25-26'!$A$9:$T$141,19,0)</f>
        <v>320</v>
      </c>
      <c r="AW190" s="55"/>
      <c r="AX190" s="56">
        <f>+AU190+AV190-AW190-320</f>
        <v>0</v>
      </c>
      <c r="AY190" s="65">
        <f t="shared" si="248"/>
        <v>0</v>
      </c>
      <c r="AZ190" s="55">
        <f>VLOOKUP(A190,'Profit Loss-Amravati-25-26'!$A$9:$V$192,21,0)</f>
        <v>0</v>
      </c>
      <c r="BA190" s="55">
        <f>VLOOKUP(A190,'Profit Loss-Betul-25-26'!$A$9:$V$141,21,0)</f>
        <v>0</v>
      </c>
      <c r="BB190" s="55"/>
      <c r="BC190" s="56">
        <f t="shared" si="235"/>
        <v>0</v>
      </c>
      <c r="BD190" s="65">
        <f t="shared" si="249"/>
        <v>0</v>
      </c>
      <c r="BE190" s="55"/>
      <c r="BF190" s="55"/>
    </row>
    <row r="191" spans="1:58" ht="16.2" customHeight="1" x14ac:dyDescent="0.3">
      <c r="A191" s="10" t="s">
        <v>124</v>
      </c>
      <c r="B191" s="11"/>
      <c r="C191" s="11">
        <f>VLOOKUP(A191,'Profit Loss-Amravati-25-26'!$A$13:$B$190,2,0)</f>
        <v>1280</v>
      </c>
      <c r="D191" s="57">
        <v>0</v>
      </c>
      <c r="E191" s="57"/>
      <c r="F191" s="65">
        <f>+B191+C191+D191</f>
        <v>1280</v>
      </c>
      <c r="G191" s="11">
        <f>VLOOKUP(A191,'Profit Loss-Amravati-25-26'!$A$9:$D$190,3,0)</f>
        <v>1280</v>
      </c>
      <c r="H191" s="57">
        <v>0</v>
      </c>
      <c r="I191" s="57"/>
      <c r="J191" s="57">
        <f t="shared" si="250"/>
        <v>1280</v>
      </c>
      <c r="K191" s="65">
        <f t="shared" si="236"/>
        <v>0</v>
      </c>
      <c r="L191" s="55">
        <f>VLOOKUP(A191,'Profit Loss-Amravati-25-26'!$A$9:$F$190,5,0)</f>
        <v>1280</v>
      </c>
      <c r="M191" s="55">
        <f>VLOOKUP(A191,'Profit Loss-Betul-25-26'!$A$9:$F$141,5,0)</f>
        <v>0</v>
      </c>
      <c r="N191" s="55"/>
      <c r="O191" s="56">
        <f t="shared" si="237"/>
        <v>1280</v>
      </c>
      <c r="P191" s="65">
        <f t="shared" si="238"/>
        <v>0</v>
      </c>
      <c r="Q191" s="55">
        <f>VLOOKUP(A191,'Profit Loss-Amravati-25-26'!$A$9:$H$190,7,0)</f>
        <v>1280</v>
      </c>
      <c r="R191" s="55">
        <f>VLOOKUP(A191,'Profit Loss-Betul-25-26'!$A$9:$H$141,7,0)</f>
        <v>0</v>
      </c>
      <c r="S191" s="55"/>
      <c r="T191" s="56">
        <f t="shared" si="239"/>
        <v>1280</v>
      </c>
      <c r="U191" s="65">
        <f t="shared" si="240"/>
        <v>0</v>
      </c>
      <c r="V191" s="55">
        <f>VLOOKUP(A191,'Profit Loss-Amravati-25-26'!$A$9:$J$190,9,0)</f>
        <v>1280</v>
      </c>
      <c r="W191" s="55"/>
      <c r="X191" s="55"/>
      <c r="Y191" s="56">
        <f t="shared" si="241"/>
        <v>1280</v>
      </c>
      <c r="Z191" s="65">
        <f t="shared" si="242"/>
        <v>0</v>
      </c>
      <c r="AA191" s="55">
        <f>VLOOKUP(A191,'Profit Loss-Amravati-25-26'!$A$9:$L$192,11,0)</f>
        <v>1280</v>
      </c>
      <c r="AB191" s="55">
        <f>VLOOKUP(A191,'Profit Loss-Betul-25-26'!$A$9:$L$141,11,0)</f>
        <v>0</v>
      </c>
      <c r="AC191" s="55"/>
      <c r="AD191" s="56">
        <f t="shared" si="243"/>
        <v>1280</v>
      </c>
      <c r="AE191" s="65">
        <f t="shared" si="244"/>
        <v>0</v>
      </c>
      <c r="AF191" s="55">
        <f>VLOOKUP(A191,'Profit Loss-Amravati-25-26'!$A$9:$N$192,13,0)</f>
        <v>1283</v>
      </c>
      <c r="AG191" s="55">
        <f>VLOOKUP(A191,'Profit Loss-Betul-25-26'!$A$9:$N$141,13,0)</f>
        <v>0</v>
      </c>
      <c r="AH191" s="55"/>
      <c r="AI191" s="56">
        <f t="shared" si="231"/>
        <v>1283</v>
      </c>
      <c r="AJ191" s="65">
        <f t="shared" si="245"/>
        <v>3</v>
      </c>
      <c r="AK191" s="55">
        <f>VLOOKUP(A191,'Profit Loss-Amravati-25-26'!$A$9:$P$192,15,0)</f>
        <v>1283</v>
      </c>
      <c r="AL191" s="55">
        <f>VLOOKUP(A191,'Profit Loss-Betul-25-26'!$A$9:$P$141,15,0)</f>
        <v>0</v>
      </c>
      <c r="AM191" s="55"/>
      <c r="AN191" s="56">
        <f t="shared" si="232"/>
        <v>1283</v>
      </c>
      <c r="AO191" s="65">
        <f t="shared" si="246"/>
        <v>0</v>
      </c>
      <c r="AP191" s="55">
        <f>VLOOKUP(A191,'Profit Loss-Amravati-25-26'!$A$9:$R$192,17,0)</f>
        <v>1280</v>
      </c>
      <c r="AQ191" s="55">
        <f>VLOOKUP(A191,'Profit Loss-Betul-25-26'!$A$9:$R$141,17,0)</f>
        <v>0</v>
      </c>
      <c r="AR191" s="55"/>
      <c r="AS191" s="56">
        <f t="shared" si="233"/>
        <v>1280</v>
      </c>
      <c r="AT191" s="65">
        <f t="shared" si="247"/>
        <v>-3</v>
      </c>
      <c r="AU191" s="55">
        <f>VLOOKUP(A191,'Profit Loss-Amravati-25-26'!$A$9:$T$192,19,0)</f>
        <v>1280</v>
      </c>
      <c r="AV191" s="55">
        <f>VLOOKUP(A191,'Profit Loss-Betul-25-26'!$A$9:$T$141,19,0)</f>
        <v>0</v>
      </c>
      <c r="AW191" s="55"/>
      <c r="AX191" s="56">
        <f>+AU191+AV191-AW191+320</f>
        <v>1600</v>
      </c>
      <c r="AY191" s="65">
        <f t="shared" si="248"/>
        <v>320</v>
      </c>
      <c r="AZ191" s="55">
        <f>VLOOKUP(A191,'Profit Loss-Amravati-25-26'!$A$9:$V$192,21,0)</f>
        <v>1577093.27</v>
      </c>
      <c r="BA191" s="55">
        <f>VLOOKUP(A191,'Profit Loss-Betul-25-26'!$A$9:$V$141,21,0)</f>
        <v>320</v>
      </c>
      <c r="BB191" s="55"/>
      <c r="BC191" s="56">
        <f t="shared" si="235"/>
        <v>1577413.27</v>
      </c>
      <c r="BD191" s="65">
        <f t="shared" si="249"/>
        <v>1575813.27</v>
      </c>
      <c r="BE191" s="55"/>
      <c r="BF191" s="55"/>
    </row>
    <row r="192" spans="1:58" ht="16.2" customHeight="1" x14ac:dyDescent="0.3">
      <c r="A192" s="10" t="s">
        <v>300</v>
      </c>
      <c r="B192" s="11"/>
      <c r="C192" s="11"/>
      <c r="D192" s="57"/>
      <c r="E192" s="57"/>
      <c r="F192" s="65"/>
      <c r="G192" s="11"/>
      <c r="H192" s="57"/>
      <c r="I192" s="57"/>
      <c r="J192" s="57">
        <v>2964500</v>
      </c>
      <c r="K192" s="65">
        <f>+J192-F192</f>
        <v>2964500</v>
      </c>
      <c r="L192" s="55">
        <f>+'Profit Loss-Amravati-25-26'!E185</f>
        <v>2893828</v>
      </c>
      <c r="M192" s="55"/>
      <c r="N192" s="55"/>
      <c r="O192" s="56">
        <f>SUM(L192:M192)+70672</f>
        <v>2964500</v>
      </c>
      <c r="P192" s="65">
        <f t="shared" si="238"/>
        <v>0</v>
      </c>
      <c r="Q192" s="55">
        <f>+'Profit Loss-Amravati-25-26'!G185</f>
        <v>2964500</v>
      </c>
      <c r="R192" s="55"/>
      <c r="S192" s="55"/>
      <c r="T192" s="56">
        <f t="shared" si="239"/>
        <v>2964500</v>
      </c>
      <c r="U192" s="65">
        <f t="shared" si="240"/>
        <v>0</v>
      </c>
      <c r="V192" s="55">
        <f>+'Profit Loss-Amravati-25-26'!I185</f>
        <v>2964500</v>
      </c>
      <c r="W192" s="55"/>
      <c r="X192" s="55"/>
      <c r="Y192" s="56">
        <f t="shared" si="241"/>
        <v>2964500</v>
      </c>
      <c r="Z192" s="65">
        <f t="shared" si="242"/>
        <v>0</v>
      </c>
      <c r="AA192" s="55">
        <f>+'Profit Loss-Amravati-25-26'!K185</f>
        <v>2964500</v>
      </c>
      <c r="AB192" s="55"/>
      <c r="AC192" s="55"/>
      <c r="AD192" s="56">
        <f t="shared" si="243"/>
        <v>2964500</v>
      </c>
      <c r="AE192" s="65">
        <f t="shared" si="244"/>
        <v>0</v>
      </c>
      <c r="AF192" s="55">
        <f>+'Profit Loss-Amravati-25-26'!M185</f>
        <v>2964500</v>
      </c>
      <c r="AG192" s="55"/>
      <c r="AH192" s="55"/>
      <c r="AI192" s="56">
        <f t="shared" si="231"/>
        <v>2964500</v>
      </c>
      <c r="AJ192" s="65">
        <f t="shared" si="245"/>
        <v>0</v>
      </c>
      <c r="AK192" s="55">
        <f>+'Profit Loss-Amravati-25-26'!O185</f>
        <v>2964500</v>
      </c>
      <c r="AL192" s="55"/>
      <c r="AM192" s="55"/>
      <c r="AN192" s="56">
        <f t="shared" si="232"/>
        <v>2964500</v>
      </c>
      <c r="AO192" s="65">
        <f t="shared" si="246"/>
        <v>0</v>
      </c>
      <c r="AP192" s="55">
        <f>+'Profit Loss-Amravati-25-26'!Q185</f>
        <v>2964503</v>
      </c>
      <c r="AQ192" s="55"/>
      <c r="AR192" s="55"/>
      <c r="AS192" s="56">
        <f t="shared" si="233"/>
        <v>2964503</v>
      </c>
      <c r="AT192" s="65">
        <f t="shared" si="247"/>
        <v>3</v>
      </c>
      <c r="AU192" s="55">
        <f>+'Profit Loss-Amravati-25-26'!S185</f>
        <v>2964503</v>
      </c>
      <c r="AV192" s="55"/>
      <c r="AW192" s="55"/>
      <c r="AX192" s="56">
        <f t="shared" si="234"/>
        <v>2964503</v>
      </c>
      <c r="AY192" s="65">
        <f t="shared" si="248"/>
        <v>0</v>
      </c>
      <c r="AZ192" s="55">
        <f>+'Profit Loss-Amravati-25-26'!U185</f>
        <v>2964503</v>
      </c>
      <c r="BA192" s="55"/>
      <c r="BB192" s="55"/>
      <c r="BC192" s="56">
        <f t="shared" si="235"/>
        <v>2964503</v>
      </c>
      <c r="BD192" s="65">
        <f t="shared" si="249"/>
        <v>0</v>
      </c>
      <c r="BE192" s="55"/>
      <c r="BF192" s="55"/>
    </row>
    <row r="193" spans="1:65" hidden="1" x14ac:dyDescent="0.3">
      <c r="A193" s="10" t="s">
        <v>125</v>
      </c>
      <c r="B193" s="11">
        <f>VLOOKUP(A193,'Profit Loss-Textile'!$A$8:$B$135,2,0)</f>
        <v>0</v>
      </c>
      <c r="C193" s="11"/>
      <c r="D193" s="57"/>
      <c r="E193" s="57"/>
      <c r="F193" s="65">
        <f>+B193+C193+D193</f>
        <v>0</v>
      </c>
      <c r="G193" s="11"/>
      <c r="H193" s="57"/>
      <c r="I193" s="57"/>
      <c r="J193" s="57">
        <f t="shared" si="250"/>
        <v>0</v>
      </c>
      <c r="K193" s="65">
        <f t="shared" si="236"/>
        <v>0</v>
      </c>
      <c r="L193" s="55"/>
      <c r="M193" s="55"/>
      <c r="N193" s="55"/>
      <c r="O193" s="56">
        <f t="shared" si="237"/>
        <v>0</v>
      </c>
      <c r="P193" s="65">
        <f t="shared" si="238"/>
        <v>0</v>
      </c>
      <c r="Q193" s="55"/>
      <c r="R193" s="55"/>
      <c r="S193" s="55"/>
      <c r="T193" s="56">
        <f t="shared" si="239"/>
        <v>0</v>
      </c>
      <c r="U193" s="65">
        <f t="shared" si="240"/>
        <v>0</v>
      </c>
      <c r="V193" s="55"/>
      <c r="W193" s="55"/>
      <c r="X193" s="55"/>
      <c r="Y193" s="56">
        <f t="shared" si="241"/>
        <v>0</v>
      </c>
      <c r="Z193" s="65">
        <f t="shared" si="242"/>
        <v>0</v>
      </c>
      <c r="AA193" s="55"/>
      <c r="AB193" s="55"/>
      <c r="AC193" s="55"/>
      <c r="AD193" s="56">
        <f t="shared" ref="AD193" si="251">SUM(AA193:AB193)</f>
        <v>0</v>
      </c>
      <c r="AE193" s="65">
        <f t="shared" si="244"/>
        <v>0</v>
      </c>
      <c r="AF193" s="55"/>
      <c r="AG193" s="55"/>
      <c r="AH193" s="55"/>
      <c r="AI193" s="56">
        <f t="shared" si="231"/>
        <v>0</v>
      </c>
      <c r="AJ193" s="65">
        <f t="shared" si="245"/>
        <v>0</v>
      </c>
      <c r="AK193" s="55"/>
      <c r="AL193" s="55"/>
      <c r="AM193" s="55"/>
      <c r="AN193" s="56">
        <f t="shared" si="232"/>
        <v>0</v>
      </c>
      <c r="AO193" s="65">
        <f t="shared" si="246"/>
        <v>0</v>
      </c>
      <c r="AP193" s="55"/>
      <c r="AQ193" s="55"/>
      <c r="AR193" s="55"/>
      <c r="AS193" s="56">
        <f t="shared" si="233"/>
        <v>0</v>
      </c>
      <c r="AT193" s="65">
        <f t="shared" si="247"/>
        <v>0</v>
      </c>
      <c r="AU193" s="55"/>
      <c r="AV193" s="55"/>
      <c r="AW193" s="55"/>
      <c r="AX193" s="56">
        <f t="shared" si="234"/>
        <v>0</v>
      </c>
      <c r="AY193" s="65">
        <f t="shared" si="248"/>
        <v>0</v>
      </c>
      <c r="AZ193" s="55"/>
      <c r="BA193" s="55"/>
      <c r="BB193" s="55"/>
      <c r="BC193" s="56">
        <f t="shared" si="235"/>
        <v>0</v>
      </c>
      <c r="BD193" s="65">
        <f t="shared" si="249"/>
        <v>0</v>
      </c>
      <c r="BE193" s="55"/>
      <c r="BF193" s="55"/>
    </row>
    <row r="194" spans="1:65" x14ac:dyDescent="0.3">
      <c r="A194" t="s">
        <v>415</v>
      </c>
      <c r="B194" s="11"/>
      <c r="C194" s="11"/>
      <c r="D194" s="57"/>
      <c r="E194" s="57"/>
      <c r="F194" s="103"/>
      <c r="G194" s="11"/>
      <c r="H194" s="57"/>
      <c r="I194" s="57"/>
      <c r="J194" s="57"/>
      <c r="K194" s="65"/>
      <c r="L194" s="55"/>
      <c r="M194" s="55"/>
      <c r="N194" s="55"/>
      <c r="O194" s="56"/>
      <c r="P194" s="65"/>
      <c r="Q194" s="55"/>
      <c r="R194" s="55"/>
      <c r="S194" s="55"/>
      <c r="T194" s="56"/>
      <c r="U194" s="65"/>
      <c r="V194" s="55"/>
      <c r="W194" s="55"/>
      <c r="X194" s="55"/>
      <c r="Y194" s="56"/>
      <c r="Z194" s="65"/>
      <c r="AA194" s="55"/>
      <c r="AB194" s="55"/>
      <c r="AC194" s="55"/>
      <c r="AD194" s="56"/>
      <c r="AE194" s="65"/>
      <c r="AF194" s="55"/>
      <c r="AG194" s="55"/>
      <c r="AH194" s="55"/>
      <c r="AI194" s="56"/>
      <c r="AJ194" s="65"/>
      <c r="AK194" s="55"/>
      <c r="AL194" s="55"/>
      <c r="AM194" s="55"/>
      <c r="AN194" s="56"/>
      <c r="AO194" s="65"/>
      <c r="AP194" s="55">
        <f>VLOOKUP(A194,'Profit Loss-Amravati-25-26'!$A$9:$R$192,17,0)</f>
        <v>3878</v>
      </c>
      <c r="AQ194" s="55"/>
      <c r="AR194" s="55"/>
      <c r="AS194" s="56">
        <f t="shared" si="233"/>
        <v>3878</v>
      </c>
      <c r="AT194" s="65">
        <f t="shared" si="247"/>
        <v>3878</v>
      </c>
      <c r="AU194" s="55">
        <f>VLOOKUP(A194,'Profit Loss-Amravati-25-26'!$A$9:$T$192,19,0)</f>
        <v>3878</v>
      </c>
      <c r="AV194" s="55"/>
      <c r="AW194" s="55"/>
      <c r="AX194" s="56">
        <f t="shared" si="234"/>
        <v>3878</v>
      </c>
      <c r="AY194" s="65">
        <f t="shared" si="248"/>
        <v>0</v>
      </c>
      <c r="AZ194" s="55">
        <f>VLOOKUP(A194,'Profit Loss-Amravati-25-26'!$A$9:$V$192,21,0)</f>
        <v>21091.98</v>
      </c>
      <c r="BA194" s="55"/>
      <c r="BB194" s="55"/>
      <c r="BC194" s="56">
        <f t="shared" si="235"/>
        <v>21091.98</v>
      </c>
      <c r="BD194" s="65">
        <f t="shared" si="249"/>
        <v>17213.98</v>
      </c>
      <c r="BE194" s="55"/>
      <c r="BF194" s="55"/>
    </row>
    <row r="195" spans="1:65" x14ac:dyDescent="0.3">
      <c r="A195" s="13" t="s">
        <v>126</v>
      </c>
      <c r="B195" s="14">
        <f>SUM(B186:B193)</f>
        <v>0</v>
      </c>
      <c r="C195" s="14">
        <f>SUM(C186:C193)</f>
        <v>1288.1300000000001</v>
      </c>
      <c r="D195" s="58">
        <f>SUM(D186:D193)</f>
        <v>0</v>
      </c>
      <c r="E195" s="58"/>
      <c r="F195" s="58">
        <f>SUM(F186:F193)</f>
        <v>1288.1300000000001</v>
      </c>
      <c r="G195" s="14">
        <f>SUM(G186:G193)</f>
        <v>-80414.2</v>
      </c>
      <c r="H195" s="58">
        <f>SUM(H186:H193)</f>
        <v>0</v>
      </c>
      <c r="I195" s="58"/>
      <c r="J195" s="14">
        <f>SUM(J186:J193)</f>
        <v>2884085.8</v>
      </c>
      <c r="K195" s="14">
        <f>SUM(K186:K193)</f>
        <v>2882797.67</v>
      </c>
      <c r="L195" s="14">
        <f>SUM(L186:L193)</f>
        <v>2838310.63</v>
      </c>
      <c r="M195" s="14">
        <f>SUM(M186:M193)</f>
        <v>0</v>
      </c>
      <c r="N195" s="14"/>
      <c r="O195" s="14">
        <f>SUM(O186:O193)</f>
        <v>2908982.63</v>
      </c>
      <c r="P195" s="14">
        <f>SUM(P186:P193)</f>
        <v>24896.829999999994</v>
      </c>
      <c r="Q195" s="14">
        <f>SUM(Q186:Q193)</f>
        <v>3134676.52</v>
      </c>
      <c r="R195" s="14">
        <f>SUM(R186:R193)</f>
        <v>0</v>
      </c>
      <c r="S195" s="14"/>
      <c r="T195" s="14">
        <f>SUM(T186:T193)</f>
        <v>3134676.52</v>
      </c>
      <c r="U195" s="14">
        <f>SUM(U186:U193)</f>
        <v>225693.88999999998</v>
      </c>
      <c r="V195" s="14">
        <f>SUM(V186:V193)</f>
        <v>3389682.5</v>
      </c>
      <c r="W195" s="14">
        <f>SUM(W186:W193)</f>
        <v>0</v>
      </c>
      <c r="X195" s="14"/>
      <c r="Y195" s="14">
        <f>SUM(Y186:Y193)</f>
        <v>3389682.5</v>
      </c>
      <c r="Z195" s="14">
        <f>SUM(Z186:Z193)</f>
        <v>255005.98</v>
      </c>
      <c r="AA195" s="14">
        <f>SUM(AA186:AA193)</f>
        <v>3720448.88</v>
      </c>
      <c r="AB195" s="14">
        <f>SUM(AB186:AB193)</f>
        <v>0</v>
      </c>
      <c r="AC195" s="14"/>
      <c r="AD195" s="14">
        <f>SUM(AD186:AD193)</f>
        <v>3720448.88</v>
      </c>
      <c r="AE195" s="14">
        <f>SUM(AE186:AE193)</f>
        <v>330766.38</v>
      </c>
      <c r="AF195" s="14">
        <f>SUM(AF186:AF193)</f>
        <v>3789661.6</v>
      </c>
      <c r="AG195" s="14">
        <f>SUM(AG186:AG193)</f>
        <v>0</v>
      </c>
      <c r="AH195" s="14"/>
      <c r="AI195" s="14">
        <f>SUM(AI186:AI193)</f>
        <v>3789661.6</v>
      </c>
      <c r="AJ195" s="14">
        <f>SUM(AJ186:AJ193)</f>
        <v>69212.719999999972</v>
      </c>
      <c r="AK195" s="14">
        <f>SUM(AK186:AK193)</f>
        <v>3842027.08</v>
      </c>
      <c r="AL195" s="14">
        <f>SUM(AL186:AL193)</f>
        <v>0</v>
      </c>
      <c r="AM195" s="14"/>
      <c r="AN195" s="14">
        <f>SUM(AN186:AN193)</f>
        <v>3842027.08</v>
      </c>
      <c r="AO195" s="14">
        <f>SUM(AO186:AO193)</f>
        <v>52365.479999999981</v>
      </c>
      <c r="AP195" s="14">
        <f>SUM(AP186:AP194)</f>
        <v>4380470.9399999995</v>
      </c>
      <c r="AQ195" s="14">
        <f>SUM(AQ186:AQ194)</f>
        <v>0</v>
      </c>
      <c r="AR195" s="14"/>
      <c r="AS195" s="14">
        <f>SUM(AS186:AS194)</f>
        <v>4380470.9399999995</v>
      </c>
      <c r="AT195" s="14">
        <f>SUM(AT186:AT194)</f>
        <v>538443.86</v>
      </c>
      <c r="AU195" s="14">
        <f>SUM(AU186:AU194)</f>
        <v>6063402.8399999999</v>
      </c>
      <c r="AV195" s="14">
        <f>SUM(AV186:AV194)</f>
        <v>320</v>
      </c>
      <c r="AW195" s="14"/>
      <c r="AX195" s="14">
        <f>SUM(AX186:AX194)</f>
        <v>6063722.8399999999</v>
      </c>
      <c r="AY195" s="14">
        <f>SUM(AY186:AY194)</f>
        <v>1683251.9</v>
      </c>
      <c r="AZ195" s="14">
        <f>SUM(AZ186:AZ194)</f>
        <v>9997793.620000001</v>
      </c>
      <c r="BA195" s="14">
        <f>SUM(BA186:BA194)</f>
        <v>320</v>
      </c>
      <c r="BB195" s="14"/>
      <c r="BC195" s="14">
        <f>SUM(BC186:BC194)</f>
        <v>9998113.620000001</v>
      </c>
      <c r="BD195" s="14">
        <f>SUM(BD186:BD194)</f>
        <v>3934390.7800000003</v>
      </c>
      <c r="BE195" s="71">
        <f>+BC195-AX195-BD195</f>
        <v>0</v>
      </c>
      <c r="BF195" s="71"/>
    </row>
    <row r="196" spans="1:65" x14ac:dyDescent="0.3">
      <c r="A196" s="8"/>
      <c r="B196" s="16"/>
      <c r="C196" s="16"/>
      <c r="D196" s="16"/>
      <c r="E196" s="16"/>
      <c r="F196" s="10"/>
      <c r="G196" s="16"/>
      <c r="H196" s="16"/>
      <c r="I196" s="16"/>
      <c r="J196" s="16"/>
      <c r="K196" s="10"/>
      <c r="O196" s="16"/>
      <c r="P196" s="10"/>
      <c r="T196" s="16"/>
      <c r="U196" s="10"/>
      <c r="Y196" s="16"/>
      <c r="Z196" s="10"/>
      <c r="AD196" s="16"/>
      <c r="AE196" s="10"/>
      <c r="AI196" s="16"/>
      <c r="AJ196" s="10"/>
      <c r="AN196" s="16"/>
      <c r="AO196" s="10"/>
      <c r="AS196" s="16"/>
      <c r="AT196" s="10"/>
      <c r="AX196" s="16"/>
      <c r="AY196" s="10"/>
      <c r="BC196" s="16"/>
      <c r="BD196" s="10"/>
    </row>
    <row r="197" spans="1:65" s="15" customFormat="1" x14ac:dyDescent="0.3">
      <c r="A197" s="17" t="s">
        <v>127</v>
      </c>
      <c r="B197" s="18"/>
      <c r="C197" s="18">
        <f>+C47-C182+C195</f>
        <v>-13729101.930000016</v>
      </c>
      <c r="D197" s="18">
        <f>+D47-D182+D195</f>
        <v>-2095309.6599999997</v>
      </c>
      <c r="E197" s="18"/>
      <c r="F197" s="18">
        <f t="shared" ref="F197:AK197" si="252">+F47-F182+F195</f>
        <v>-15824411.590000013</v>
      </c>
      <c r="G197" s="18">
        <f t="shared" si="252"/>
        <v>-30357774.769999977</v>
      </c>
      <c r="H197" s="18">
        <f t="shared" si="252"/>
        <v>-4674678.55</v>
      </c>
      <c r="I197" s="18">
        <f t="shared" si="252"/>
        <v>0</v>
      </c>
      <c r="J197" s="18">
        <f t="shared" si="252"/>
        <v>-32067953.319999989</v>
      </c>
      <c r="K197" s="18">
        <f t="shared" si="252"/>
        <v>-16243541.860000001</v>
      </c>
      <c r="L197" s="18">
        <f t="shared" si="252"/>
        <v>-52495380.820000045</v>
      </c>
      <c r="M197" s="18">
        <f t="shared" si="252"/>
        <v>-6049710.8699999992</v>
      </c>
      <c r="N197" s="18">
        <f t="shared" si="252"/>
        <v>0</v>
      </c>
      <c r="O197" s="18">
        <f t="shared" si="252"/>
        <v>-58470489.68999999</v>
      </c>
      <c r="P197" s="18">
        <f t="shared" si="252"/>
        <v>-26402536.36999999</v>
      </c>
      <c r="Q197" s="18">
        <f t="shared" si="252"/>
        <v>-57625101.016666658</v>
      </c>
      <c r="R197" s="18">
        <f t="shared" si="252"/>
        <v>-6792256.6699999999</v>
      </c>
      <c r="S197" s="18">
        <f t="shared" si="252"/>
        <v>0</v>
      </c>
      <c r="T197" s="18">
        <f t="shared" si="252"/>
        <v>-64769684.696666725</v>
      </c>
      <c r="U197" s="18">
        <f t="shared" si="252"/>
        <v>-6299195.0066667059</v>
      </c>
      <c r="V197" s="18">
        <f t="shared" si="252"/>
        <v>-76574457.279333353</v>
      </c>
      <c r="W197" s="18">
        <f t="shared" si="252"/>
        <v>-7749895.8699999992</v>
      </c>
      <c r="X197" s="18">
        <f t="shared" si="252"/>
        <v>0</v>
      </c>
      <c r="Y197" s="18">
        <f t="shared" si="252"/>
        <v>-94191716.159333348</v>
      </c>
      <c r="Z197" s="18">
        <f t="shared" si="252"/>
        <v>-29422031.462666553</v>
      </c>
      <c r="AA197" s="18">
        <f t="shared" si="252"/>
        <v>-101134313.84000009</v>
      </c>
      <c r="AB197" s="18">
        <f t="shared" si="252"/>
        <v>-8702240.4699999969</v>
      </c>
      <c r="AC197" s="18">
        <f t="shared" si="252"/>
        <v>0</v>
      </c>
      <c r="AD197" s="18">
        <f t="shared" si="252"/>
        <v>-109836554.32000005</v>
      </c>
      <c r="AE197" s="18">
        <f t="shared" si="252"/>
        <v>-15644838.160666758</v>
      </c>
      <c r="AF197" s="18">
        <f t="shared" si="252"/>
        <v>-125732169.97666672</v>
      </c>
      <c r="AG197" s="18">
        <f t="shared" si="252"/>
        <v>-12193869.430000002</v>
      </c>
      <c r="AH197" s="18">
        <f t="shared" si="252"/>
        <v>0</v>
      </c>
      <c r="AI197" s="18">
        <f t="shared" si="252"/>
        <v>-137926039.41666666</v>
      </c>
      <c r="AJ197" s="18">
        <f t="shared" si="252"/>
        <v>-28089485.096666574</v>
      </c>
      <c r="AK197" s="18">
        <f t="shared" si="252"/>
        <v>-118384612.2641335</v>
      </c>
      <c r="AL197" s="18">
        <f t="shared" ref="AL197:BD197" si="253">+AL47-AL182+AL195</f>
        <v>-14893052.390000004</v>
      </c>
      <c r="AM197" s="18">
        <f t="shared" si="253"/>
        <v>1.9999999552965164E-2</v>
      </c>
      <c r="AN197" s="18">
        <f t="shared" si="253"/>
        <v>-133277664.67413346</v>
      </c>
      <c r="AO197" s="18">
        <f t="shared" si="253"/>
        <v>4648374.7425332628</v>
      </c>
      <c r="AP197" s="18">
        <f t="shared" si="253"/>
        <v>-114836719.63000005</v>
      </c>
      <c r="AQ197" s="18">
        <f t="shared" si="253"/>
        <v>-17420056.629999999</v>
      </c>
      <c r="AR197" s="18">
        <f t="shared" si="253"/>
        <v>1.0000001639127731E-2</v>
      </c>
      <c r="AS197" s="18">
        <f t="shared" si="253"/>
        <v>-132256776.27000016</v>
      </c>
      <c r="AT197" s="18">
        <f t="shared" si="253"/>
        <v>1020888.4041333353</v>
      </c>
      <c r="AU197" s="18">
        <f t="shared" si="253"/>
        <v>-134797551.59281865</v>
      </c>
      <c r="AV197" s="18">
        <f t="shared" si="253"/>
        <v>-19718994.580000002</v>
      </c>
      <c r="AW197" s="18">
        <f t="shared" si="253"/>
        <v>1.0000001639127731E-2</v>
      </c>
      <c r="AX197" s="18">
        <f t="shared" si="253"/>
        <v>-154516546.18281868</v>
      </c>
      <c r="AY197" s="18">
        <f t="shared" si="253"/>
        <v>-22259769.912818618</v>
      </c>
      <c r="AZ197" s="18">
        <f t="shared" si="253"/>
        <v>-155923210.27333343</v>
      </c>
      <c r="BA197" s="18">
        <f t="shared" si="253"/>
        <v>-23835515.670000006</v>
      </c>
      <c r="BB197" s="18">
        <f t="shared" si="253"/>
        <v>1.0000001639127731E-2</v>
      </c>
      <c r="BC197" s="18">
        <f t="shared" si="253"/>
        <v>-179758725.9533335</v>
      </c>
      <c r="BD197" s="18">
        <f t="shared" si="253"/>
        <v>-25242179.770514637</v>
      </c>
      <c r="BE197" s="71">
        <f>+BC197-AX197-BD197</f>
        <v>-1.7881393432617188E-7</v>
      </c>
      <c r="BF197" s="71"/>
      <c r="BL197" s="84"/>
      <c r="BM197" s="12"/>
    </row>
    <row r="198" spans="1:65" s="15" customFormat="1" hidden="1" x14ac:dyDescent="0.3">
      <c r="A198" s="89"/>
      <c r="B198" s="72"/>
      <c r="C198" s="72"/>
      <c r="D198" s="72"/>
      <c r="E198" s="72"/>
      <c r="F198" s="72">
        <v>-15824411.590000028</v>
      </c>
      <c r="G198" s="72">
        <v>-30357774.770000007</v>
      </c>
      <c r="H198" s="72">
        <v>-4674678.5499999989</v>
      </c>
      <c r="I198" s="72">
        <v>0</v>
      </c>
      <c r="J198" s="72">
        <v>-32067953.320000019</v>
      </c>
      <c r="K198" s="72">
        <v>-16243541.860000001</v>
      </c>
      <c r="L198" s="72">
        <v>-52495380.820000045</v>
      </c>
      <c r="M198" s="72">
        <v>-6049710.8699999992</v>
      </c>
      <c r="N198" s="72">
        <v>0</v>
      </c>
      <c r="O198" s="72">
        <v>-58470489.68999999</v>
      </c>
      <c r="P198" s="72">
        <v>-26402536.36999999</v>
      </c>
      <c r="Q198" s="72">
        <f>+'Profit Loss-Amravati-25-26'!G190</f>
        <v>-57625101.016666718</v>
      </c>
      <c r="R198" s="72">
        <f>+'Profit Loss-Betul-25-26'!G141</f>
        <v>-6792256.6699999981</v>
      </c>
      <c r="S198" s="72">
        <v>0</v>
      </c>
      <c r="T198" s="72">
        <f>+Q198+R198</f>
        <v>-64417357.686666712</v>
      </c>
      <c r="U198" s="72">
        <f>+T197-O197</f>
        <v>-6299195.0066667348</v>
      </c>
      <c r="V198" s="72">
        <f>+'Profit Loss-Amravati-25-26'!I190</f>
        <v>-84323198.499333322</v>
      </c>
      <c r="W198" s="72">
        <f>+'Profit Loss-Betul-25-26'!I141</f>
        <v>-7749895.8699999992</v>
      </c>
      <c r="X198" s="72">
        <v>0</v>
      </c>
      <c r="Y198" s="72">
        <f>+V197+W197</f>
        <v>-84324353.149333358</v>
      </c>
      <c r="Z198" s="72">
        <f>+Y197-T197</f>
        <v>-29422031.462666623</v>
      </c>
      <c r="AA198" s="72">
        <f>+'Profit Loss-Amravati-25-26'!R190</f>
        <v>3547892.6341333245</v>
      </c>
      <c r="AB198" s="72">
        <f>+'Profit Loss-Betul-25-26'!K141-AB197</f>
        <v>0</v>
      </c>
      <c r="AC198" s="72">
        <v>0</v>
      </c>
      <c r="AD198" s="72">
        <f>+AA197+AB197</f>
        <v>-109836554.31000009</v>
      </c>
      <c r="AE198" s="72">
        <f>+AD197-Y197</f>
        <v>-15644838.160666704</v>
      </c>
      <c r="AF198" s="72">
        <f>+'Profit Loss-Amravati-25-26'!M190</f>
        <v>-125732169.97666672</v>
      </c>
      <c r="AG198" s="72">
        <f>+'Profit Loss-Betul-25-26'!M141</f>
        <v>-12193869.430000002</v>
      </c>
      <c r="AH198" s="72">
        <v>0</v>
      </c>
      <c r="AI198" s="72">
        <f>+AF197+AG197</f>
        <v>-137926039.40666673</v>
      </c>
      <c r="AJ198" s="72">
        <f>+AI197-AD197</f>
        <v>-28089485.096666604</v>
      </c>
      <c r="AK198" s="72">
        <f>+'Profit Loss-Amravati-25-26'!R190</f>
        <v>3547892.6341333245</v>
      </c>
      <c r="AL198" s="72" t="e">
        <f>+'Profit Loss-Betul-25-26'!#REF!</f>
        <v>#REF!</v>
      </c>
      <c r="AM198" s="72">
        <v>0</v>
      </c>
      <c r="AN198" s="72">
        <f>+AK197+AL197</f>
        <v>-133277664.6541335</v>
      </c>
      <c r="AO198" s="72">
        <f>+AN197-AI197</f>
        <v>4648374.742533192</v>
      </c>
      <c r="AP198" s="72">
        <f>+'Profit Loss-Amravati-25-26'!Q190</f>
        <v>-114836719.63000005</v>
      </c>
      <c r="AQ198" s="72">
        <f>+'Profit Loss-Betul-25-26'!Q141</f>
        <v>-17420056.629999999</v>
      </c>
      <c r="AR198" s="72">
        <v>0</v>
      </c>
      <c r="AS198" s="72">
        <f>+AP197+AQ197</f>
        <v>-132256776.26000005</v>
      </c>
      <c r="AT198" s="72">
        <f>+AS197-AN197</f>
        <v>1020888.404133305</v>
      </c>
      <c r="AU198" s="72"/>
      <c r="AV198" s="72">
        <f>+'Profit Loss-Betul-25-26'!V141</f>
        <v>-4116521.0900000008</v>
      </c>
      <c r="AW198" s="72">
        <v>0</v>
      </c>
      <c r="AX198" s="72">
        <f>+AU197+AV197</f>
        <v>-154516546.17281866</v>
      </c>
      <c r="AY198" s="72">
        <f>+AX197-AS197</f>
        <v>-22259769.912818521</v>
      </c>
      <c r="AZ198" s="72">
        <f>+'Profit Loss-Amravati-25-26'!U190</f>
        <v>-155923210.73333311</v>
      </c>
      <c r="BA198" s="72">
        <f>+'Profit Loss-Betul-25-26'!U141</f>
        <v>-23835515.669999998</v>
      </c>
      <c r="BB198" s="72"/>
      <c r="BC198" s="72">
        <f>+AZ197+BA197</f>
        <v>-179758725.94333345</v>
      </c>
      <c r="BD198" s="72">
        <f>+BC197-AX197</f>
        <v>-25242179.770514816</v>
      </c>
      <c r="BE198" s="84"/>
      <c r="BF198" s="84"/>
    </row>
    <row r="199" spans="1:65" s="15" customFormat="1" hidden="1" x14ac:dyDescent="0.3">
      <c r="A199" s="89"/>
      <c r="B199" s="72"/>
      <c r="C199" s="72"/>
      <c r="D199" s="72"/>
      <c r="E199" s="72"/>
      <c r="F199" s="72">
        <f>+F197-F198</f>
        <v>1.4901161193847656E-8</v>
      </c>
      <c r="G199" s="72"/>
      <c r="H199" s="72"/>
      <c r="I199" s="72"/>
      <c r="J199" s="72"/>
      <c r="K199" s="72">
        <f t="shared" ref="K199:P199" si="254">+K197-K198</f>
        <v>0</v>
      </c>
      <c r="L199" s="72">
        <f t="shared" si="254"/>
        <v>0</v>
      </c>
      <c r="M199" s="72">
        <f t="shared" si="254"/>
        <v>0</v>
      </c>
      <c r="N199" s="72">
        <f t="shared" si="254"/>
        <v>0</v>
      </c>
      <c r="O199" s="72">
        <f t="shared" si="254"/>
        <v>0</v>
      </c>
      <c r="P199" s="72">
        <f t="shared" si="254"/>
        <v>0</v>
      </c>
      <c r="Q199" s="72">
        <f t="shared" ref="Q199:S199" si="255">+Q197-Q198</f>
        <v>5.9604644775390625E-8</v>
      </c>
      <c r="R199" s="72">
        <f t="shared" si="255"/>
        <v>0</v>
      </c>
      <c r="S199" s="72">
        <f t="shared" si="255"/>
        <v>0</v>
      </c>
      <c r="T199" s="72">
        <f>+T197-T198</f>
        <v>-352327.01000001281</v>
      </c>
      <c r="U199" s="72">
        <f>+U197-U198</f>
        <v>2.8870999813079834E-8</v>
      </c>
      <c r="V199" s="72">
        <f t="shared" ref="V199:Z199" si="256">+V197-V198</f>
        <v>7748741.219999969</v>
      </c>
      <c r="W199" s="72">
        <f t="shared" si="256"/>
        <v>0</v>
      </c>
      <c r="X199" s="72">
        <f t="shared" si="256"/>
        <v>0</v>
      </c>
      <c r="Y199" s="72">
        <f t="shared" si="256"/>
        <v>-9867363.0099999905</v>
      </c>
      <c r="Z199" s="72">
        <f t="shared" si="256"/>
        <v>7.0780515670776367E-8</v>
      </c>
      <c r="AA199" s="72"/>
      <c r="AB199" s="72"/>
      <c r="AC199" s="72">
        <f t="shared" ref="AC199:AE199" si="257">+AC197-AC198</f>
        <v>0</v>
      </c>
      <c r="AD199" s="72">
        <f t="shared" si="257"/>
        <v>-9.9999606609344482E-3</v>
      </c>
      <c r="AE199" s="72">
        <f t="shared" si="257"/>
        <v>-5.4016709327697754E-8</v>
      </c>
      <c r="AF199" s="72">
        <f>+AF197-AF198</f>
        <v>0</v>
      </c>
      <c r="AG199" s="72">
        <f>+AG197-AG198</f>
        <v>0</v>
      </c>
      <c r="AH199" s="72">
        <f t="shared" ref="AH199:AJ199" si="258">+AH197-AH198</f>
        <v>0</v>
      </c>
      <c r="AI199" s="72">
        <f t="shared" si="258"/>
        <v>-9.9999308586120605E-3</v>
      </c>
      <c r="AJ199" s="72">
        <f t="shared" si="258"/>
        <v>2.9802322387695313E-8</v>
      </c>
      <c r="AK199" s="72">
        <f>+AK197-AK198</f>
        <v>-121932504.89826682</v>
      </c>
      <c r="AL199" s="72" t="e">
        <f>+AL197-AL198</f>
        <v>#REF!</v>
      </c>
      <c r="AM199" s="72">
        <f t="shared" ref="AM199:AO199" si="259">+AM197-AM198</f>
        <v>1.9999999552965164E-2</v>
      </c>
      <c r="AN199" s="72">
        <f t="shared" si="259"/>
        <v>-1.9999966025352478E-2</v>
      </c>
      <c r="AO199" s="72">
        <f t="shared" si="259"/>
        <v>7.0780515670776367E-8</v>
      </c>
      <c r="AP199" s="72">
        <f>+AP197-AP198</f>
        <v>0</v>
      </c>
      <c r="AQ199" s="72">
        <f>+AQ197-AQ198</f>
        <v>0</v>
      </c>
      <c r="AR199" s="72">
        <f t="shared" ref="AR199:AT199" si="260">+AR197-AR198</f>
        <v>1.0000001639127731E-2</v>
      </c>
      <c r="AS199" s="72">
        <f t="shared" si="260"/>
        <v>-1.0000109672546387E-2</v>
      </c>
      <c r="AT199" s="72">
        <f t="shared" si="260"/>
        <v>3.0384398996829987E-8</v>
      </c>
      <c r="AU199" s="72"/>
      <c r="AV199" s="72">
        <f>+AV197-AV198</f>
        <v>-15602473.490000002</v>
      </c>
      <c r="AW199" s="72">
        <f t="shared" ref="AW199:AY199" si="261">+AW197-AW198</f>
        <v>1.0000001639127731E-2</v>
      </c>
      <c r="AX199" s="72">
        <f t="shared" si="261"/>
        <v>-1.0000020265579224E-2</v>
      </c>
      <c r="AY199" s="72">
        <f t="shared" si="261"/>
        <v>-9.6857547760009766E-8</v>
      </c>
      <c r="AZ199" s="72">
        <f>+AZ197-AZ198</f>
        <v>0.459999680519104</v>
      </c>
      <c r="BA199" s="72">
        <f>+BA197-BA198</f>
        <v>0</v>
      </c>
      <c r="BB199" s="72"/>
      <c r="BC199" s="72"/>
      <c r="BD199" s="72"/>
      <c r="BE199" s="84"/>
      <c r="BF199" s="84"/>
    </row>
    <row r="200" spans="1:65" s="15" customFormat="1" hidden="1" x14ac:dyDescent="0.3"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</row>
    <row r="201" spans="1:65" s="15" customFormat="1" ht="19.5" hidden="1" customHeight="1" x14ac:dyDescent="0.3">
      <c r="B201" s="5"/>
      <c r="C201" s="5"/>
      <c r="D201" s="5"/>
      <c r="E201" s="5"/>
      <c r="G201" s="77"/>
      <c r="H201" s="77"/>
      <c r="I201" s="77"/>
      <c r="J201" s="77"/>
      <c r="K201" s="12"/>
      <c r="L201" s="12">
        <f>+'Profit Loss-Amravati-25-26'!E190</f>
        <v>-52495380.820000105</v>
      </c>
      <c r="M201" s="12">
        <f>+'Profit Loss-Betul-25-26'!E141</f>
        <v>-6049710.8699999973</v>
      </c>
      <c r="N201" s="12"/>
      <c r="O201" s="77"/>
      <c r="P201" s="12"/>
      <c r="Q201" s="12"/>
      <c r="R201" s="12"/>
      <c r="S201" s="12"/>
      <c r="V201" s="12"/>
      <c r="W201" s="12"/>
      <c r="X201" s="12"/>
      <c r="AA201" s="12"/>
      <c r="AB201" s="12"/>
      <c r="AC201" s="12"/>
      <c r="AF201" s="12"/>
      <c r="AG201" s="12"/>
      <c r="AH201" s="12"/>
      <c r="AK201" s="12"/>
      <c r="AL201" s="12"/>
      <c r="AM201" s="12"/>
      <c r="AP201" s="12"/>
      <c r="AQ201" s="12"/>
      <c r="AR201" s="12"/>
      <c r="AU201" s="12"/>
      <c r="AV201" s="12"/>
      <c r="AW201" s="12"/>
      <c r="AZ201" s="12"/>
      <c r="BA201" s="12"/>
      <c r="BB201" s="12"/>
      <c r="BE201" s="12"/>
      <c r="BF201" s="12"/>
    </row>
    <row r="202" spans="1:65" s="15" customFormat="1" hidden="1" x14ac:dyDescent="0.3">
      <c r="B202" s="5">
        <f>+'Profit Loss-Textile'!B137</f>
        <v>0</v>
      </c>
      <c r="C202" s="5">
        <v>-13729101.930000016</v>
      </c>
      <c r="D202" s="5">
        <v>-2095309.6599999997</v>
      </c>
      <c r="E202" s="5"/>
      <c r="F202" s="12">
        <v>-15824411.590000013</v>
      </c>
      <c r="G202" s="77">
        <v>-30357774.770000007</v>
      </c>
      <c r="H202" s="77">
        <v>-4674678.5499999989</v>
      </c>
      <c r="I202" s="77">
        <v>0</v>
      </c>
      <c r="J202" s="77">
        <v>-32067953.319999989</v>
      </c>
      <c r="K202" s="12">
        <v>-16243541.860000001</v>
      </c>
      <c r="L202" s="12">
        <v>-52495380.820000045</v>
      </c>
      <c r="M202" s="12">
        <v>-6049710.8699999992</v>
      </c>
      <c r="N202" s="12">
        <v>0</v>
      </c>
      <c r="O202" s="77">
        <v>-58470489.68999999</v>
      </c>
      <c r="P202" s="12">
        <v>-26402536.36999999</v>
      </c>
      <c r="Q202" s="12">
        <v>-57625101.016666658</v>
      </c>
      <c r="R202" s="12">
        <v>-6792256.6699999981</v>
      </c>
      <c r="S202" s="12">
        <v>0</v>
      </c>
      <c r="T202" s="77">
        <v>-64769684.696666665</v>
      </c>
      <c r="U202" s="12">
        <v>-6299195.0066666761</v>
      </c>
      <c r="V202" s="12">
        <v>-84323198.279333353</v>
      </c>
      <c r="W202" s="12">
        <v>-7749895.8700000029</v>
      </c>
      <c r="X202" s="12">
        <v>0</v>
      </c>
      <c r="Y202" s="77">
        <v>-102491280.15933335</v>
      </c>
      <c r="Z202" s="12">
        <v>-37721595.462666631</v>
      </c>
      <c r="AA202" s="12">
        <v>-101161463.84000009</v>
      </c>
      <c r="AB202" s="12">
        <v>-8702240.4700000044</v>
      </c>
      <c r="AC202" s="12">
        <v>0</v>
      </c>
      <c r="AD202" s="77">
        <v>-109863704.32000011</v>
      </c>
      <c r="AE202" s="12">
        <v>-7372424.1606667293</v>
      </c>
      <c r="AF202" s="12">
        <v>-101161463.84000009</v>
      </c>
      <c r="AG202" s="12">
        <v>-8702240.4700000044</v>
      </c>
      <c r="AH202" s="12">
        <v>0</v>
      </c>
      <c r="AI202" s="77">
        <v>-109863704.32000011</v>
      </c>
      <c r="AJ202" s="12">
        <v>-7372424.1606667293</v>
      </c>
      <c r="AK202" s="12">
        <v>-101161463.84000009</v>
      </c>
      <c r="AL202" s="12">
        <v>-8702240.4700000044</v>
      </c>
      <c r="AM202" s="12">
        <v>0</v>
      </c>
      <c r="AN202" s="77">
        <v>-109863704.32000011</v>
      </c>
      <c r="AO202" s="12">
        <v>-7372424.1606667293</v>
      </c>
      <c r="AP202" s="12">
        <v>-101161463.84000009</v>
      </c>
      <c r="AQ202" s="12">
        <v>-8702240.4700000044</v>
      </c>
      <c r="AR202" s="12">
        <v>0</v>
      </c>
      <c r="AS202" s="77"/>
      <c r="AT202" s="12"/>
      <c r="AU202" s="12"/>
      <c r="AV202" s="12"/>
      <c r="AW202" s="12"/>
      <c r="AX202" s="77"/>
      <c r="AY202" s="12"/>
      <c r="AZ202" s="12"/>
      <c r="BA202" s="12"/>
      <c r="BB202" s="12"/>
      <c r="BC202" s="77"/>
      <c r="BD202" s="12"/>
      <c r="BE202" s="12"/>
      <c r="BF202" s="12"/>
    </row>
    <row r="203" spans="1:65" s="15" customFormat="1" hidden="1" x14ac:dyDescent="0.3">
      <c r="B203" s="5">
        <f t="shared" ref="B203" si="262">+B197-B202</f>
        <v>0</v>
      </c>
      <c r="C203" s="5">
        <f>+C197-C202</f>
        <v>0</v>
      </c>
      <c r="D203" s="5">
        <f t="shared" ref="D203:AE203" si="263">+D197-D202</f>
        <v>0</v>
      </c>
      <c r="E203" s="5">
        <f t="shared" si="263"/>
        <v>0</v>
      </c>
      <c r="F203" s="5">
        <f t="shared" si="263"/>
        <v>0</v>
      </c>
      <c r="G203" s="5">
        <f t="shared" si="263"/>
        <v>2.9802322387695313E-8</v>
      </c>
      <c r="H203" s="5">
        <f t="shared" si="263"/>
        <v>0</v>
      </c>
      <c r="I203" s="5">
        <f t="shared" si="263"/>
        <v>0</v>
      </c>
      <c r="J203" s="5">
        <f t="shared" si="263"/>
        <v>0</v>
      </c>
      <c r="K203" s="5">
        <f t="shared" si="263"/>
        <v>0</v>
      </c>
      <c r="L203" s="5">
        <f t="shared" si="263"/>
        <v>0</v>
      </c>
      <c r="M203" s="5">
        <f t="shared" si="263"/>
        <v>0</v>
      </c>
      <c r="N203" s="5">
        <f t="shared" si="263"/>
        <v>0</v>
      </c>
      <c r="O203" s="5">
        <f t="shared" si="263"/>
        <v>0</v>
      </c>
      <c r="P203" s="5">
        <f t="shared" si="263"/>
        <v>0</v>
      </c>
      <c r="Q203" s="5">
        <f t="shared" si="263"/>
        <v>0</v>
      </c>
      <c r="R203" s="5">
        <f t="shared" si="263"/>
        <v>0</v>
      </c>
      <c r="S203" s="5">
        <f t="shared" si="263"/>
        <v>0</v>
      </c>
      <c r="T203" s="5">
        <f t="shared" si="263"/>
        <v>-5.9604644775390625E-8</v>
      </c>
      <c r="U203" s="5">
        <f t="shared" si="263"/>
        <v>-2.9802322387695313E-8</v>
      </c>
      <c r="V203" s="5">
        <f t="shared" si="263"/>
        <v>7748741</v>
      </c>
      <c r="W203" s="5">
        <f t="shared" si="263"/>
        <v>0</v>
      </c>
      <c r="X203" s="5">
        <f t="shared" si="263"/>
        <v>0</v>
      </c>
      <c r="Y203" s="5">
        <f t="shared" si="263"/>
        <v>8299564</v>
      </c>
      <c r="Z203" s="5">
        <f t="shared" si="263"/>
        <v>8299564.0000000782</v>
      </c>
      <c r="AA203" s="5">
        <f t="shared" si="263"/>
        <v>27150</v>
      </c>
      <c r="AB203" s="5">
        <f t="shared" si="263"/>
        <v>0</v>
      </c>
      <c r="AC203" s="5">
        <f t="shared" si="263"/>
        <v>0</v>
      </c>
      <c r="AD203" s="5">
        <f t="shared" si="263"/>
        <v>27150.000000059605</v>
      </c>
      <c r="AE203" s="5">
        <f t="shared" si="263"/>
        <v>-8272414.0000000289</v>
      </c>
      <c r="AF203" s="5">
        <f t="shared" ref="AF203:AJ203" si="264">+AF197-AF202</f>
        <v>-24570706.136666626</v>
      </c>
      <c r="AG203" s="5">
        <f t="shared" si="264"/>
        <v>-3491628.9599999972</v>
      </c>
      <c r="AH203" s="5">
        <f t="shared" si="264"/>
        <v>0</v>
      </c>
      <c r="AI203" s="5">
        <f t="shared" si="264"/>
        <v>-28062335.096666545</v>
      </c>
      <c r="AJ203" s="5">
        <f t="shared" si="264"/>
        <v>-20717060.935999844</v>
      </c>
      <c r="AK203" s="5">
        <f t="shared" ref="AK203:AO203" si="265">+AK197-AK202</f>
        <v>-17223148.424133405</v>
      </c>
      <c r="AL203" s="5">
        <f t="shared" si="265"/>
        <v>-6190811.9199999999</v>
      </c>
      <c r="AM203" s="5">
        <f t="shared" si="265"/>
        <v>1.9999999552965164E-2</v>
      </c>
      <c r="AN203" s="5">
        <f t="shared" si="265"/>
        <v>-23413960.354133353</v>
      </c>
      <c r="AO203" s="5">
        <f t="shared" si="265"/>
        <v>12020798.903199993</v>
      </c>
      <c r="AP203" s="5">
        <f t="shared" ref="AP203:AR203" si="266">+AP197-AP202</f>
        <v>-13675255.789999962</v>
      </c>
      <c r="AQ203" s="5">
        <f t="shared" si="266"/>
        <v>-8717816.1599999946</v>
      </c>
      <c r="AR203" s="5">
        <f t="shared" si="266"/>
        <v>1.0000001639127731E-2</v>
      </c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100"/>
      <c r="BF203" s="100"/>
    </row>
    <row r="204" spans="1:65" s="15" customFormat="1" hidden="1" x14ac:dyDescent="0.3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100"/>
      <c r="BF204" s="100"/>
    </row>
    <row r="205" spans="1:65" s="15" customFormat="1" hidden="1" x14ac:dyDescent="0.3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100"/>
      <c r="BF205" s="100"/>
    </row>
    <row r="206" spans="1:65" s="15" customFormat="1" hidden="1" x14ac:dyDescent="0.3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100"/>
      <c r="BF206" s="100"/>
    </row>
    <row r="207" spans="1:65" s="15" customFormat="1" hidden="1" x14ac:dyDescent="0.3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100"/>
      <c r="BF207" s="100"/>
    </row>
    <row r="208" spans="1:65" s="15" customFormat="1" hidden="1" x14ac:dyDescent="0.3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100"/>
      <c r="BF208" s="100"/>
    </row>
    <row r="209" spans="1:58" s="15" customFormat="1" hidden="1" x14ac:dyDescent="0.3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100"/>
      <c r="BF209" s="100"/>
    </row>
    <row r="210" spans="1:58" s="15" customFormat="1" hidden="1" x14ac:dyDescent="0.3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100"/>
      <c r="BF210" s="100"/>
    </row>
    <row r="211" spans="1:58" s="15" customFormat="1" hidden="1" x14ac:dyDescent="0.3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100"/>
      <c r="BF211" s="100"/>
    </row>
    <row r="212" spans="1:58" s="15" customFormat="1" hidden="1" x14ac:dyDescent="0.3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100"/>
      <c r="BF212" s="100"/>
    </row>
    <row r="213" spans="1:58" s="15" customFormat="1" ht="18" hidden="1" customHeight="1" x14ac:dyDescent="0.3">
      <c r="A213" s="15" t="s">
        <v>128</v>
      </c>
      <c r="B213" s="5"/>
      <c r="C213" s="5"/>
      <c r="D213" s="5"/>
      <c r="E213" s="5"/>
      <c r="G213" s="77"/>
      <c r="H213" s="77"/>
      <c r="I213" s="77"/>
      <c r="J213" s="77"/>
      <c r="K213" s="12"/>
      <c r="L213" s="12"/>
      <c r="M213" s="12"/>
      <c r="N213" s="12"/>
      <c r="O213" s="77"/>
      <c r="P213" s="12"/>
      <c r="Q213" s="12"/>
      <c r="R213" s="12"/>
      <c r="S213" s="12"/>
      <c r="T213" s="77"/>
      <c r="U213" s="12"/>
      <c r="V213" s="12"/>
      <c r="W213" s="12"/>
      <c r="X213" s="12"/>
      <c r="Y213" s="77"/>
      <c r="Z213" s="12"/>
      <c r="AA213" s="12"/>
      <c r="AB213" s="12"/>
      <c r="AC213" s="12"/>
      <c r="AD213" s="77"/>
      <c r="AE213" s="12"/>
      <c r="AF213" s="12"/>
      <c r="AG213" s="12"/>
      <c r="AH213" s="12"/>
      <c r="AI213" s="77"/>
      <c r="AJ213" s="12"/>
      <c r="AK213" s="12"/>
      <c r="AL213" s="12"/>
      <c r="AM213" s="12"/>
      <c r="AN213" s="77"/>
      <c r="AO213" s="12"/>
      <c r="AP213" s="12"/>
      <c r="AQ213" s="12"/>
      <c r="AR213" s="12"/>
      <c r="AS213" s="77"/>
      <c r="AT213" s="12"/>
      <c r="AU213" s="12"/>
      <c r="AV213" s="12"/>
      <c r="AW213" s="12"/>
      <c r="AX213" s="77"/>
      <c r="AY213" s="12"/>
      <c r="AZ213" s="12"/>
      <c r="BA213" s="12"/>
      <c r="BB213" s="12"/>
      <c r="BC213" s="77"/>
      <c r="BD213" s="12"/>
      <c r="BE213" s="12"/>
      <c r="BF213" s="12"/>
    </row>
    <row r="214" spans="1:58" s="15" customFormat="1" ht="18" hidden="1" customHeight="1" x14ac:dyDescent="0.3">
      <c r="A214" s="10" t="s">
        <v>129</v>
      </c>
      <c r="B214" s="26"/>
      <c r="C214" s="26"/>
      <c r="D214" s="63"/>
      <c r="E214" s="63"/>
      <c r="F214" s="8"/>
      <c r="G214" s="26"/>
      <c r="H214" s="63"/>
      <c r="I214" s="63"/>
      <c r="J214" s="63"/>
      <c r="K214" s="8"/>
      <c r="O214" s="63"/>
      <c r="P214" s="8"/>
      <c r="Q214" s="12"/>
      <c r="T214" s="63"/>
      <c r="U214" s="8"/>
      <c r="V214" s="12"/>
      <c r="Y214" s="63"/>
      <c r="Z214" s="8"/>
      <c r="AA214" s="12"/>
      <c r="AD214" s="63"/>
      <c r="AE214" s="8"/>
      <c r="AF214" s="12"/>
      <c r="AI214" s="63"/>
      <c r="AJ214" s="8"/>
      <c r="AK214" s="12"/>
      <c r="AN214" s="63"/>
      <c r="AO214" s="8"/>
      <c r="AP214" s="12"/>
      <c r="AS214" s="63"/>
      <c r="AT214" s="8"/>
      <c r="AU214" s="12"/>
      <c r="AX214" s="63"/>
      <c r="AY214" s="8"/>
      <c r="AZ214" s="12"/>
      <c r="BC214" s="63"/>
      <c r="BD214" s="8"/>
    </row>
    <row r="215" spans="1:58" s="15" customFormat="1" ht="18" hidden="1" customHeight="1" x14ac:dyDescent="0.3">
      <c r="A215" s="10" t="s">
        <v>130</v>
      </c>
      <c r="B215" s="26"/>
      <c r="C215" s="26"/>
      <c r="D215" s="63"/>
      <c r="E215" s="63"/>
      <c r="F215" s="8"/>
      <c r="G215" s="26"/>
      <c r="H215" s="63"/>
      <c r="I215" s="63"/>
      <c r="J215" s="63"/>
      <c r="K215" s="8"/>
      <c r="L215" s="15">
        <v>45746</v>
      </c>
      <c r="M215" s="15" t="s">
        <v>358</v>
      </c>
      <c r="O215" s="63"/>
      <c r="P215" s="8"/>
      <c r="T215" s="63"/>
      <c r="U215" s="8"/>
      <c r="Y215" s="63"/>
      <c r="Z215" s="8"/>
      <c r="AD215" s="63"/>
      <c r="AE215" s="8"/>
      <c r="AI215" s="63"/>
      <c r="AJ215" s="8"/>
      <c r="AN215" s="63"/>
      <c r="AO215" s="8"/>
      <c r="AS215" s="63"/>
      <c r="AT215" s="8"/>
      <c r="AX215" s="63"/>
      <c r="AY215" s="8"/>
      <c r="BC215" s="63"/>
      <c r="BD215" s="8"/>
    </row>
    <row r="216" spans="1:58" s="15" customFormat="1" ht="18" hidden="1" customHeight="1" x14ac:dyDescent="0.3">
      <c r="A216" s="10" t="s">
        <v>131</v>
      </c>
      <c r="B216" s="26"/>
      <c r="C216" s="26"/>
      <c r="D216" s="63"/>
      <c r="E216" s="63"/>
      <c r="F216" s="8"/>
      <c r="G216" s="26"/>
      <c r="H216" s="63"/>
      <c r="I216" s="63"/>
      <c r="J216" s="63"/>
      <c r="K216" s="8"/>
      <c r="L216" s="12">
        <v>21525</v>
      </c>
      <c r="M216" s="15" t="s">
        <v>359</v>
      </c>
      <c r="O216" s="63"/>
      <c r="P216" s="8"/>
      <c r="T216" s="63"/>
      <c r="U216" s="8"/>
      <c r="Y216" s="63"/>
      <c r="Z216" s="8"/>
      <c r="AD216" s="63"/>
      <c r="AE216" s="8"/>
      <c r="AI216" s="63"/>
      <c r="AJ216" s="8"/>
      <c r="AN216" s="63"/>
      <c r="AO216" s="8"/>
      <c r="AS216" s="63"/>
      <c r="AT216" s="8"/>
      <c r="AX216" s="63"/>
      <c r="AY216" s="8"/>
      <c r="BC216" s="63"/>
      <c r="BD216" s="8"/>
    </row>
    <row r="217" spans="1:58" s="15" customFormat="1" ht="18" hidden="1" customHeight="1" x14ac:dyDescent="0.3">
      <c r="A217" s="10" t="s">
        <v>132</v>
      </c>
      <c r="B217" s="26"/>
      <c r="C217" s="26"/>
      <c r="D217" s="63"/>
      <c r="E217" s="63"/>
      <c r="F217" s="8"/>
      <c r="G217" s="26"/>
      <c r="H217" s="63"/>
      <c r="I217" s="63"/>
      <c r="J217" s="63"/>
      <c r="K217" s="8"/>
      <c r="O217" s="63"/>
      <c r="P217" s="8"/>
      <c r="Q217" s="12"/>
      <c r="T217" s="63"/>
      <c r="U217" s="8"/>
      <c r="V217" s="12"/>
      <c r="Y217" s="63"/>
      <c r="Z217" s="8"/>
      <c r="AA217" s="12"/>
      <c r="AD217" s="63"/>
      <c r="AE217" s="8"/>
      <c r="AF217" s="12"/>
      <c r="AI217" s="63"/>
      <c r="AJ217" s="8"/>
      <c r="AK217" s="12"/>
      <c r="AN217" s="63"/>
      <c r="AO217" s="8"/>
      <c r="AP217" s="12"/>
      <c r="AS217" s="63"/>
      <c r="AT217" s="8"/>
      <c r="AU217" s="12"/>
      <c r="AX217" s="63"/>
      <c r="AY217" s="8"/>
      <c r="AZ217" s="12"/>
      <c r="BC217" s="63"/>
      <c r="BD217" s="8"/>
    </row>
    <row r="218" spans="1:58" s="15" customFormat="1" ht="18" hidden="1" customHeight="1" x14ac:dyDescent="0.3">
      <c r="A218" s="10" t="s">
        <v>133</v>
      </c>
      <c r="B218" s="26"/>
      <c r="C218" s="26"/>
      <c r="D218" s="63"/>
      <c r="E218" s="63"/>
      <c r="F218" s="8"/>
      <c r="G218" s="26"/>
      <c r="H218" s="63"/>
      <c r="I218" s="63"/>
      <c r="J218" s="63"/>
      <c r="K218" s="8"/>
      <c r="O218" s="63"/>
      <c r="P218" s="8"/>
      <c r="T218" s="63"/>
      <c r="U218" s="8"/>
      <c r="Y218" s="63"/>
      <c r="Z218" s="8"/>
      <c r="AD218" s="63"/>
      <c r="AE218" s="8"/>
      <c r="AI218" s="63"/>
      <c r="AJ218" s="8"/>
      <c r="AN218" s="63"/>
      <c r="AO218" s="8"/>
      <c r="AS218" s="63"/>
      <c r="AT218" s="8"/>
      <c r="AX218" s="63"/>
      <c r="AY218" s="8"/>
      <c r="BC218" s="63"/>
      <c r="BD218" s="8"/>
    </row>
    <row r="219" spans="1:58" s="15" customFormat="1" ht="18" hidden="1" customHeight="1" x14ac:dyDescent="0.3">
      <c r="A219" s="10" t="s">
        <v>134</v>
      </c>
      <c r="B219" s="26"/>
      <c r="C219" s="26"/>
      <c r="D219" s="63"/>
      <c r="E219" s="63"/>
      <c r="F219" s="8"/>
      <c r="G219" s="26"/>
      <c r="H219" s="63"/>
      <c r="I219" s="63"/>
      <c r="J219" s="63"/>
      <c r="K219" s="8"/>
      <c r="O219" s="63"/>
      <c r="P219" s="8"/>
      <c r="Q219" s="12"/>
      <c r="T219" s="63"/>
      <c r="U219" s="8"/>
      <c r="V219" s="12"/>
      <c r="Y219" s="63"/>
      <c r="Z219" s="8"/>
      <c r="AA219" s="12"/>
      <c r="AD219" s="63"/>
      <c r="AE219" s="8"/>
      <c r="AF219" s="12"/>
      <c r="AI219" s="63"/>
      <c r="AJ219" s="8"/>
      <c r="AK219" s="12"/>
      <c r="AN219" s="63"/>
      <c r="AO219" s="8"/>
      <c r="AP219" s="12"/>
      <c r="AS219" s="63"/>
      <c r="AT219" s="8"/>
      <c r="AU219" s="12"/>
      <c r="AX219" s="63"/>
      <c r="AY219" s="8"/>
      <c r="AZ219" s="12"/>
      <c r="BC219" s="63"/>
      <c r="BD219" s="8"/>
    </row>
    <row r="220" spans="1:58" s="15" customFormat="1" ht="18" hidden="1" customHeight="1" x14ac:dyDescent="0.3">
      <c r="A220" s="10" t="s">
        <v>135</v>
      </c>
      <c r="B220" s="26"/>
      <c r="C220" s="26"/>
      <c r="D220" s="63"/>
      <c r="E220" s="63"/>
      <c r="F220" s="8"/>
      <c r="G220" s="26"/>
      <c r="H220" s="63"/>
      <c r="I220" s="63"/>
      <c r="J220" s="63"/>
      <c r="K220" s="8"/>
      <c r="O220" s="63"/>
      <c r="P220" s="8"/>
      <c r="Q220" s="12"/>
      <c r="T220" s="63"/>
      <c r="U220" s="8"/>
      <c r="V220" s="12"/>
      <c r="Y220" s="63"/>
      <c r="Z220" s="8"/>
      <c r="AA220" s="12"/>
      <c r="AD220" s="63"/>
      <c r="AE220" s="8"/>
      <c r="AF220" s="12"/>
      <c r="AI220" s="63"/>
      <c r="AJ220" s="8"/>
      <c r="AK220" s="12"/>
      <c r="AN220" s="63"/>
      <c r="AO220" s="8"/>
      <c r="AP220" s="12"/>
      <c r="AS220" s="63"/>
      <c r="AT220" s="8"/>
      <c r="AU220" s="12"/>
      <c r="AX220" s="63"/>
      <c r="AY220" s="8"/>
      <c r="AZ220" s="12"/>
      <c r="BC220" s="63"/>
      <c r="BD220" s="8"/>
    </row>
    <row r="221" spans="1:58" s="15" customFormat="1" ht="18" hidden="1" customHeight="1" x14ac:dyDescent="0.3">
      <c r="A221" s="8" t="s">
        <v>136</v>
      </c>
      <c r="B221" s="27">
        <f t="shared" ref="B221:C221" si="267">+SUM(B214:B220)</f>
        <v>0</v>
      </c>
      <c r="C221" s="27">
        <f t="shared" si="267"/>
        <v>0</v>
      </c>
      <c r="D221" s="64">
        <f t="shared" ref="D221" si="268">+SUM(D214:D220)</f>
        <v>0</v>
      </c>
      <c r="E221" s="64"/>
      <c r="F221" s="8"/>
      <c r="G221" s="27">
        <f t="shared" ref="G221" si="269">+SUM(G214:G220)</f>
        <v>0</v>
      </c>
      <c r="H221" s="64">
        <f t="shared" ref="H221" si="270">+SUM(H214:H220)</f>
        <v>0</v>
      </c>
      <c r="I221" s="64"/>
      <c r="J221" s="64"/>
      <c r="K221" s="8"/>
      <c r="O221" s="64"/>
      <c r="P221" s="8"/>
      <c r="T221" s="64"/>
      <c r="U221" s="8"/>
      <c r="Y221" s="64"/>
      <c r="Z221" s="8"/>
      <c r="AD221" s="64"/>
      <c r="AE221" s="8"/>
      <c r="AI221" s="64"/>
      <c r="AJ221" s="8"/>
      <c r="AN221" s="64"/>
      <c r="AO221" s="8"/>
      <c r="AS221" s="64"/>
      <c r="AT221" s="8"/>
      <c r="AX221" s="64"/>
      <c r="AY221" s="8"/>
      <c r="BC221" s="64"/>
      <c r="BD221" s="8"/>
    </row>
    <row r="222" spans="1:58" s="15" customFormat="1" ht="18" hidden="1" customHeight="1" x14ac:dyDescent="0.3">
      <c r="B222" s="2"/>
      <c r="C222" s="2"/>
      <c r="D222" s="2"/>
      <c r="E222" s="2"/>
      <c r="F222" s="8"/>
      <c r="G222" s="2"/>
      <c r="H222" s="2"/>
      <c r="I222" s="2"/>
      <c r="J222" s="2"/>
      <c r="K222" s="8"/>
      <c r="O222" s="2"/>
      <c r="P222" s="8"/>
      <c r="T222" s="2"/>
      <c r="U222" s="8"/>
      <c r="Y222" s="2"/>
      <c r="Z222" s="8"/>
      <c r="AD222" s="2"/>
      <c r="AE222" s="8"/>
      <c r="AI222" s="2"/>
      <c r="AJ222" s="8"/>
      <c r="AN222" s="2"/>
      <c r="AO222" s="8"/>
      <c r="AS222" s="2"/>
      <c r="AT222" s="8"/>
      <c r="AX222" s="2"/>
      <c r="AY222" s="8"/>
      <c r="BC222" s="2"/>
      <c r="BD222" s="8"/>
    </row>
    <row r="223" spans="1:58" s="15" customFormat="1" ht="18" hidden="1" customHeight="1" x14ac:dyDescent="0.3">
      <c r="A223" s="8" t="s">
        <v>137</v>
      </c>
      <c r="B223" s="27">
        <f>+B197-B221</f>
        <v>0</v>
      </c>
      <c r="C223" s="27">
        <f>+C197-C221</f>
        <v>-13729101.930000016</v>
      </c>
      <c r="D223" s="64">
        <f>+D197-D221</f>
        <v>-2095309.6599999997</v>
      </c>
      <c r="E223" s="64"/>
      <c r="F223" s="79"/>
      <c r="G223" s="27"/>
      <c r="H223" s="64"/>
      <c r="I223" s="64"/>
      <c r="J223" s="57"/>
      <c r="K223" s="79"/>
      <c r="L223" s="12"/>
      <c r="M223" s="12"/>
      <c r="N223" s="12"/>
      <c r="O223" s="57">
        <f t="shared" ref="O223" si="271">SUM(K223:M223)</f>
        <v>0</v>
      </c>
      <c r="P223" s="79">
        <f>+O223-J223</f>
        <v>0</v>
      </c>
      <c r="Q223" s="12"/>
      <c r="R223" s="12"/>
      <c r="S223" s="12"/>
      <c r="T223" s="57">
        <f t="shared" ref="T223" si="272">SUM(P223:R223)</f>
        <v>0</v>
      </c>
      <c r="U223" s="79">
        <f>+T223-O223</f>
        <v>0</v>
      </c>
      <c r="V223" s="12"/>
      <c r="W223" s="12"/>
      <c r="X223" s="12"/>
      <c r="Y223" s="57">
        <f t="shared" ref="Y223" si="273">SUM(U223:W223)</f>
        <v>0</v>
      </c>
      <c r="Z223" s="79">
        <f>+Y223-T223</f>
        <v>0</v>
      </c>
      <c r="AA223" s="12"/>
      <c r="AB223" s="12"/>
      <c r="AC223" s="12"/>
      <c r="AD223" s="57">
        <f t="shared" ref="AD223" si="274">SUM(Z223:AB223)</f>
        <v>0</v>
      </c>
      <c r="AE223" s="79">
        <f>+AD223-Y223</f>
        <v>0</v>
      </c>
      <c r="AF223" s="12"/>
      <c r="AG223" s="12"/>
      <c r="AH223" s="12"/>
      <c r="AI223" s="57">
        <f t="shared" ref="AI223" si="275">SUM(AE223:AG223)</f>
        <v>0</v>
      </c>
      <c r="AJ223" s="79">
        <f>+AI223-AD223</f>
        <v>0</v>
      </c>
      <c r="AK223" s="12"/>
      <c r="AL223" s="12"/>
      <c r="AM223" s="12"/>
      <c r="AN223" s="57">
        <f t="shared" ref="AN223" si="276">SUM(AJ223:AL223)</f>
        <v>0</v>
      </c>
      <c r="AO223" s="79">
        <f>+AN223-AI223</f>
        <v>0</v>
      </c>
      <c r="AP223" s="12"/>
      <c r="AQ223" s="12"/>
      <c r="AR223" s="12"/>
      <c r="AS223" s="57">
        <f t="shared" ref="AS223" si="277">SUM(AO223:AQ223)</f>
        <v>0</v>
      </c>
      <c r="AT223" s="79">
        <f>+AS223-AN223</f>
        <v>0</v>
      </c>
      <c r="AU223" s="12"/>
      <c r="AV223" s="12"/>
      <c r="AW223" s="12"/>
      <c r="AX223" s="57">
        <f t="shared" ref="AX223" si="278">SUM(AT223:AV223)</f>
        <v>0</v>
      </c>
      <c r="AY223" s="79">
        <f>+AX223-AS223</f>
        <v>0</v>
      </c>
      <c r="AZ223" s="12"/>
      <c r="BA223" s="12"/>
      <c r="BB223" s="12"/>
      <c r="BC223" s="57">
        <f t="shared" ref="BC223" si="279">SUM(AY223:BA223)</f>
        <v>0</v>
      </c>
      <c r="BD223" s="79">
        <f>+BC223-AX223</f>
        <v>0</v>
      </c>
      <c r="BE223" s="12"/>
      <c r="BF223" s="12"/>
    </row>
    <row r="224" spans="1:58" s="15" customFormat="1" ht="18" customHeight="1" x14ac:dyDescent="0.3">
      <c r="A224" s="8"/>
      <c r="B224" s="27"/>
      <c r="C224" s="27"/>
      <c r="D224" s="64"/>
      <c r="E224" s="64"/>
      <c r="F224" s="79"/>
      <c r="G224" s="27"/>
      <c r="H224" s="64"/>
      <c r="I224" s="64"/>
      <c r="J224" s="57"/>
      <c r="K224" s="79"/>
      <c r="L224" s="12"/>
      <c r="M224" s="12"/>
      <c r="N224" s="12"/>
      <c r="O224" s="57"/>
      <c r="P224" s="79"/>
      <c r="Q224" s="12"/>
      <c r="R224" s="12"/>
      <c r="S224" s="12"/>
      <c r="T224" s="57"/>
      <c r="U224" s="79"/>
      <c r="V224" s="12">
        <f>+'Profit Loss-Amravati-25-26'!I190</f>
        <v>-84323198.499333322</v>
      </c>
      <c r="W224" s="12">
        <f>+'Profit Loss-Betul-25-26'!I141</f>
        <v>-7749895.8699999992</v>
      </c>
      <c r="X224" s="12"/>
      <c r="Y224" s="57"/>
      <c r="Z224" s="79"/>
      <c r="AA224" s="12">
        <f>+'Profit Loss-Amravati-25-26'!R190</f>
        <v>3547892.6341333245</v>
      </c>
      <c r="AB224" s="12">
        <f>+'Profit Loss-Betul-25-26'!P141</f>
        <v>-2699182.9600000009</v>
      </c>
      <c r="AC224" s="12"/>
      <c r="AD224" s="57"/>
      <c r="AE224" s="79"/>
      <c r="AF224" s="12" t="e">
        <f>+'Profit Loss-Amravati-25-26'!#REF!</f>
        <v>#REF!</v>
      </c>
      <c r="AG224" s="12" t="e">
        <f>+'Profit Loss-Betul-25-26'!#REF!</f>
        <v>#REF!</v>
      </c>
      <c r="AH224" s="12"/>
      <c r="AI224" s="57"/>
      <c r="AJ224" s="79"/>
      <c r="AK224" s="12">
        <f>+'Profit Loss-Amravati-25-26'!AA190</f>
        <v>0</v>
      </c>
      <c r="AL224" s="12" t="e">
        <f>+'Profit Loss-Betul-25-26'!#REF!</f>
        <v>#REF!</v>
      </c>
      <c r="AM224" s="12"/>
      <c r="AN224" s="57"/>
      <c r="AO224" s="79"/>
      <c r="AP224" s="12">
        <f>+'Profit Loss-Amravati-25-26'!AF190</f>
        <v>0</v>
      </c>
      <c r="AQ224" s="12" t="e">
        <f>+'Profit Loss-Betul-25-26'!#REF!</f>
        <v>#REF!</v>
      </c>
      <c r="AR224" s="12"/>
      <c r="AS224" s="57"/>
      <c r="AT224" s="79"/>
      <c r="AU224" s="12">
        <f>+'Profit Loss-Amravati-25-26'!AK190</f>
        <v>0</v>
      </c>
      <c r="AV224" s="12" t="e">
        <f>+'Profit Loss-Betul-25-26'!#REF!</f>
        <v>#REF!</v>
      </c>
      <c r="AW224" s="12"/>
      <c r="AX224" s="57"/>
      <c r="AY224" s="79"/>
      <c r="AZ224" s="12">
        <f>+'Profit Loss-Amravati-25-26'!AP190</f>
        <v>0</v>
      </c>
      <c r="BA224" s="12">
        <f>+'Profit Loss-Betul-25-26'!U141-BA197</f>
        <v>0</v>
      </c>
      <c r="BB224" s="12"/>
      <c r="BC224" s="57"/>
      <c r="BD224" s="79"/>
      <c r="BE224" s="12"/>
      <c r="BF224" s="12"/>
    </row>
    <row r="225" spans="1:58" x14ac:dyDescent="0.3">
      <c r="A225" s="17" t="s">
        <v>138</v>
      </c>
      <c r="B225" s="28">
        <f>+B197+B179+B178+B165+B166</f>
        <v>0</v>
      </c>
      <c r="C225" s="28">
        <f>+C197+C179+C177</f>
        <v>-10638991.930000016</v>
      </c>
      <c r="D225" s="28">
        <f>+D197+D179+D177</f>
        <v>-1511268.6599999997</v>
      </c>
      <c r="E225" s="28"/>
      <c r="F225" s="28">
        <f>+F197+F179+F177+F178+F172</f>
        <v>-11968281.350000013</v>
      </c>
      <c r="G225" s="28">
        <f>+G197+G179+G177</f>
        <v>-23937226.769999977</v>
      </c>
      <c r="H225" s="28">
        <f>+H197+H179+H177</f>
        <v>-3447829.55</v>
      </c>
      <c r="I225" s="28"/>
      <c r="J225" s="28">
        <f>+J197+J179+J177</f>
        <v>-24420556.319999989</v>
      </c>
      <c r="K225" s="28">
        <f>+K197+K179+K177+K178+K172</f>
        <v>-12145160.830000002</v>
      </c>
      <c r="L225" s="74"/>
      <c r="M225" s="74"/>
      <c r="N225" s="74"/>
      <c r="O225" s="28">
        <f>+O197+O179+O177+O178+O172</f>
        <v>-46470327.979999989</v>
      </c>
      <c r="P225" s="28">
        <f>+P197+P179+P177+P178+P172</f>
        <v>-22356885.929999989</v>
      </c>
      <c r="Q225" s="74">
        <f>+Q197-Q201</f>
        <v>-57625101.016666658</v>
      </c>
      <c r="R225" s="74"/>
      <c r="S225" s="74"/>
      <c r="T225" s="28">
        <f>+T197+T179+T177+T178+T172</f>
        <v>-48172645.026666723</v>
      </c>
      <c r="U225" s="28">
        <f>+U197+U179+U177+U178+U172</f>
        <v>-1702317.046666706</v>
      </c>
      <c r="V225" s="74">
        <f>+V197-V224</f>
        <v>7748741.219999969</v>
      </c>
      <c r="W225" s="74"/>
      <c r="X225" s="74"/>
      <c r="Y225" s="28">
        <f>+Y197+Y179+Y177+Y178+Y172</f>
        <v>-73113619.799333349</v>
      </c>
      <c r="Z225" s="28">
        <f>+Z197+Z179+Z177+Z178+Z172</f>
        <v>-24940974.772666551</v>
      </c>
      <c r="AA225" s="74">
        <f>+AA197-AA224</f>
        <v>-104682206.47413342</v>
      </c>
      <c r="AB225" s="74">
        <f>+AB197-AB224</f>
        <v>-6003057.5099999961</v>
      </c>
      <c r="AC225" s="74"/>
      <c r="AD225" s="28">
        <f>+AD197+AD179+AD177+AD178+AD172</f>
        <v>-84174424.570000052</v>
      </c>
      <c r="AE225" s="28">
        <f>+AE197+AE179+AE177+AE178+AE172</f>
        <v>-11060804.770666758</v>
      </c>
      <c r="AF225" s="74" t="e">
        <f>+AF197-AF224</f>
        <v>#REF!</v>
      </c>
      <c r="AG225" s="74" t="e">
        <f>+AG197-AG224</f>
        <v>#REF!</v>
      </c>
      <c r="AH225" s="74"/>
      <c r="AI225" s="28">
        <f>+AI197+AI179+AI177+AI178+AI172</f>
        <v>-107636384.26666665</v>
      </c>
      <c r="AJ225" s="28">
        <f>+AJ197+AJ179+AJ177+AJ178+AJ172</f>
        <v>-23461959.696666576</v>
      </c>
      <c r="AK225" s="74">
        <f>+AK197-AK224</f>
        <v>-118384612.2641335</v>
      </c>
      <c r="AL225" s="74" t="e">
        <f>+AL197-AL224</f>
        <v>#REF!</v>
      </c>
      <c r="AM225" s="74">
        <f>+AM197-AM224</f>
        <v>1.9999999552965164E-2</v>
      </c>
      <c r="AN225" s="28">
        <f>+AN197+AN179+AN177+AN178+AN172</f>
        <v>-98555549.014133468</v>
      </c>
      <c r="AO225" s="28">
        <f>+AO197+AO179+AO177+AO178+AO172</f>
        <v>9080835.2525332626</v>
      </c>
      <c r="AP225" s="74"/>
      <c r="AQ225" s="74"/>
      <c r="AR225" s="74">
        <f>+AR197-AR224</f>
        <v>1.0000001639127731E-2</v>
      </c>
      <c r="AS225" s="28">
        <f>+AS197+AS179+AS177+AS178+AS172</f>
        <v>-92896833.500000164</v>
      </c>
      <c r="AT225" s="28">
        <f>+AT197+AT179+AT177+AT178+AT172</f>
        <v>5658715.5141333351</v>
      </c>
      <c r="AU225" s="74"/>
      <c r="AV225" s="74"/>
      <c r="AW225" s="74">
        <f>+AW197-AW224</f>
        <v>1.0000001639127731E-2</v>
      </c>
      <c r="AX225" s="28">
        <f>+AX197+AX179+AX177+AX178+AX172</f>
        <v>-110465574.77281868</v>
      </c>
      <c r="AY225" s="28">
        <f>+AY197+AY179+AY177+AY178+AY172</f>
        <v>-17568741.272818618</v>
      </c>
      <c r="AZ225" s="74"/>
      <c r="BA225" s="74"/>
      <c r="BB225" s="74">
        <f>+BB197-BB224</f>
        <v>1.0000001639127731E-2</v>
      </c>
      <c r="BC225" s="28">
        <f>+BC197+BC179+BC177+BC178+BC172</f>
        <v>-131255759.7333335</v>
      </c>
      <c r="BD225" s="28">
        <f>+BD197+BD179+BD177+BD178+BD172</f>
        <v>-20790184.960514639</v>
      </c>
      <c r="BE225" s="71"/>
      <c r="BF225" s="71"/>
    </row>
    <row r="226" spans="1:58" x14ac:dyDescent="0.3">
      <c r="F226" s="10"/>
      <c r="K226" s="10"/>
      <c r="P226" s="10"/>
      <c r="U226" s="10"/>
      <c r="Z226" s="10"/>
      <c r="AE226" s="10"/>
      <c r="AJ226" s="10"/>
      <c r="AO226" s="10"/>
      <c r="AT226" s="10"/>
      <c r="AY226" s="10"/>
      <c r="BD226" s="10"/>
    </row>
    <row r="227" spans="1:58" x14ac:dyDescent="0.3">
      <c r="A227" s="17" t="s">
        <v>268</v>
      </c>
      <c r="B227" s="28">
        <f>+B197+B179</f>
        <v>0</v>
      </c>
      <c r="C227" s="28">
        <f>+C197+C179</f>
        <v>-12279101.930000016</v>
      </c>
      <c r="D227" s="28">
        <f>+D197+D179</f>
        <v>-1870309.6599999997</v>
      </c>
      <c r="E227" s="28"/>
      <c r="F227" s="28">
        <f>+F197+F179</f>
        <v>-14149411.590000013</v>
      </c>
      <c r="G227" s="28">
        <f>+G197+G179</f>
        <v>-27457774.769999977</v>
      </c>
      <c r="H227" s="28">
        <f>+H197+H179</f>
        <v>-4224678.55</v>
      </c>
      <c r="I227" s="28"/>
      <c r="J227" s="28">
        <f>+J197+J179</f>
        <v>-28717953.319999989</v>
      </c>
      <c r="K227" s="28">
        <f>+K197+K179</f>
        <v>-14568541.860000001</v>
      </c>
      <c r="L227" s="74"/>
      <c r="M227" s="74"/>
      <c r="N227" s="74"/>
      <c r="O227" s="28">
        <f>+O197+O179</f>
        <v>-53445489.68999999</v>
      </c>
      <c r="P227" s="28">
        <f>+P197+P179</f>
        <v>-24727536.36999999</v>
      </c>
      <c r="Q227" s="74"/>
      <c r="R227" s="74"/>
      <c r="S227" s="74"/>
      <c r="T227" s="28">
        <f>+T197+T179</f>
        <v>-58069684.696666725</v>
      </c>
      <c r="U227" s="28">
        <f>+U197+U179</f>
        <v>-4624195.0066667059</v>
      </c>
      <c r="V227" s="74"/>
      <c r="W227" s="74"/>
      <c r="X227" s="74"/>
      <c r="Y227" s="28">
        <f>+Y197+Y179</f>
        <v>-85816716.159333348</v>
      </c>
      <c r="Z227" s="28">
        <f>+Z197+Z179</f>
        <v>-27747031.462666553</v>
      </c>
      <c r="AA227" s="74"/>
      <c r="AB227" s="74"/>
      <c r="AC227" s="74"/>
      <c r="AD227" s="28">
        <f>+AD197+AD179</f>
        <v>-99786554.320000052</v>
      </c>
      <c r="AE227" s="28">
        <f>+AE197+AE179</f>
        <v>-13969838.160666758</v>
      </c>
      <c r="AF227" s="74"/>
      <c r="AG227" s="74"/>
      <c r="AH227" s="74"/>
      <c r="AI227" s="28">
        <f>+AI197+AI179</f>
        <v>-126201039.41666666</v>
      </c>
      <c r="AJ227" s="28">
        <f>+AJ197+AJ179</f>
        <v>-26414485.096666574</v>
      </c>
      <c r="AK227" s="74"/>
      <c r="AL227" s="74"/>
      <c r="AM227" s="74"/>
      <c r="AN227" s="28">
        <f>+AN197+AN179</f>
        <v>-119877664.67413346</v>
      </c>
      <c r="AO227" s="28">
        <f>+AO197+AO179</f>
        <v>6323374.7425332628</v>
      </c>
      <c r="AP227" s="74"/>
      <c r="AQ227" s="74"/>
      <c r="AR227" s="74"/>
      <c r="AS227" s="28">
        <f>+AS197+AS179</f>
        <v>-117181776.27000016</v>
      </c>
      <c r="AT227" s="28">
        <f>+AT197+AT179</f>
        <v>2695888.4041333352</v>
      </c>
      <c r="AU227" s="74"/>
      <c r="AV227" s="74"/>
      <c r="AW227" s="74"/>
      <c r="AX227" s="28">
        <f>+AX197+AX179</f>
        <v>-137766546.18281868</v>
      </c>
      <c r="AY227" s="28">
        <f>+AY197+AY179</f>
        <v>-20584769.912818618</v>
      </c>
      <c r="AZ227" s="74"/>
      <c r="BA227" s="74"/>
      <c r="BB227" s="74"/>
      <c r="BC227" s="28">
        <f>+BC197+BC179</f>
        <v>-161333725.9533335</v>
      </c>
      <c r="BD227" s="28">
        <f>+BD197+BD179</f>
        <v>-23567179.770514637</v>
      </c>
      <c r="BE227" s="71"/>
      <c r="BF227" s="100"/>
    </row>
    <row r="228" spans="1:58" x14ac:dyDescent="0.3">
      <c r="F228" s="10"/>
      <c r="K228" s="10"/>
      <c r="P228" s="10"/>
      <c r="U228" s="10"/>
      <c r="Z228" s="10"/>
      <c r="AE228" s="10"/>
      <c r="AJ228" s="10"/>
      <c r="AO228" s="10"/>
      <c r="AT228" s="10"/>
      <c r="AY228" s="10"/>
      <c r="BD228" s="10"/>
    </row>
    <row r="229" spans="1:58" x14ac:dyDescent="0.3">
      <c r="A229" s="29" t="s">
        <v>140</v>
      </c>
      <c r="B229" s="29"/>
      <c r="C229" s="29">
        <f>+C225/C47*100</f>
        <v>-21.441124033934354</v>
      </c>
      <c r="D229" s="29"/>
      <c r="E229" s="29"/>
      <c r="F229" s="29">
        <f>+F225/F47*100</f>
        <v>-24.120086431757748</v>
      </c>
      <c r="G229" s="29">
        <f>+G225/G47*100</f>
        <v>-21.035879639093931</v>
      </c>
      <c r="H229" s="29"/>
      <c r="I229" s="29"/>
      <c r="J229" s="29">
        <f>+J225/J47*100</f>
        <v>-21.460626512969903</v>
      </c>
      <c r="K229" s="29">
        <f>+K225/K47*100</f>
        <v>-18.925711050254172</v>
      </c>
      <c r="L229" s="75"/>
      <c r="M229" s="75"/>
      <c r="N229" s="75"/>
      <c r="O229" s="29">
        <f>+O225/O47*100</f>
        <v>-27.254647794555879</v>
      </c>
      <c r="P229" s="29">
        <f>+P225/P47*100</f>
        <v>-39.421888990650288</v>
      </c>
      <c r="Q229" s="75"/>
      <c r="R229" s="75"/>
      <c r="S229" s="75"/>
      <c r="T229" s="29">
        <f>+T225/T47*100</f>
        <v>-18.487701940751457</v>
      </c>
      <c r="U229" s="29">
        <f>+U225/U47*100</f>
        <v>-1.8901684660522808</v>
      </c>
      <c r="V229" s="75"/>
      <c r="W229" s="75"/>
      <c r="X229" s="75"/>
      <c r="Y229" s="29">
        <f>+Y225/Y47*100</f>
        <v>-23.265379636323846</v>
      </c>
      <c r="Z229" s="29">
        <f>+Z225/Z47*100</f>
        <v>-46.450715945522511</v>
      </c>
      <c r="AA229" s="75"/>
      <c r="AB229" s="75"/>
      <c r="AC229" s="75"/>
      <c r="AD229" s="29">
        <f>+AD225/AD47*100</f>
        <v>-20.979420396197511</v>
      </c>
      <c r="AE229" s="29">
        <f>+AE225/AE47*100</f>
        <v>-12.718761128837036</v>
      </c>
      <c r="AF229" s="75"/>
      <c r="AG229" s="75"/>
      <c r="AH229" s="75"/>
      <c r="AI229" s="29">
        <f>+AI225/AI47*100</f>
        <v>-23.382179176652578</v>
      </c>
      <c r="AJ229" s="29">
        <f>+AJ225/AJ47*100</f>
        <v>-39.691129952107914</v>
      </c>
      <c r="AK229" s="75"/>
      <c r="AL229" s="75"/>
      <c r="AM229" s="75"/>
      <c r="AN229" s="29">
        <f>+AN225/AN47*100</f>
        <v>-16.572413200331322</v>
      </c>
      <c r="AO229" s="29">
        <f>+AO225/AO47*100</f>
        <v>6.7585200001888337</v>
      </c>
      <c r="AP229" s="75"/>
      <c r="AQ229" s="75"/>
      <c r="AR229" s="75"/>
      <c r="AS229" s="29">
        <f>+AS225/AS47*100</f>
        <v>-12.123762055758668</v>
      </c>
      <c r="AT229" s="29">
        <f>+AT225/AT47*100</f>
        <v>3.2987490044505434</v>
      </c>
      <c r="AU229" s="75"/>
      <c r="AV229" s="75"/>
      <c r="AW229" s="75"/>
      <c r="AX229" s="29">
        <f>+AX225/AX47*100</f>
        <v>-13.126165313362526</v>
      </c>
      <c r="AY229" s="29">
        <f>+AY225/AY47*100</f>
        <v>-23.322347660147962</v>
      </c>
      <c r="AZ229" s="75"/>
      <c r="BA229" s="75"/>
      <c r="BB229" s="75"/>
      <c r="BC229" s="29">
        <f>+BC225/BC47*100</f>
        <v>-14.089949792351005</v>
      </c>
      <c r="BD229" s="29">
        <f>+BD225/BD47*100</f>
        <v>-23.103246707563301</v>
      </c>
      <c r="BE229" s="71"/>
      <c r="BF229" s="101"/>
    </row>
    <row r="230" spans="1:58" x14ac:dyDescent="0.3">
      <c r="AK230">
        <f>+'Profit Loss-Amravati-25-26'!O190</f>
        <v>-118384612.2641335</v>
      </c>
      <c r="AL230">
        <f>+'Profit Loss-Betul-25-26'!O141</f>
        <v>-14893052.390000001</v>
      </c>
    </row>
    <row r="231" spans="1:58" x14ac:dyDescent="0.3">
      <c r="P231" s="55"/>
      <c r="U231" s="55"/>
      <c r="Z231" s="55"/>
      <c r="AE231" s="55"/>
      <c r="AJ231" s="55"/>
      <c r="AK231" s="55">
        <f>+AK225-AK230</f>
        <v>0</v>
      </c>
      <c r="AL231" s="55" t="e">
        <f>+AL225-AL230</f>
        <v>#REF!</v>
      </c>
      <c r="AO231" s="55"/>
      <c r="AP231" s="55"/>
      <c r="AQ231" s="55"/>
      <c r="AT231" s="55"/>
      <c r="AY231" s="55"/>
      <c r="BD231" s="55"/>
      <c r="BE231" s="55"/>
      <c r="BF231" s="55"/>
    </row>
    <row r="232" spans="1:58" hidden="1" x14ac:dyDescent="0.3">
      <c r="G232" s="72">
        <f>+'Profit Loss-Amravati-25-26'!C190</f>
        <v>-27322034.769999977</v>
      </c>
      <c r="H232" s="72">
        <f>+'Profit Loss-Betul-25-26'!C141</f>
        <v>-4674678.55</v>
      </c>
      <c r="K232" s="55">
        <f>+G232+H232</f>
        <v>-31996713.319999978</v>
      </c>
      <c r="L232" s="55"/>
      <c r="M232" s="55"/>
      <c r="N232" s="55"/>
      <c r="P232" s="55">
        <f>+K232+L232</f>
        <v>-31996713.319999978</v>
      </c>
      <c r="Q232" s="55"/>
      <c r="R232" s="55"/>
      <c r="S232" s="55"/>
      <c r="U232" s="55">
        <f>+P232+Q232</f>
        <v>-31996713.319999978</v>
      </c>
      <c r="V232" s="55"/>
      <c r="W232" s="55"/>
      <c r="X232" s="55"/>
      <c r="Z232" s="55">
        <f>+U232+V232</f>
        <v>-31996713.319999978</v>
      </c>
      <c r="AA232" s="55"/>
      <c r="AB232" s="55"/>
      <c r="AC232" s="55"/>
      <c r="AE232" s="55">
        <f>+Z232+AA232</f>
        <v>-31996713.319999978</v>
      </c>
      <c r="AF232" s="55"/>
      <c r="AG232" s="55"/>
      <c r="AH232" s="55"/>
      <c r="AJ232" s="55">
        <f>+AE232+AF232</f>
        <v>-31996713.319999978</v>
      </c>
      <c r="AK232" s="55"/>
      <c r="AL232" s="55"/>
      <c r="AM232" s="55"/>
      <c r="AO232" s="55">
        <f>+AJ232+AK232</f>
        <v>-31996713.319999978</v>
      </c>
      <c r="AP232" s="55"/>
      <c r="AQ232" s="55"/>
      <c r="AR232" s="55"/>
      <c r="AT232" s="55">
        <f>+AO232+AP232</f>
        <v>-31996713.319999978</v>
      </c>
      <c r="AU232">
        <f>+'Profit Loss-Amravati-25-26'!S190</f>
        <v>-134797551.59281865</v>
      </c>
      <c r="AV232">
        <f>+'Profit Loss-Betul-25-26'!S141</f>
        <v>-19718994.580000009</v>
      </c>
      <c r="AW232" s="55"/>
      <c r="AX232" s="2">
        <f>+AU197+AV197-AX197</f>
        <v>1.0000020265579224E-2</v>
      </c>
      <c r="AY232" s="55"/>
      <c r="AZ232">
        <f>+'Profit Loss-Amravati-25-26'!X190</f>
        <v>0</v>
      </c>
      <c r="BA232">
        <f>+'Profit Loss-Betul-25-26'!X141</f>
        <v>0</v>
      </c>
      <c r="BB232" s="55"/>
      <c r="BC232" s="2">
        <f>+AZ197+BA197-BC197</f>
        <v>1.0000050067901611E-2</v>
      </c>
      <c r="BD232" s="55"/>
      <c r="BE232" s="55"/>
      <c r="BF232" s="55"/>
    </row>
    <row r="233" spans="1:58" hidden="1" x14ac:dyDescent="0.3">
      <c r="K233" s="55">
        <f>+K197-K232+F197</f>
        <v>-71240.13000003621</v>
      </c>
      <c r="L233" s="55"/>
      <c r="M233" s="55"/>
      <c r="N233" s="55"/>
      <c r="P233" s="55">
        <f>+P197-P232+J197</f>
        <v>-26473776.370000001</v>
      </c>
      <c r="Q233" s="55"/>
      <c r="R233" s="55"/>
      <c r="S233" s="55"/>
      <c r="U233" s="55">
        <f>+U197-U232+O197</f>
        <v>-32772971.376666717</v>
      </c>
      <c r="V233" s="55"/>
      <c r="W233" s="55"/>
      <c r="X233" s="55"/>
      <c r="Z233" s="55">
        <f>+Z197-Z232+T197</f>
        <v>-62195002.839333296</v>
      </c>
      <c r="AA233" s="55"/>
      <c r="AB233" s="55"/>
      <c r="AC233" s="55"/>
      <c r="AE233" s="55">
        <f>+AE197-AE232+Y197</f>
        <v>-77839841.000000134</v>
      </c>
      <c r="AF233" s="55"/>
      <c r="AG233" s="55"/>
      <c r="AH233" s="55"/>
      <c r="AJ233" s="55">
        <f>+AJ197-AJ232+AD197</f>
        <v>-105929326.09666665</v>
      </c>
      <c r="AK233" s="55"/>
      <c r="AL233" s="55"/>
      <c r="AM233" s="55"/>
      <c r="AO233" s="55">
        <f>+AO197-AO232+AI197</f>
        <v>-101280951.35413341</v>
      </c>
      <c r="AP233" s="55"/>
      <c r="AQ233" s="55"/>
      <c r="AR233" s="55"/>
      <c r="AT233" s="55">
        <f>+AT197-AT232+AN197</f>
        <v>-100260062.95000015</v>
      </c>
      <c r="AU233" s="55">
        <f>+AU197-AU232</f>
        <v>0</v>
      </c>
      <c r="AV233" s="55">
        <f>+AV197-AV232</f>
        <v>0</v>
      </c>
      <c r="AW233" s="55"/>
      <c r="AY233" s="55"/>
      <c r="AZ233" s="55">
        <f>+AZ197-AZ232</f>
        <v>-155923210.27333343</v>
      </c>
      <c r="BA233" s="55">
        <f>+BA197-BA232</f>
        <v>-23835515.670000006</v>
      </c>
      <c r="BB233" s="55"/>
      <c r="BD233" s="55"/>
      <c r="BE233" s="55"/>
      <c r="BF233" s="55"/>
    </row>
    <row r="234" spans="1:58" x14ac:dyDescent="0.3">
      <c r="G234" s="2">
        <f>+G197-G232</f>
        <v>-3035740</v>
      </c>
      <c r="H234" s="2">
        <f>+H197-H232</f>
        <v>0</v>
      </c>
    </row>
    <row r="236" spans="1:58" x14ac:dyDescent="0.3">
      <c r="AJ236" s="55"/>
    </row>
  </sheetData>
  <mergeCells count="2">
    <mergeCell ref="G5:I5"/>
    <mergeCell ref="C5:F5"/>
  </mergeCells>
  <pageMargins left="0.70866141732283472" right="0.70866141732283472" top="0.74803149606299213" bottom="0.74803149606299213" header="0.31496062992125984" footer="0.31496062992125984"/>
  <pageSetup paperSize="9" scale="32" orientation="landscape" r:id="rId1"/>
  <ignoredErrors>
    <ignoredError sqref="F53 F18 K192 J32:K32 O32 O192 T15 Y15 AE180 AI32 AN32 AJ180 AS32 AO180 AX32 F123:P123 AT180 V180 BC32 AY180" formula="1"/>
    <ignoredError sqref="O15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A03F-F6E5-420F-81D5-D61C27AAAB4E}">
  <dimension ref="B2:N14"/>
  <sheetViews>
    <sheetView workbookViewId="0">
      <selection activeCell="N12" sqref="N12"/>
    </sheetView>
  </sheetViews>
  <sheetFormatPr defaultRowHeight="14.4" x14ac:dyDescent="0.3"/>
  <cols>
    <col min="2" max="2" width="41.88671875" customWidth="1"/>
    <col min="3" max="5" width="25.33203125" hidden="1" customWidth="1"/>
    <col min="6" max="8" width="11.5546875" hidden="1" customWidth="1"/>
    <col min="9" max="11" width="0" hidden="1" customWidth="1"/>
    <col min="12" max="12" width="10" hidden="1" customWidth="1"/>
    <col min="13" max="13" width="0" hidden="1" customWidth="1"/>
    <col min="14" max="14" width="10" bestFit="1" customWidth="1"/>
  </cols>
  <sheetData>
    <row r="2" spans="2:14" x14ac:dyDescent="0.3">
      <c r="C2" s="8" t="s">
        <v>277</v>
      </c>
      <c r="D2" s="10" t="s">
        <v>295</v>
      </c>
      <c r="E2" s="10" t="s">
        <v>339</v>
      </c>
      <c r="F2" s="10" t="s">
        <v>333</v>
      </c>
      <c r="G2" s="8" t="s">
        <v>356</v>
      </c>
    </row>
    <row r="3" spans="2:14" x14ac:dyDescent="0.3">
      <c r="B3" s="10" t="s">
        <v>223</v>
      </c>
      <c r="C3" s="26">
        <v>3421</v>
      </c>
      <c r="D3" s="26">
        <f>+C3/12*11</f>
        <v>3135.9166666666665</v>
      </c>
      <c r="E3" s="26">
        <f>+C3/12*10</f>
        <v>2850.833333333333</v>
      </c>
      <c r="F3" s="26">
        <f>+C3/12*9</f>
        <v>2565.75</v>
      </c>
      <c r="G3" s="26">
        <f>+C3/12*8</f>
        <v>2280.6666666666665</v>
      </c>
      <c r="H3" s="26">
        <f>+C3/12*7</f>
        <v>1995.5833333333333</v>
      </c>
      <c r="I3">
        <f>+C3/12*6</f>
        <v>1710.5</v>
      </c>
      <c r="J3">
        <f>+C3/12*5</f>
        <v>1425.4166666666665</v>
      </c>
      <c r="K3">
        <f>+C3/12*4</f>
        <v>1140.3333333333333</v>
      </c>
      <c r="L3" s="26">
        <f>+C3/12*3</f>
        <v>855.25</v>
      </c>
      <c r="M3">
        <f>+C3/12*2</f>
        <v>570.16666666666663</v>
      </c>
      <c r="N3" s="26">
        <f t="shared" ref="N3:N12" si="0">+C3/12*1</f>
        <v>285.08333333333331</v>
      </c>
    </row>
    <row r="4" spans="2:14" x14ac:dyDescent="0.3">
      <c r="B4" s="10" t="s">
        <v>62</v>
      </c>
      <c r="C4" s="26">
        <v>25000</v>
      </c>
      <c r="D4" s="26">
        <f t="shared" ref="D4:D13" si="1">+C4/12*11</f>
        <v>22916.666666666668</v>
      </c>
      <c r="E4" s="26">
        <f t="shared" ref="E4:E12" si="2">+C4/12*10</f>
        <v>20833.333333333336</v>
      </c>
      <c r="F4" s="26">
        <f t="shared" ref="F4:F12" si="3">+C4/12*9</f>
        <v>18750</v>
      </c>
      <c r="G4" s="26">
        <f t="shared" ref="G4:G12" si="4">+C4/12*8</f>
        <v>16666.666666666668</v>
      </c>
      <c r="H4" s="26">
        <f t="shared" ref="H4:H12" si="5">+C4/12*7</f>
        <v>14583.333333333334</v>
      </c>
      <c r="I4">
        <f t="shared" ref="I4:I12" si="6">+C4/12*6</f>
        <v>12500</v>
      </c>
      <c r="J4">
        <f t="shared" ref="J4:J12" si="7">+C4/12*5</f>
        <v>10416.666666666668</v>
      </c>
      <c r="K4">
        <f t="shared" ref="K4:K12" si="8">+C4/12*4</f>
        <v>8333.3333333333339</v>
      </c>
      <c r="L4" s="26">
        <f t="shared" ref="L4:L12" si="9">+C4/12*3</f>
        <v>6250</v>
      </c>
      <c r="M4">
        <f t="shared" ref="M4:M12" si="10">+C4/12*2</f>
        <v>4166.666666666667</v>
      </c>
      <c r="N4" s="26">
        <f t="shared" si="0"/>
        <v>2083.3333333333335</v>
      </c>
    </row>
    <row r="5" spans="2:14" x14ac:dyDescent="0.3">
      <c r="B5" s="10" t="s">
        <v>90</v>
      </c>
      <c r="C5" s="26">
        <v>355019</v>
      </c>
      <c r="D5" s="26">
        <f t="shared" si="1"/>
        <v>325434.08333333337</v>
      </c>
      <c r="E5" s="26">
        <f t="shared" si="2"/>
        <v>295849.16666666669</v>
      </c>
      <c r="F5" s="26">
        <f t="shared" si="3"/>
        <v>266264.25</v>
      </c>
      <c r="G5" s="26">
        <f t="shared" si="4"/>
        <v>236679.33333333334</v>
      </c>
      <c r="H5" s="26">
        <f t="shared" si="5"/>
        <v>207094.41666666669</v>
      </c>
      <c r="I5">
        <f t="shared" si="6"/>
        <v>177509.5</v>
      </c>
      <c r="J5">
        <f t="shared" si="7"/>
        <v>147924.58333333334</v>
      </c>
      <c r="K5">
        <f t="shared" si="8"/>
        <v>118339.66666666667</v>
      </c>
      <c r="L5" s="26">
        <f t="shared" si="9"/>
        <v>88754.75</v>
      </c>
      <c r="M5">
        <f t="shared" si="10"/>
        <v>59169.833333333336</v>
      </c>
      <c r="N5" s="26">
        <f t="shared" si="0"/>
        <v>29584.916666666668</v>
      </c>
    </row>
    <row r="6" spans="2:14" x14ac:dyDescent="0.3">
      <c r="B6" s="10" t="s">
        <v>221</v>
      </c>
      <c r="C6" s="26">
        <v>243974</v>
      </c>
      <c r="D6" s="26">
        <f t="shared" si="1"/>
        <v>223642.83333333334</v>
      </c>
      <c r="E6" s="26">
        <f t="shared" si="2"/>
        <v>203311.66666666669</v>
      </c>
      <c r="F6" s="26">
        <f t="shared" si="3"/>
        <v>182980.5</v>
      </c>
      <c r="G6" s="26">
        <f t="shared" si="4"/>
        <v>162649.33333333334</v>
      </c>
      <c r="H6" s="26">
        <f t="shared" si="5"/>
        <v>142318.16666666669</v>
      </c>
      <c r="I6">
        <f t="shared" si="6"/>
        <v>121987</v>
      </c>
      <c r="J6">
        <f t="shared" si="7"/>
        <v>101655.83333333334</v>
      </c>
      <c r="K6">
        <f t="shared" si="8"/>
        <v>81324.666666666672</v>
      </c>
      <c r="L6" s="26">
        <f t="shared" si="9"/>
        <v>60993.5</v>
      </c>
      <c r="M6">
        <f t="shared" si="10"/>
        <v>40662.333333333336</v>
      </c>
      <c r="N6" s="26">
        <f t="shared" si="0"/>
        <v>20331.166666666668</v>
      </c>
    </row>
    <row r="7" spans="2:14" x14ac:dyDescent="0.3">
      <c r="B7" s="10" t="s">
        <v>70</v>
      </c>
      <c r="C7" s="26">
        <v>78756</v>
      </c>
      <c r="D7" s="26">
        <f t="shared" si="1"/>
        <v>72193</v>
      </c>
      <c r="E7" s="26">
        <f t="shared" si="2"/>
        <v>65630</v>
      </c>
      <c r="F7" s="26">
        <f t="shared" si="3"/>
        <v>59067</v>
      </c>
      <c r="G7" s="26">
        <f t="shared" si="4"/>
        <v>52504</v>
      </c>
      <c r="H7" s="26">
        <f t="shared" si="5"/>
        <v>45941</v>
      </c>
      <c r="I7">
        <f t="shared" si="6"/>
        <v>39378</v>
      </c>
      <c r="J7">
        <f t="shared" si="7"/>
        <v>32815</v>
      </c>
      <c r="K7">
        <f t="shared" si="8"/>
        <v>26252</v>
      </c>
      <c r="L7" s="26">
        <f t="shared" si="9"/>
        <v>19689</v>
      </c>
      <c r="M7">
        <f t="shared" si="10"/>
        <v>13126</v>
      </c>
      <c r="N7" s="26">
        <f t="shared" si="0"/>
        <v>6563</v>
      </c>
    </row>
    <row r="8" spans="2:14" x14ac:dyDescent="0.3">
      <c r="B8" s="10" t="s">
        <v>67</v>
      </c>
      <c r="C8" s="26">
        <v>272842</v>
      </c>
      <c r="D8" s="26">
        <f t="shared" si="1"/>
        <v>250105.16666666666</v>
      </c>
      <c r="E8" s="26">
        <f t="shared" si="2"/>
        <v>227368.33333333331</v>
      </c>
      <c r="F8" s="26">
        <f t="shared" si="3"/>
        <v>204631.5</v>
      </c>
      <c r="G8" s="26">
        <f t="shared" si="4"/>
        <v>181894.66666666666</v>
      </c>
      <c r="H8" s="26">
        <f t="shared" si="5"/>
        <v>159157.83333333331</v>
      </c>
      <c r="I8">
        <f t="shared" si="6"/>
        <v>136421</v>
      </c>
      <c r="J8">
        <f t="shared" si="7"/>
        <v>113684.16666666666</v>
      </c>
      <c r="K8">
        <f t="shared" si="8"/>
        <v>90947.333333333328</v>
      </c>
      <c r="L8" s="26">
        <f t="shared" si="9"/>
        <v>68210.5</v>
      </c>
      <c r="M8">
        <f t="shared" si="10"/>
        <v>45473.666666666664</v>
      </c>
      <c r="N8" s="26">
        <f t="shared" si="0"/>
        <v>22736.833333333332</v>
      </c>
    </row>
    <row r="9" spans="2:14" x14ac:dyDescent="0.3">
      <c r="B9" s="10" t="s">
        <v>94</v>
      </c>
      <c r="C9" s="26">
        <v>699</v>
      </c>
      <c r="D9" s="26">
        <f t="shared" si="1"/>
        <v>640.75</v>
      </c>
      <c r="E9" s="26">
        <f t="shared" si="2"/>
        <v>582.5</v>
      </c>
      <c r="F9" s="26">
        <f t="shared" si="3"/>
        <v>524.25</v>
      </c>
      <c r="G9" s="26">
        <f t="shared" si="4"/>
        <v>466</v>
      </c>
      <c r="H9" s="26">
        <f t="shared" si="5"/>
        <v>407.75</v>
      </c>
      <c r="I9">
        <f t="shared" si="6"/>
        <v>349.5</v>
      </c>
      <c r="J9">
        <f t="shared" si="7"/>
        <v>291.25</v>
      </c>
      <c r="K9">
        <f t="shared" si="8"/>
        <v>233</v>
      </c>
      <c r="L9" s="26">
        <f t="shared" si="9"/>
        <v>174.75</v>
      </c>
      <c r="M9">
        <f t="shared" si="10"/>
        <v>116.5</v>
      </c>
      <c r="N9" s="26">
        <f t="shared" si="0"/>
        <v>58.25</v>
      </c>
    </row>
    <row r="10" spans="2:14" x14ac:dyDescent="0.3">
      <c r="B10" s="10" t="s">
        <v>95</v>
      </c>
      <c r="C10" s="26">
        <v>7657</v>
      </c>
      <c r="D10" s="26">
        <f t="shared" si="1"/>
        <v>7018.916666666667</v>
      </c>
      <c r="E10" s="26">
        <f t="shared" si="2"/>
        <v>6380.8333333333339</v>
      </c>
      <c r="F10" s="26">
        <f t="shared" si="3"/>
        <v>5742.75</v>
      </c>
      <c r="G10" s="26">
        <f t="shared" si="4"/>
        <v>5104.666666666667</v>
      </c>
      <c r="H10" s="26">
        <f t="shared" si="5"/>
        <v>4466.5833333333339</v>
      </c>
      <c r="I10">
        <f t="shared" si="6"/>
        <v>3828.5</v>
      </c>
      <c r="J10">
        <f t="shared" si="7"/>
        <v>3190.416666666667</v>
      </c>
      <c r="K10">
        <f t="shared" si="8"/>
        <v>2552.3333333333335</v>
      </c>
      <c r="L10" s="26">
        <f t="shared" si="9"/>
        <v>1914.25</v>
      </c>
      <c r="M10">
        <f t="shared" si="10"/>
        <v>1276.1666666666667</v>
      </c>
      <c r="N10" s="26">
        <f t="shared" si="0"/>
        <v>638.08333333333337</v>
      </c>
    </row>
    <row r="11" spans="2:14" x14ac:dyDescent="0.3">
      <c r="B11" s="10" t="s">
        <v>234</v>
      </c>
      <c r="C11" s="26">
        <v>116590</v>
      </c>
      <c r="D11" s="26">
        <f t="shared" si="1"/>
        <v>106874.16666666667</v>
      </c>
      <c r="E11" s="26">
        <f t="shared" si="2"/>
        <v>97158.333333333343</v>
      </c>
      <c r="F11" s="26">
        <f t="shared" si="3"/>
        <v>87442.5</v>
      </c>
      <c r="G11" s="26">
        <f t="shared" si="4"/>
        <v>77726.666666666672</v>
      </c>
      <c r="H11" s="26">
        <f t="shared" si="5"/>
        <v>68010.833333333343</v>
      </c>
      <c r="I11">
        <f t="shared" si="6"/>
        <v>58295</v>
      </c>
      <c r="J11">
        <f t="shared" si="7"/>
        <v>48579.166666666672</v>
      </c>
      <c r="K11">
        <f t="shared" si="8"/>
        <v>38863.333333333336</v>
      </c>
      <c r="L11" s="26">
        <f t="shared" si="9"/>
        <v>29147.5</v>
      </c>
      <c r="M11">
        <f t="shared" si="10"/>
        <v>19431.666666666668</v>
      </c>
      <c r="N11" s="26">
        <f t="shared" si="0"/>
        <v>9715.8333333333339</v>
      </c>
    </row>
    <row r="12" spans="2:14" x14ac:dyDescent="0.3">
      <c r="B12" s="10" t="s">
        <v>92</v>
      </c>
      <c r="C12" s="26">
        <v>-11432.8</v>
      </c>
      <c r="D12" s="26">
        <f t="shared" si="1"/>
        <v>-10480.066666666666</v>
      </c>
      <c r="E12" s="26">
        <f t="shared" si="2"/>
        <v>-9527.3333333333321</v>
      </c>
      <c r="F12" s="26">
        <f t="shared" si="3"/>
        <v>-8574.5999999999985</v>
      </c>
      <c r="G12" s="26">
        <f t="shared" si="4"/>
        <v>-7621.8666666666659</v>
      </c>
      <c r="H12" s="26">
        <f t="shared" si="5"/>
        <v>-6669.1333333333323</v>
      </c>
      <c r="I12">
        <f t="shared" si="6"/>
        <v>-5716.4</v>
      </c>
      <c r="J12">
        <f t="shared" si="7"/>
        <v>-4763.6666666666661</v>
      </c>
      <c r="K12">
        <f t="shared" si="8"/>
        <v>-3810.9333333333329</v>
      </c>
      <c r="L12" s="26">
        <f t="shared" si="9"/>
        <v>-2858.2</v>
      </c>
      <c r="M12">
        <f t="shared" si="10"/>
        <v>-1905.4666666666665</v>
      </c>
      <c r="N12" s="26">
        <f t="shared" si="0"/>
        <v>-952.73333333333323</v>
      </c>
    </row>
    <row r="13" spans="2:14" x14ac:dyDescent="0.3">
      <c r="B13" s="8" t="s">
        <v>277</v>
      </c>
      <c r="C13" s="26">
        <f>SUM(C3:C12)</f>
        <v>1092525.2</v>
      </c>
      <c r="D13" s="26">
        <f t="shared" si="1"/>
        <v>1001481.4333333333</v>
      </c>
      <c r="E13" s="26">
        <f>SUM(E3:E12)</f>
        <v>910437.66666666663</v>
      </c>
      <c r="F13" s="26">
        <f>SUM(F3:F12)</f>
        <v>819393.9</v>
      </c>
      <c r="G13" s="65">
        <f>SUM(G3:G12)</f>
        <v>728350.13333333319</v>
      </c>
      <c r="J13">
        <f>SUM(J3:J12)</f>
        <v>455218.83333333331</v>
      </c>
      <c r="L13" s="55">
        <f>SUM(L3:L12)</f>
        <v>273131.3</v>
      </c>
      <c r="N13" s="26">
        <f>SUM(N3:N12)</f>
        <v>91043.766666666648</v>
      </c>
    </row>
    <row r="14" spans="2:14" x14ac:dyDescent="0.3">
      <c r="C14" s="2"/>
      <c r="F14" s="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502C-8218-4259-B1CB-F4AF5898CBBF}">
  <dimension ref="A1:GC208"/>
  <sheetViews>
    <sheetView topLeftCell="A39" zoomScale="99" zoomScaleNormal="100" workbookViewId="0">
      <selection activeCell="O51" sqref="O51"/>
    </sheetView>
  </sheetViews>
  <sheetFormatPr defaultRowHeight="14.4" x14ac:dyDescent="0.3"/>
  <cols>
    <col min="1" max="1" width="44.44140625" customWidth="1"/>
    <col min="2" max="14" width="15.33203125" style="25" hidden="1" customWidth="1"/>
    <col min="15" max="26" width="15.33203125" style="25" customWidth="1"/>
    <col min="27" max="27" width="12.33203125" customWidth="1"/>
    <col min="28" max="28" width="13.44140625" customWidth="1"/>
    <col min="29" max="29" width="14" customWidth="1"/>
    <col min="30" max="30" width="13.33203125" customWidth="1"/>
    <col min="31" max="31" width="12.88671875" customWidth="1"/>
    <col min="33" max="33" width="12.5546875" bestFit="1" customWidth="1"/>
  </cols>
  <sheetData>
    <row r="1" spans="1:26" x14ac:dyDescent="0.3">
      <c r="A1" s="1" t="s">
        <v>175</v>
      </c>
    </row>
    <row r="2" spans="1:26" x14ac:dyDescent="0.3">
      <c r="A2" s="1"/>
    </row>
    <row r="3" spans="1:26" x14ac:dyDescent="0.3">
      <c r="A3" s="4" t="s">
        <v>463</v>
      </c>
    </row>
    <row r="4" spans="1:26" x14ac:dyDescent="0.3">
      <c r="A4" s="4"/>
    </row>
    <row r="6" spans="1:26" ht="33" customHeight="1" x14ac:dyDescent="0.3">
      <c r="A6" s="6" t="s">
        <v>2</v>
      </c>
      <c r="B6" s="36" t="s">
        <v>243</v>
      </c>
      <c r="C6" s="36" t="s">
        <v>287</v>
      </c>
      <c r="D6" s="36" t="s">
        <v>288</v>
      </c>
      <c r="E6" s="36" t="s">
        <v>301</v>
      </c>
      <c r="F6" s="36" t="s">
        <v>302</v>
      </c>
      <c r="G6" s="36" t="s">
        <v>342</v>
      </c>
      <c r="H6" s="36" t="s">
        <v>343</v>
      </c>
      <c r="I6" s="36" t="s">
        <v>362</v>
      </c>
      <c r="J6" s="36" t="s">
        <v>363</v>
      </c>
      <c r="K6" s="36" t="s">
        <v>381</v>
      </c>
      <c r="L6" s="36" t="s">
        <v>382</v>
      </c>
      <c r="M6" s="36" t="s">
        <v>389</v>
      </c>
      <c r="N6" s="36" t="s">
        <v>390</v>
      </c>
      <c r="O6" s="36" t="s">
        <v>406</v>
      </c>
      <c r="P6" s="36" t="s">
        <v>407</v>
      </c>
      <c r="Q6" s="36" t="s">
        <v>412</v>
      </c>
      <c r="R6" s="36" t="s">
        <v>413</v>
      </c>
      <c r="S6" s="36" t="s">
        <v>450</v>
      </c>
      <c r="T6" s="36" t="s">
        <v>451</v>
      </c>
      <c r="U6" s="36" t="s">
        <v>464</v>
      </c>
      <c r="V6" s="36" t="s">
        <v>465</v>
      </c>
      <c r="W6" s="82"/>
      <c r="X6" s="82"/>
      <c r="Y6" s="82"/>
      <c r="Z6" s="82"/>
    </row>
    <row r="7" spans="1:26" x14ac:dyDescent="0.3">
      <c r="A7" s="8" t="s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83"/>
      <c r="X7" s="83"/>
      <c r="Y7" s="83"/>
      <c r="Z7" s="83"/>
    </row>
    <row r="8" spans="1:26" x14ac:dyDescent="0.3">
      <c r="A8" s="8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83"/>
      <c r="X8" s="83"/>
      <c r="Y8" s="83"/>
      <c r="Z8" s="83"/>
    </row>
    <row r="9" spans="1:26" x14ac:dyDescent="0.3">
      <c r="A9" s="10" t="s">
        <v>176</v>
      </c>
      <c r="B9" s="11"/>
      <c r="C9" s="11">
        <f>VLOOKUP(A9,'May-A'!$B$10:$C$103,2,0)</f>
        <v>17488529</v>
      </c>
      <c r="D9" s="11">
        <f>+C9-B9</f>
        <v>17488529</v>
      </c>
      <c r="E9" s="11">
        <f>VLOOKUP(A9,'June,25-A'!$B$10:$C$123,2,0)</f>
        <v>17488529</v>
      </c>
      <c r="F9" s="11">
        <f>+E9-C9</f>
        <v>0</v>
      </c>
      <c r="G9" s="11">
        <f>VLOOKUP(A9,'July-A'!$B$10:$C$129,2,0)</f>
        <v>28044991</v>
      </c>
      <c r="H9" s="11">
        <f>+G9-E9</f>
        <v>10556462</v>
      </c>
      <c r="I9" s="11">
        <f>VLOOKUP(A9,'TB-A-Aug'!$B$10:$C$132,2,0)</f>
        <v>38932993</v>
      </c>
      <c r="J9" s="11">
        <f>+I9-G9</f>
        <v>10888002</v>
      </c>
      <c r="K9" s="11">
        <f>VLOOKUP(A9,'TFA-Sept,25'!$B$9:$C$136,2,0)</f>
        <v>31936237</v>
      </c>
      <c r="L9" s="11">
        <f>+K9-I9</f>
        <v>-6996756</v>
      </c>
      <c r="M9" s="11">
        <f>VLOOKUP(A9,'PL-TFA-Oct'!$B$9:$C$138,2,0)</f>
        <v>58108673</v>
      </c>
      <c r="N9" s="11">
        <f>+M9-K9</f>
        <v>26172436</v>
      </c>
      <c r="O9" s="11">
        <f>VLOOKUP(A9,'TFA-Nov,25'!$B$10:$C$144,2,0)</f>
        <v>73649850</v>
      </c>
      <c r="P9" s="11">
        <f>+O9-M9</f>
        <v>15541177</v>
      </c>
      <c r="Q9" s="11">
        <f>VLOOKUP(A9,'TB-TFL-A-Dec,25'!$B$10:$C$147,2,0)</f>
        <v>84681620</v>
      </c>
      <c r="R9" s="11">
        <f>+Q9-O9</f>
        <v>11031770</v>
      </c>
      <c r="S9" s="11">
        <f>VLOOKUP(A9,'TB-TFL-A-Jan,26'!$B$9:$C$151,2,0)</f>
        <v>84702821</v>
      </c>
      <c r="T9" s="11">
        <f>+S9-Q9</f>
        <v>21201</v>
      </c>
      <c r="U9" s="11">
        <f>VLOOKUP(A9,'TB-Feb,26-a'!$B$10:$C$153,2,0)</f>
        <v>105750522</v>
      </c>
      <c r="V9" s="11">
        <f>+U9-S9</f>
        <v>21047701</v>
      </c>
      <c r="W9" s="83"/>
      <c r="X9" s="83"/>
      <c r="Y9" s="83"/>
      <c r="Z9" s="83"/>
    </row>
    <row r="10" spans="1:26" x14ac:dyDescent="0.3">
      <c r="A10" s="10" t="s">
        <v>402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>
        <f>VLOOKUP(A10,'TFA-Nov,25'!$B$10:$C$144,2,0)</f>
        <v>72061522</v>
      </c>
      <c r="P10" s="11">
        <f>+O10-M10</f>
        <v>72061522</v>
      </c>
      <c r="Q10" s="11">
        <f>VLOOKUP(A10,'TB-TFL-A-Dec,25'!$B$10:$C$147,2,0)</f>
        <v>150117512</v>
      </c>
      <c r="R10" s="11">
        <f>+Q10-O10</f>
        <v>78055990</v>
      </c>
      <c r="S10" s="11">
        <f>VLOOKUP(A10,'TB-TFL-A-Jan,26'!$B$9:$C$151,2,0)</f>
        <v>150117512</v>
      </c>
      <c r="T10" s="11">
        <f>+S10-Q10</f>
        <v>0</v>
      </c>
      <c r="U10" s="11">
        <f>VLOOKUP(A10,'TB-Feb,26-a'!$B$10:$C$153,2,0)</f>
        <v>158852699</v>
      </c>
      <c r="V10" s="11">
        <f>+U10-S10</f>
        <v>8735187</v>
      </c>
      <c r="W10" s="83"/>
      <c r="X10" s="83"/>
      <c r="Y10" s="83"/>
      <c r="Z10" s="83"/>
    </row>
    <row r="11" spans="1:26" hidden="1" x14ac:dyDescent="0.3">
      <c r="A11" s="10" t="s">
        <v>452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>
        <f>+S11-Q11</f>
        <v>0</v>
      </c>
      <c r="U11" s="11"/>
      <c r="V11" s="11">
        <f>+U11-S11</f>
        <v>0</v>
      </c>
      <c r="W11" s="83"/>
      <c r="X11" s="83"/>
      <c r="Y11" s="83"/>
      <c r="Z11" s="83"/>
    </row>
    <row r="12" spans="1:26" x14ac:dyDescent="0.3">
      <c r="A12" s="20" t="s">
        <v>453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>
        <f>VLOOKUP(A12,'TB-TFL-A-Jan,26'!$B$9:$C$151,2,0)+180790</f>
        <v>646961</v>
      </c>
      <c r="T12" s="11">
        <f>+S12-Q12</f>
        <v>646961</v>
      </c>
      <c r="U12" s="11">
        <f>VLOOKUP(A12,'TB-Feb,26-a'!$B$10:$C$153,2,0)</f>
        <v>646961</v>
      </c>
      <c r="V12" s="11">
        <f>+U12-S12</f>
        <v>0</v>
      </c>
      <c r="W12" s="83"/>
      <c r="X12" s="83"/>
      <c r="Y12" s="83"/>
      <c r="Z12" s="83"/>
    </row>
    <row r="13" spans="1:26" x14ac:dyDescent="0.3">
      <c r="A13" s="10" t="s">
        <v>247</v>
      </c>
      <c r="B13" s="11">
        <f>VLOOKUP(A13,'TFL A-April,25'!$B$9:$C$95,2,0)</f>
        <v>21860</v>
      </c>
      <c r="C13" s="11">
        <f>VLOOKUP(A13,'May-A'!$B$10:$C$103,2,0)</f>
        <v>21860</v>
      </c>
      <c r="D13" s="11">
        <f>+C13-B13</f>
        <v>0</v>
      </c>
      <c r="E13" s="11">
        <f>VLOOKUP(A13,'June,25-A'!$B$10:$C$123,2,0)</f>
        <v>21860</v>
      </c>
      <c r="F13" s="11">
        <f t="shared" ref="F13:F17" si="0">+E13-C13</f>
        <v>0</v>
      </c>
      <c r="G13" s="11">
        <f>VLOOKUP(A13,'July-A'!$B$10:$C$129,2,0)</f>
        <v>21860</v>
      </c>
      <c r="H13" s="11">
        <f t="shared" ref="H13:H17" si="1">+G13-E13</f>
        <v>0</v>
      </c>
      <c r="I13" s="11">
        <f>VLOOKUP(A13,'TB-A-Aug'!$B$10:$C$132,2,0)</f>
        <v>21860</v>
      </c>
      <c r="J13" s="11">
        <f t="shared" ref="J13:J17" si="2">+I13-G13</f>
        <v>0</v>
      </c>
      <c r="K13" s="11">
        <f>VLOOKUP(A13,'TFA-Sept,25'!$B$9:$C$136,2,0)</f>
        <v>21860</v>
      </c>
      <c r="L13" s="11">
        <f t="shared" ref="L13:L17" si="3">+K13-I13</f>
        <v>0</v>
      </c>
      <c r="M13" s="11">
        <f>VLOOKUP(A13,'PL-TFA-Oct'!$B$9:$C$138,2,0)</f>
        <v>21860</v>
      </c>
      <c r="N13" s="11">
        <f t="shared" ref="N13:N17" si="4">+M13-K13</f>
        <v>0</v>
      </c>
      <c r="O13" s="11">
        <f>VLOOKUP(A13,'TFA-Nov,25'!$B$10:$C$144,2,0)</f>
        <v>21860</v>
      </c>
      <c r="P13" s="11">
        <f t="shared" ref="P13:P17" si="5">+O13-M13</f>
        <v>0</v>
      </c>
      <c r="Q13" s="11">
        <f>VLOOKUP(A13,'TB-TFL-A-Dec,25'!$B$10:$C$147,2,0)</f>
        <v>21860</v>
      </c>
      <c r="R13" s="11">
        <f t="shared" ref="R13:R17" si="6">+Q13-O13</f>
        <v>0</v>
      </c>
      <c r="S13" s="11">
        <f>VLOOKUP(A13,'TB-TFL-A-Jan,26'!$B$9:$C$151,2,0)</f>
        <v>21860</v>
      </c>
      <c r="T13" s="11">
        <f t="shared" ref="T13:T17" si="7">+S13-Q13</f>
        <v>0</v>
      </c>
      <c r="U13" s="11">
        <f>VLOOKUP(A13,'TB-Feb,26-a'!$B$10:$C$153,2,0)</f>
        <v>21860</v>
      </c>
      <c r="V13" s="11">
        <f t="shared" ref="V13:V17" si="8">+U13-S13</f>
        <v>0</v>
      </c>
      <c r="W13" s="83"/>
      <c r="X13" s="83"/>
      <c r="Y13" s="83"/>
      <c r="Z13" s="83"/>
    </row>
    <row r="14" spans="1:26" x14ac:dyDescent="0.3">
      <c r="A14" s="10" t="s">
        <v>177</v>
      </c>
      <c r="B14" s="11">
        <f>VLOOKUP(A14,'TFL A-April,25'!$B$9:$C$95,2,0)</f>
        <v>47838868.75</v>
      </c>
      <c r="C14" s="11">
        <f>VLOOKUP(A14,'May-A'!$B$10:$C$103,2,0)-18103</f>
        <v>93255699</v>
      </c>
      <c r="D14" s="11">
        <f t="shared" ref="D14:D17" si="9">+C14-B14</f>
        <v>45416830.25</v>
      </c>
      <c r="E14" s="11">
        <f>VLOOKUP(A14,'June,25-A'!$B$10:$C$123,2,0)-110927</f>
        <v>148598505.34999999</v>
      </c>
      <c r="F14" s="11">
        <f t="shared" si="0"/>
        <v>55342806.349999994</v>
      </c>
      <c r="G14" s="11">
        <f>VLOOKUP(A14,'July-A'!$B$10:$C$129,2,0)</f>
        <v>226620149.49000001</v>
      </c>
      <c r="H14" s="11">
        <f t="shared" si="1"/>
        <v>78021644.140000015</v>
      </c>
      <c r="I14" s="11">
        <f>VLOOKUP(A14,'TB-A-Aug'!$B$10:$C$132,2,0)</f>
        <v>276763705.29000002</v>
      </c>
      <c r="J14" s="11">
        <f t="shared" si="2"/>
        <v>50143555.800000012</v>
      </c>
      <c r="K14" s="11">
        <f>VLOOKUP(A14,'TFA-Sept,25'!$B$9:$C$136,2,0)-5839-20081-4468</f>
        <v>360383576.33999997</v>
      </c>
      <c r="L14" s="11">
        <f t="shared" si="3"/>
        <v>83619871.049999952</v>
      </c>
      <c r="M14" s="11">
        <f>VLOOKUP(A14,'PL-TFA-Oct'!$B$9:$C$138,2,0)</f>
        <v>391950601.49000001</v>
      </c>
      <c r="N14" s="11">
        <f t="shared" si="4"/>
        <v>31567025.150000036</v>
      </c>
      <c r="O14" s="11">
        <f>VLOOKUP(A14,'TFA-Nov,25'!$B$10:$C$144,2,0)-5229-4638</f>
        <v>438053775.99000001</v>
      </c>
      <c r="P14" s="11">
        <f t="shared" si="5"/>
        <v>46103174.5</v>
      </c>
      <c r="Q14" s="11">
        <f>VLOOKUP(A14,'TB-TFL-A-Dec,25'!$B$10:$C$147,2,0)-1839-20065-1760</f>
        <v>518244329.33999997</v>
      </c>
      <c r="R14" s="11">
        <f t="shared" si="6"/>
        <v>80190553.349999964</v>
      </c>
      <c r="S14" s="11">
        <f>VLOOKUP(A14,'TB-TFL-A-Jan,26'!$B$9:$C$151,2,0)-(1311+6076+5650)-54021</f>
        <v>591010407.44000006</v>
      </c>
      <c r="T14" s="11">
        <f t="shared" si="7"/>
        <v>72766078.100000083</v>
      </c>
      <c r="U14" s="11">
        <f>VLOOKUP(A14,'TB-Feb,26-a'!$B$10:$C$153,2,0)-6616-3651</f>
        <v>648681759.38999999</v>
      </c>
      <c r="V14" s="11">
        <f t="shared" si="8"/>
        <v>57671351.949999928</v>
      </c>
      <c r="W14" s="83"/>
      <c r="X14" s="83"/>
      <c r="Y14" s="83"/>
      <c r="Z14" s="83"/>
    </row>
    <row r="15" spans="1:26" x14ac:dyDescent="0.3">
      <c r="A15" s="10" t="s">
        <v>178</v>
      </c>
      <c r="B15" s="11">
        <f>VLOOKUP(A15,'TFL A-April,25'!$B$9:$C$95,2,0)</f>
        <v>26900</v>
      </c>
      <c r="C15" s="11">
        <f>VLOOKUP(A15,'May-A'!$B$10:$C$103,2,0)</f>
        <v>162790</v>
      </c>
      <c r="D15" s="11">
        <f t="shared" si="9"/>
        <v>135890</v>
      </c>
      <c r="E15" s="11">
        <f>VLOOKUP(A15,'June,25-A'!$B$10:$C$123,2,0)</f>
        <v>162790</v>
      </c>
      <c r="F15" s="11">
        <f t="shared" si="0"/>
        <v>0</v>
      </c>
      <c r="G15" s="11">
        <f>VLOOKUP(A15,'July-A'!$B$10:$C$129,2,0)</f>
        <v>185950</v>
      </c>
      <c r="H15" s="11">
        <f t="shared" si="1"/>
        <v>23160</v>
      </c>
      <c r="I15" s="11">
        <f>VLOOKUP(A15,'TB-A-Aug'!$B$10:$C$132,2,0)</f>
        <v>205290</v>
      </c>
      <c r="J15" s="11">
        <f t="shared" si="2"/>
        <v>19340</v>
      </c>
      <c r="K15" s="11">
        <f>VLOOKUP(A15,'TFA-Sept,25'!$B$9:$C$136,2,0)</f>
        <v>439540</v>
      </c>
      <c r="L15" s="11">
        <f t="shared" si="3"/>
        <v>234250</v>
      </c>
      <c r="M15" s="11">
        <f>VLOOKUP(A15,'PL-TFA-Oct'!$B$9:$C$138,2,0)</f>
        <v>471500</v>
      </c>
      <c r="N15" s="11">
        <f t="shared" si="4"/>
        <v>31960</v>
      </c>
      <c r="O15" s="11">
        <f>VLOOKUP(A15,'TFA-Nov,25'!$B$10:$C$144,2,0)</f>
        <v>471500.01</v>
      </c>
      <c r="P15" s="11">
        <f t="shared" si="5"/>
        <v>1.0000000009313226E-2</v>
      </c>
      <c r="Q15" s="11">
        <f>VLOOKUP(A15,'TB-TFL-A-Dec,25'!$B$10:$C$147,2,0)</f>
        <v>471500.01</v>
      </c>
      <c r="R15" s="11">
        <f t="shared" si="6"/>
        <v>0</v>
      </c>
      <c r="S15" s="11">
        <f>VLOOKUP(A15,'TB-TFL-A-Jan,26'!$B$9:$C$151,2,0)</f>
        <v>471500.01</v>
      </c>
      <c r="T15" s="11">
        <f t="shared" si="7"/>
        <v>0</v>
      </c>
      <c r="U15" s="11">
        <f>VLOOKUP(A15,'TB-Feb,26-a'!$B$10:$C$153,2,0)</f>
        <v>471500.01</v>
      </c>
      <c r="V15" s="11">
        <f t="shared" si="8"/>
        <v>0</v>
      </c>
      <c r="W15" s="83"/>
      <c r="X15" s="83"/>
      <c r="Y15" s="83"/>
      <c r="Z15" s="83"/>
    </row>
    <row r="16" spans="1:26" x14ac:dyDescent="0.3">
      <c r="A16" t="s">
        <v>345</v>
      </c>
      <c r="B16" s="11"/>
      <c r="C16" s="11"/>
      <c r="D16" s="11"/>
      <c r="E16" s="11"/>
      <c r="F16" s="11"/>
      <c r="G16" s="11">
        <f>VLOOKUP(A16,'July-A'!$B$10:$C$129,2,0)</f>
        <v>1961392</v>
      </c>
      <c r="H16" s="11">
        <f t="shared" si="1"/>
        <v>1961392</v>
      </c>
      <c r="I16" s="11">
        <f>VLOOKUP(A16,'TB-A-Aug'!$B$10:$C$132,2,0)</f>
        <v>2001211</v>
      </c>
      <c r="J16" s="11">
        <f t="shared" si="2"/>
        <v>39819</v>
      </c>
      <c r="K16" s="11">
        <f>VLOOKUP(A16,'TFA-Sept,25'!$B$9:$C$136,2,0)</f>
        <v>2001211</v>
      </c>
      <c r="L16" s="11">
        <f t="shared" si="3"/>
        <v>0</v>
      </c>
      <c r="M16" s="11">
        <f>VLOOKUP(A16,'PL-TFA-Oct'!$B$9:$C$138,2,0)</f>
        <v>2419148</v>
      </c>
      <c r="N16" s="11">
        <f t="shared" si="4"/>
        <v>417937</v>
      </c>
      <c r="O16" s="11">
        <f>VLOOKUP(A16,'TFA-Nov,25'!$B$10:$C$144,2,0)</f>
        <v>2419148</v>
      </c>
      <c r="P16" s="11">
        <f t="shared" si="5"/>
        <v>0</v>
      </c>
      <c r="Q16" s="11">
        <f>VLOOKUP(A16,'TB-TFL-A-Dec,25'!$B$10:$C$147,2,0)</f>
        <v>2821225</v>
      </c>
      <c r="R16" s="11">
        <f t="shared" si="6"/>
        <v>402077</v>
      </c>
      <c r="S16" s="11">
        <f>VLOOKUP(A16,'TB-TFL-A-Jan,26'!$B$9:$C$151,2,0)</f>
        <v>3094230</v>
      </c>
      <c r="T16" s="11">
        <f t="shared" si="7"/>
        <v>273005</v>
      </c>
      <c r="U16" s="11">
        <f>VLOOKUP(A16,'TB-Feb,26-a'!$B$10:$C$153,2,0)</f>
        <v>4971595</v>
      </c>
      <c r="V16" s="11">
        <f t="shared" si="8"/>
        <v>1877365</v>
      </c>
      <c r="W16" s="83"/>
      <c r="X16" s="83"/>
      <c r="Y16" s="83"/>
      <c r="Z16" s="83"/>
    </row>
    <row r="17" spans="1:28" x14ac:dyDescent="0.3">
      <c r="A17" s="10" t="s">
        <v>179</v>
      </c>
      <c r="B17" s="11">
        <f>VLOOKUP(A17,'TFL A-April,25'!$B$9:$C$95,2,0)</f>
        <v>1704310</v>
      </c>
      <c r="C17" s="11">
        <f>VLOOKUP(A17,'May-A'!$B$10:$C$103,2,0)</f>
        <v>1704310</v>
      </c>
      <c r="D17" s="11">
        <f t="shared" si="9"/>
        <v>0</v>
      </c>
      <c r="E17" s="11">
        <f>VLOOKUP(A17,'June,25-A'!$B$10:$C$123,2,0)</f>
        <v>3480367</v>
      </c>
      <c r="F17" s="11">
        <f t="shared" si="0"/>
        <v>1776057</v>
      </c>
      <c r="G17" s="11">
        <f>VLOOKUP(A17,'July-A'!$B$10:$C$129,2,0)</f>
        <v>4008793</v>
      </c>
      <c r="H17" s="11">
        <f t="shared" si="1"/>
        <v>528426</v>
      </c>
      <c r="I17" s="11">
        <f>VLOOKUP(A17,'TB-A-Aug'!$B$10:$C$132,2,0)</f>
        <v>4930093</v>
      </c>
      <c r="J17" s="11">
        <f t="shared" si="2"/>
        <v>921300</v>
      </c>
      <c r="K17" s="11">
        <f>VLOOKUP(A17,'TFA-Sept,25'!$B$9:$C$136,2,0)</f>
        <v>5699323</v>
      </c>
      <c r="L17" s="11">
        <f t="shared" si="3"/>
        <v>769230</v>
      </c>
      <c r="M17" s="11">
        <f>VLOOKUP(A17,'PL-TFA-Oct'!$B$9:$C$138,2,0)</f>
        <v>5699323</v>
      </c>
      <c r="N17" s="11">
        <f t="shared" si="4"/>
        <v>0</v>
      </c>
      <c r="O17" s="11">
        <f>VLOOKUP(A17,'TFA-Nov,25'!$B$10:$C$144,2,0)</f>
        <v>6121968</v>
      </c>
      <c r="P17" s="11">
        <f t="shared" si="5"/>
        <v>422645</v>
      </c>
      <c r="Q17" s="11">
        <f>VLOOKUP(A17,'TB-TFL-A-Dec,25'!$B$10:$C$147,2,0)</f>
        <v>7995966</v>
      </c>
      <c r="R17" s="11">
        <f t="shared" si="6"/>
        <v>1873998</v>
      </c>
      <c r="S17" s="11">
        <f>VLOOKUP(A17,'TB-TFL-A-Jan,26'!$B$9:$C$151,2,0)</f>
        <v>9757463</v>
      </c>
      <c r="T17" s="11">
        <f t="shared" si="7"/>
        <v>1761497</v>
      </c>
      <c r="U17" s="11">
        <f>VLOOKUP(A17,'TB-Feb,26-a'!$B$10:$C$153,2,0)</f>
        <v>9760163</v>
      </c>
      <c r="V17" s="11">
        <f t="shared" si="8"/>
        <v>2700</v>
      </c>
      <c r="W17" s="83"/>
      <c r="X17" s="83"/>
      <c r="Y17" s="83"/>
      <c r="Z17" s="83"/>
    </row>
    <row r="18" spans="1:28" s="15" customFormat="1" x14ac:dyDescent="0.3">
      <c r="A18" s="37" t="s">
        <v>9</v>
      </c>
      <c r="B18" s="14">
        <f>SUM(B9:B17)</f>
        <v>49591938.75</v>
      </c>
      <c r="C18" s="14">
        <f t="shared" ref="C18:D18" si="10">SUM(C9:C17)</f>
        <v>112633188</v>
      </c>
      <c r="D18" s="14">
        <f t="shared" si="10"/>
        <v>63041249.25</v>
      </c>
      <c r="E18" s="14">
        <f t="shared" ref="E18:F18" si="11">SUM(E9:E17)</f>
        <v>169752051.34999999</v>
      </c>
      <c r="F18" s="14">
        <f t="shared" si="11"/>
        <v>57118863.349999994</v>
      </c>
      <c r="G18" s="14">
        <f t="shared" ref="G18:H18" si="12">SUM(G9:G17)</f>
        <v>260843135.49000001</v>
      </c>
      <c r="H18" s="14">
        <f t="shared" si="12"/>
        <v>91091084.140000015</v>
      </c>
      <c r="I18" s="14">
        <f t="shared" ref="I18:J18" si="13">SUM(I9:I17)</f>
        <v>322855152.29000002</v>
      </c>
      <c r="J18" s="14">
        <f t="shared" si="13"/>
        <v>62012016.800000012</v>
      </c>
      <c r="K18" s="14">
        <f t="shared" ref="K18:L18" si="14">SUM(K9:K17)</f>
        <v>400481747.33999997</v>
      </c>
      <c r="L18" s="14">
        <f t="shared" si="14"/>
        <v>77626595.049999952</v>
      </c>
      <c r="M18" s="14">
        <f t="shared" ref="M18:N18" si="15">SUM(M9:M17)</f>
        <v>458671105.49000001</v>
      </c>
      <c r="N18" s="14">
        <f t="shared" si="15"/>
        <v>58189358.150000036</v>
      </c>
      <c r="O18" s="14">
        <f t="shared" ref="O18:P18" si="16">SUM(O9:O17)</f>
        <v>592799624</v>
      </c>
      <c r="P18" s="14">
        <f t="shared" si="16"/>
        <v>134128518.51000001</v>
      </c>
      <c r="Q18" s="14">
        <f t="shared" ref="Q18:R18" si="17">SUM(Q9:Q17)</f>
        <v>764354012.3499999</v>
      </c>
      <c r="R18" s="14">
        <f t="shared" si="17"/>
        <v>171554388.34999996</v>
      </c>
      <c r="S18" s="14">
        <f t="shared" ref="S18:T18" si="18">SUM(S9:S17)</f>
        <v>839822754.45000005</v>
      </c>
      <c r="T18" s="14">
        <f t="shared" si="18"/>
        <v>75468742.100000083</v>
      </c>
      <c r="U18" s="14">
        <f t="shared" ref="U18:V18" si="19">SUM(U9:U17)</f>
        <v>929157059.39999998</v>
      </c>
      <c r="V18" s="14">
        <f t="shared" si="19"/>
        <v>89334304.949999928</v>
      </c>
      <c r="W18" s="84"/>
      <c r="X18" s="84"/>
      <c r="Y18" s="84"/>
      <c r="Z18" s="84"/>
      <c r="AA18" s="12"/>
      <c r="AB18" s="12"/>
    </row>
    <row r="19" spans="1:28" s="15" customFormat="1" x14ac:dyDescent="0.3">
      <c r="A19" s="8" t="s">
        <v>10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84"/>
      <c r="X19" s="84"/>
      <c r="Y19" s="84"/>
      <c r="Z19" s="84"/>
    </row>
    <row r="20" spans="1:28" x14ac:dyDescent="0.3">
      <c r="A20" s="10" t="s">
        <v>21</v>
      </c>
      <c r="B20" s="11">
        <f>VLOOKUP(A20,'TFL A-April,25'!$B$9:$C$95,2,0)</f>
        <v>370</v>
      </c>
      <c r="C20" s="11">
        <f>VLOOKUP(A20,'May-A'!$B$10:$C$103,2,0)</f>
        <v>370</v>
      </c>
      <c r="D20" s="11">
        <f t="shared" ref="D20:D34" si="20">+C20-B20</f>
        <v>0</v>
      </c>
      <c r="E20" s="11">
        <f>VLOOKUP(A20,'June,25-A'!$B$10:$C$123,2,0)</f>
        <v>1170</v>
      </c>
      <c r="F20" s="11">
        <f t="shared" ref="F20:F34" si="21">+E20-C20</f>
        <v>800</v>
      </c>
      <c r="G20" s="66">
        <f>VLOOKUP(A20,'July-A'!$B$10:$C$129,2,0)</f>
        <v>1170</v>
      </c>
      <c r="H20" s="11">
        <f>+G20-E20</f>
        <v>0</v>
      </c>
      <c r="I20" s="11">
        <f>VLOOKUP(A20,'TB-A-Aug'!$B$10:$C$132,2,0)</f>
        <v>1170</v>
      </c>
      <c r="J20" s="11">
        <f>+I20-G20</f>
        <v>0</v>
      </c>
      <c r="K20" s="11">
        <f>VLOOKUP(A20,'TFA-Sept,25'!$B$9:$C$136,2,0)</f>
        <v>1170</v>
      </c>
      <c r="L20" s="11">
        <f>+K20-I20</f>
        <v>0</v>
      </c>
      <c r="M20" s="11">
        <f>VLOOKUP(A20,'PL-TFA-Oct'!$B$9:$C$138,2,0)</f>
        <v>2270</v>
      </c>
      <c r="N20" s="11">
        <f>+M20-K20</f>
        <v>1100</v>
      </c>
      <c r="O20" s="11">
        <f>VLOOKUP(A20,'TFA-Nov,25'!$B$10:$C$144,2,0)</f>
        <v>2470</v>
      </c>
      <c r="P20" s="11">
        <f>+O20-M20</f>
        <v>200</v>
      </c>
      <c r="Q20" s="11">
        <f>VLOOKUP(A20,'TB-TFL-A-Dec,25'!$B$10:$C$147,2,0)</f>
        <v>3275</v>
      </c>
      <c r="R20" s="11">
        <f>+Q20-O20</f>
        <v>805</v>
      </c>
      <c r="S20" s="11">
        <f>VLOOKUP(A20,'TB-TFL-A-Jan,26'!$B$9:$C$151,2,0)</f>
        <v>3275</v>
      </c>
      <c r="T20" s="11">
        <f>+S20-Q20</f>
        <v>0</v>
      </c>
      <c r="U20" s="11">
        <f>VLOOKUP(A20,'TB-Feb,26-a'!$B$10:$C$153,2,0)</f>
        <v>3275</v>
      </c>
      <c r="V20" s="11">
        <f>+U20-S20</f>
        <v>0</v>
      </c>
      <c r="W20" s="83"/>
      <c r="X20" s="83"/>
      <c r="Y20" s="83"/>
      <c r="Z20" s="83"/>
    </row>
    <row r="21" spans="1:28" x14ac:dyDescent="0.3">
      <c r="A21" s="10" t="s">
        <v>12</v>
      </c>
      <c r="B21" s="11">
        <f>VLOOKUP(A21,'TFL A-April,25'!$B$9:$C$95,2,0)</f>
        <v>15803</v>
      </c>
      <c r="C21" s="11">
        <f>VLOOKUP(A21,'May-A'!$B$10:$C$103,2,0)+79714</f>
        <v>304524.24</v>
      </c>
      <c r="D21" s="11">
        <f t="shared" si="20"/>
        <v>288721.24</v>
      </c>
      <c r="E21" s="11">
        <f>VLOOKUP(A21,'June,25-A'!$B$10:$C$123,2,0)</f>
        <v>486121.24</v>
      </c>
      <c r="F21" s="11">
        <f t="shared" si="21"/>
        <v>181597</v>
      </c>
      <c r="G21" s="66">
        <f>VLOOKUP(A21,'July-A'!$B$10:$C$129,2,0)+81644</f>
        <v>2209530.2400000002</v>
      </c>
      <c r="H21" s="11">
        <f t="shared" ref="H21:H34" si="22">+G21-E21</f>
        <v>1723409.0000000002</v>
      </c>
      <c r="I21" s="11">
        <f>VLOOKUP(A21,'TB-A-Aug'!$B$10:$C$132,2,0)-57625</f>
        <v>2668553.2200000002</v>
      </c>
      <c r="J21" s="11">
        <f t="shared" ref="J21:J34" si="23">+I21-G21</f>
        <v>459022.98</v>
      </c>
      <c r="K21" s="11">
        <f>VLOOKUP(A21,'TFA-Sept,25'!$B$9:$C$136,2,0)</f>
        <v>3139356.74</v>
      </c>
      <c r="L21" s="11">
        <f t="shared" ref="L21:L34" si="24">+K21-I21</f>
        <v>470803.52</v>
      </c>
      <c r="M21" s="11">
        <f>VLOOKUP(A21,'PL-TFA-Oct'!$B$9:$C$138,2,0)</f>
        <v>3321370.43</v>
      </c>
      <c r="N21" s="11">
        <f t="shared" ref="N21:N34" si="25">+M21-K21</f>
        <v>182013.68999999994</v>
      </c>
      <c r="O21" s="11">
        <f>VLOOKUP(A21,'TFA-Nov,25'!$B$10:$C$144,2,0)</f>
        <v>3628852.14</v>
      </c>
      <c r="P21" s="11">
        <f t="shared" ref="P21:P35" si="26">+O21-M21</f>
        <v>307481.70999999996</v>
      </c>
      <c r="Q21" s="11">
        <f>VLOOKUP(A21,'TB-TFL-A-Dec,25'!$B$10:$C$147,2,0)+691760+308598</f>
        <v>4645461.04</v>
      </c>
      <c r="R21" s="11">
        <f t="shared" ref="R21:R35" si="27">+Q21-O21</f>
        <v>1016608.8999999999</v>
      </c>
      <c r="S21" s="11">
        <f>VLOOKUP(A21,'TB-TFL-A-Jan,26'!$B$9:$C$151,2,0)+176598+852906</f>
        <v>5114840.1500000004</v>
      </c>
      <c r="T21" s="11">
        <f t="shared" ref="T21:T24" si="28">+S21-Q21</f>
        <v>469379.11000000034</v>
      </c>
      <c r="U21" s="11">
        <f>VLOOKUP(A21,'TB-Feb,26-a'!$B$10:$C$153,2,0)+1026514</f>
        <v>5627752.1500000004</v>
      </c>
      <c r="V21" s="11">
        <f t="shared" ref="V21:V24" si="29">+U21-S21</f>
        <v>512912</v>
      </c>
      <c r="W21" s="83"/>
      <c r="X21" s="83"/>
      <c r="Y21" s="83"/>
      <c r="Z21" s="83"/>
    </row>
    <row r="22" spans="1:28" x14ac:dyDescent="0.3">
      <c r="A22" s="10" t="s">
        <v>11</v>
      </c>
      <c r="B22" s="11">
        <f>VLOOKUP(A22,'TFL A-April,25'!$B$9:$C$95,2,0)</f>
        <v>212973.3</v>
      </c>
      <c r="C22" s="11">
        <f>VLOOKUP(A22,'May-A'!$B$10:$C$103,2,0)</f>
        <v>382533.84</v>
      </c>
      <c r="D22" s="11">
        <f t="shared" si="20"/>
        <v>169560.54000000004</v>
      </c>
      <c r="E22" s="11">
        <f>VLOOKUP(A22,'June,25-A'!$B$10:$C$123,2,0)+617400</f>
        <v>1381133.8399999999</v>
      </c>
      <c r="F22" s="11">
        <f t="shared" si="21"/>
        <v>998599.99999999977</v>
      </c>
      <c r="G22" s="66">
        <f>VLOOKUP(A22,'July-A'!$B$10:$C$129,2,0)+79715+669619</f>
        <v>1717980.44</v>
      </c>
      <c r="H22" s="11">
        <f t="shared" si="22"/>
        <v>336846.60000000009</v>
      </c>
      <c r="I22" s="11">
        <f>VLOOKUP(A22,'TB-A-Aug'!$B$10:$C$132,2,0)+58705+364483+57625</f>
        <v>1717980.44</v>
      </c>
      <c r="J22" s="11">
        <f t="shared" si="23"/>
        <v>0</v>
      </c>
      <c r="K22" s="11">
        <f>VLOOKUP(A22,'TFA-Sept,25'!$B$9:$C$136,2,0)+500508</f>
        <v>2180159.67</v>
      </c>
      <c r="L22" s="11">
        <f t="shared" si="24"/>
        <v>462179.23</v>
      </c>
      <c r="M22" s="11">
        <f>VLOOKUP(A22,'PL-TFA-Oct'!$B$9:$C$138,2,0)+'PL-TFA-Oct'!C69+411085</f>
        <v>2862982.81</v>
      </c>
      <c r="N22" s="11">
        <f t="shared" si="25"/>
        <v>682823.14000000013</v>
      </c>
      <c r="O22" s="11">
        <f>VLOOKUP(A22,'TFA-Nov,25'!$B$10:$C$144,2,0)+'TFA-Nov,25'!C71+631068</f>
        <v>3241559.83</v>
      </c>
      <c r="P22" s="11">
        <f t="shared" si="26"/>
        <v>378577.02</v>
      </c>
      <c r="Q22" s="11">
        <f>VLOOKUP(A22,'TB-TFL-A-Dec,25'!$B$10:$C$147,2,0)</f>
        <v>3456402.83</v>
      </c>
      <c r="R22" s="11">
        <f t="shared" si="27"/>
        <v>214843</v>
      </c>
      <c r="S22" s="11">
        <f>VLOOKUP(A22,'TB-TFL-A-Jan,26'!$B$9:$C$151,2,0)</f>
        <v>3906763.07</v>
      </c>
      <c r="T22" s="11">
        <f t="shared" si="28"/>
        <v>450360.23999999976</v>
      </c>
      <c r="U22" s="11">
        <f>VLOOKUP(A22,'TB-Feb,26-a'!$B$10:$C$153,2,0)</f>
        <v>4065545.76</v>
      </c>
      <c r="V22" s="11">
        <f t="shared" si="29"/>
        <v>158782.68999999994</v>
      </c>
      <c r="W22" s="83"/>
      <c r="X22" s="83"/>
      <c r="Y22" s="83"/>
      <c r="Z22" s="83"/>
    </row>
    <row r="23" spans="1:28" hidden="1" x14ac:dyDescent="0.3">
      <c r="A23" s="10" t="s">
        <v>16</v>
      </c>
      <c r="B23" s="11"/>
      <c r="C23" s="11"/>
      <c r="D23" s="11">
        <f t="shared" si="20"/>
        <v>0</v>
      </c>
      <c r="E23" s="11"/>
      <c r="F23" s="11">
        <f t="shared" si="21"/>
        <v>0</v>
      </c>
      <c r="G23" s="66"/>
      <c r="H23" s="11">
        <f t="shared" si="22"/>
        <v>0</v>
      </c>
      <c r="I23" s="11"/>
      <c r="J23" s="11">
        <f t="shared" si="23"/>
        <v>0</v>
      </c>
      <c r="K23" s="11"/>
      <c r="L23" s="11">
        <f t="shared" si="24"/>
        <v>0</v>
      </c>
      <c r="M23" s="11"/>
      <c r="N23" s="11">
        <f t="shared" si="25"/>
        <v>0</v>
      </c>
      <c r="O23" s="11"/>
      <c r="P23" s="11">
        <f t="shared" si="26"/>
        <v>0</v>
      </c>
      <c r="Q23" s="11"/>
      <c r="R23" s="11">
        <f t="shared" si="27"/>
        <v>0</v>
      </c>
      <c r="S23" s="11"/>
      <c r="T23" s="11">
        <f t="shared" si="28"/>
        <v>0</v>
      </c>
      <c r="U23" s="11"/>
      <c r="V23" s="11">
        <f t="shared" si="29"/>
        <v>0</v>
      </c>
      <c r="W23" s="83"/>
      <c r="X23" s="83"/>
      <c r="Y23" s="83"/>
      <c r="Z23" s="83"/>
    </row>
    <row r="24" spans="1:28" hidden="1" x14ac:dyDescent="0.3">
      <c r="A24" s="10" t="s">
        <v>13</v>
      </c>
      <c r="B24" s="11"/>
      <c r="C24" s="11"/>
      <c r="D24" s="11">
        <f t="shared" si="20"/>
        <v>0</v>
      </c>
      <c r="E24" s="11"/>
      <c r="F24" s="11">
        <f t="shared" si="21"/>
        <v>0</v>
      </c>
      <c r="G24" s="66"/>
      <c r="H24" s="11">
        <f t="shared" si="22"/>
        <v>0</v>
      </c>
      <c r="I24" s="11"/>
      <c r="J24" s="11">
        <f t="shared" si="23"/>
        <v>0</v>
      </c>
      <c r="K24" s="11"/>
      <c r="L24" s="11">
        <f t="shared" si="24"/>
        <v>0</v>
      </c>
      <c r="M24" s="11"/>
      <c r="N24" s="11">
        <f t="shared" si="25"/>
        <v>0</v>
      </c>
      <c r="O24" s="11"/>
      <c r="P24" s="11">
        <f t="shared" si="26"/>
        <v>0</v>
      </c>
      <c r="Q24" s="11"/>
      <c r="R24" s="11">
        <f t="shared" si="27"/>
        <v>0</v>
      </c>
      <c r="S24" s="11"/>
      <c r="T24" s="11">
        <f t="shared" si="28"/>
        <v>0</v>
      </c>
      <c r="U24" s="11"/>
      <c r="V24" s="11">
        <f t="shared" si="29"/>
        <v>0</v>
      </c>
      <c r="W24" s="83"/>
      <c r="X24" s="83"/>
      <c r="Y24" s="83"/>
      <c r="Z24" s="83"/>
    </row>
    <row r="25" spans="1:28" hidden="1" x14ac:dyDescent="0.3">
      <c r="A25" t="s">
        <v>14</v>
      </c>
      <c r="B25" s="11"/>
      <c r="C25" s="11"/>
      <c r="D25" s="11"/>
      <c r="E25" s="11"/>
      <c r="F25" s="11"/>
      <c r="G25" s="66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83"/>
      <c r="X25" s="83"/>
      <c r="Y25" s="83"/>
      <c r="Z25" s="83"/>
    </row>
    <row r="26" spans="1:28" hidden="1" x14ac:dyDescent="0.3">
      <c r="A26" s="10" t="s">
        <v>180</v>
      </c>
      <c r="B26" s="11"/>
      <c r="C26" s="11"/>
      <c r="D26" s="11">
        <f t="shared" si="20"/>
        <v>0</v>
      </c>
      <c r="E26" s="11"/>
      <c r="F26" s="11">
        <f t="shared" si="21"/>
        <v>0</v>
      </c>
      <c r="G26" s="66"/>
      <c r="H26" s="11">
        <f t="shared" si="22"/>
        <v>0</v>
      </c>
      <c r="I26" s="11"/>
      <c r="J26" s="11">
        <f t="shared" si="23"/>
        <v>0</v>
      </c>
      <c r="K26" s="11"/>
      <c r="L26" s="11">
        <f t="shared" si="24"/>
        <v>0</v>
      </c>
      <c r="M26" s="11"/>
      <c r="N26" s="11">
        <f t="shared" si="25"/>
        <v>0</v>
      </c>
      <c r="O26" s="11"/>
      <c r="P26" s="11">
        <f t="shared" si="26"/>
        <v>0</v>
      </c>
      <c r="Q26" s="11"/>
      <c r="R26" s="11">
        <f t="shared" si="27"/>
        <v>0</v>
      </c>
      <c r="S26" s="11"/>
      <c r="T26" s="11">
        <f t="shared" ref="T26:T28" si="30">+S26-Q26</f>
        <v>0</v>
      </c>
      <c r="U26" s="11"/>
      <c r="V26" s="11">
        <f t="shared" ref="V26:V28" si="31">+U26-S26</f>
        <v>0</v>
      </c>
      <c r="W26" s="83"/>
      <c r="X26" s="83"/>
      <c r="Y26" s="83"/>
      <c r="Z26" s="83"/>
    </row>
    <row r="27" spans="1:28" hidden="1" x14ac:dyDescent="0.3">
      <c r="A27" s="10" t="s">
        <v>15</v>
      </c>
      <c r="B27" s="11"/>
      <c r="C27" s="11"/>
      <c r="D27" s="11">
        <f t="shared" si="20"/>
        <v>0</v>
      </c>
      <c r="E27" s="11"/>
      <c r="F27" s="11">
        <f t="shared" si="21"/>
        <v>0</v>
      </c>
      <c r="G27" s="66"/>
      <c r="H27" s="11">
        <f t="shared" si="22"/>
        <v>0</v>
      </c>
      <c r="I27" s="11"/>
      <c r="J27" s="11">
        <f t="shared" si="23"/>
        <v>0</v>
      </c>
      <c r="K27" s="11"/>
      <c r="L27" s="11">
        <f t="shared" si="24"/>
        <v>0</v>
      </c>
      <c r="M27" s="11"/>
      <c r="N27" s="11">
        <f t="shared" si="25"/>
        <v>0</v>
      </c>
      <c r="O27" s="11"/>
      <c r="P27" s="11">
        <f t="shared" si="26"/>
        <v>0</v>
      </c>
      <c r="Q27" s="11"/>
      <c r="R27" s="11">
        <f t="shared" si="27"/>
        <v>0</v>
      </c>
      <c r="S27" s="11"/>
      <c r="T27" s="11">
        <f t="shared" si="30"/>
        <v>0</v>
      </c>
      <c r="U27" s="11"/>
      <c r="V27" s="11">
        <f t="shared" si="31"/>
        <v>0</v>
      </c>
      <c r="W27" s="83"/>
      <c r="X27" s="83"/>
      <c r="Y27" s="83"/>
      <c r="Z27" s="83"/>
    </row>
    <row r="28" spans="1:28" hidden="1" x14ac:dyDescent="0.3">
      <c r="A28" t="s">
        <v>375</v>
      </c>
      <c r="B28" s="11"/>
      <c r="C28" s="11"/>
      <c r="D28" s="11"/>
      <c r="E28" s="11"/>
      <c r="F28" s="11"/>
      <c r="G28" s="66"/>
      <c r="H28" s="11"/>
      <c r="I28" s="11"/>
      <c r="J28" s="11"/>
      <c r="K28" s="11"/>
      <c r="L28" s="11">
        <f t="shared" si="24"/>
        <v>0</v>
      </c>
      <c r="M28" s="11"/>
      <c r="N28" s="11">
        <f t="shared" si="25"/>
        <v>0</v>
      </c>
      <c r="O28" s="11"/>
      <c r="P28" s="11">
        <f t="shared" si="26"/>
        <v>0</v>
      </c>
      <c r="Q28" s="11"/>
      <c r="R28" s="11">
        <f t="shared" si="27"/>
        <v>0</v>
      </c>
      <c r="S28" s="11"/>
      <c r="T28" s="11">
        <f t="shared" si="30"/>
        <v>0</v>
      </c>
      <c r="U28" s="11"/>
      <c r="V28" s="11">
        <f t="shared" si="31"/>
        <v>0</v>
      </c>
      <c r="W28" s="83"/>
      <c r="X28" s="83"/>
      <c r="Y28" s="83"/>
      <c r="Z28" s="83"/>
    </row>
    <row r="29" spans="1:28" hidden="1" x14ac:dyDescent="0.3">
      <c r="A29" t="s">
        <v>18</v>
      </c>
      <c r="B29" s="11"/>
      <c r="C29" s="11"/>
      <c r="D29" s="11"/>
      <c r="E29" s="11"/>
      <c r="F29" s="11"/>
      <c r="G29" s="66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83"/>
      <c r="X29" s="83"/>
      <c r="Y29" s="83"/>
      <c r="Z29" s="83"/>
    </row>
    <row r="30" spans="1:28" hidden="1" x14ac:dyDescent="0.3">
      <c r="A30" t="s">
        <v>392</v>
      </c>
      <c r="B30" s="11"/>
      <c r="C30" s="11"/>
      <c r="D30" s="11"/>
      <c r="E30" s="11"/>
      <c r="F30" s="11"/>
      <c r="G30" s="66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83"/>
      <c r="X30" s="83"/>
      <c r="Y30" s="83"/>
      <c r="Z30" s="83"/>
    </row>
    <row r="31" spans="1:28" ht="15.75" customHeight="1" x14ac:dyDescent="0.3">
      <c r="A31" s="10" t="s">
        <v>20</v>
      </c>
      <c r="B31" s="11"/>
      <c r="C31" s="11">
        <f>+SUM('May-A'!C46:C50)-'May-A'!C48</f>
        <v>207710.2200000002</v>
      </c>
      <c r="D31" s="11">
        <f t="shared" si="20"/>
        <v>207710.2200000002</v>
      </c>
      <c r="E31" s="11">
        <v>207710</v>
      </c>
      <c r="F31" s="11">
        <f t="shared" si="21"/>
        <v>-0.22000000020489097</v>
      </c>
      <c r="G31" s="11">
        <f>256403.22</f>
        <v>256403.22</v>
      </c>
      <c r="H31" s="11">
        <f t="shared" si="22"/>
        <v>48693.22</v>
      </c>
      <c r="I31" s="11">
        <f>268673.22+144964</f>
        <v>413637.22</v>
      </c>
      <c r="J31" s="11">
        <f t="shared" si="23"/>
        <v>157233.99999999997</v>
      </c>
      <c r="K31" s="11">
        <f>VLOOKUP(A31,'TFA-Sept,25'!$B$9:$C$136,2,0)+340147+132287</f>
        <v>474954</v>
      </c>
      <c r="L31" s="11">
        <f t="shared" si="24"/>
        <v>61316.780000000028</v>
      </c>
      <c r="M31" s="11">
        <f>2520+526552-63882+61611+132287</f>
        <v>659088</v>
      </c>
      <c r="N31" s="11">
        <f t="shared" si="25"/>
        <v>184134</v>
      </c>
      <c r="O31" s="11">
        <f>1019685.22+130425</f>
        <v>1150110.22</v>
      </c>
      <c r="P31" s="11">
        <f t="shared" si="26"/>
        <v>491022.22</v>
      </c>
      <c r="Q31" s="11">
        <f>1501885.22+52450+241870</f>
        <v>1796205.22</v>
      </c>
      <c r="R31" s="11">
        <f t="shared" si="27"/>
        <v>646095</v>
      </c>
      <c r="S31" s="11">
        <f>1808425.02</f>
        <v>1808425.02</v>
      </c>
      <c r="T31" s="11">
        <f t="shared" ref="T31:T35" si="32">+S31-Q31</f>
        <v>12219.800000000047</v>
      </c>
      <c r="U31" s="11">
        <v>1974917.46</v>
      </c>
      <c r="V31" s="11">
        <f t="shared" ref="V31:V35" si="33">+U31-S31</f>
        <v>166492.43999999994</v>
      </c>
      <c r="W31" s="83"/>
      <c r="X31" s="83"/>
      <c r="Y31" s="83"/>
      <c r="Z31" s="83"/>
    </row>
    <row r="32" spans="1:28" hidden="1" x14ac:dyDescent="0.3">
      <c r="A32" s="10" t="s">
        <v>17</v>
      </c>
      <c r="B32" s="11"/>
      <c r="C32" s="11"/>
      <c r="D32" s="11">
        <f t="shared" si="20"/>
        <v>0</v>
      </c>
      <c r="E32" s="11"/>
      <c r="F32" s="11">
        <f t="shared" si="21"/>
        <v>0</v>
      </c>
      <c r="G32" s="11"/>
      <c r="H32" s="11">
        <f t="shared" si="22"/>
        <v>0</v>
      </c>
      <c r="I32" s="11"/>
      <c r="J32" s="11">
        <f t="shared" si="23"/>
        <v>0</v>
      </c>
      <c r="K32" s="11"/>
      <c r="L32" s="11">
        <f t="shared" si="24"/>
        <v>0</v>
      </c>
      <c r="M32" s="11"/>
      <c r="N32" s="11">
        <f t="shared" si="25"/>
        <v>0</v>
      </c>
      <c r="O32" s="11"/>
      <c r="P32" s="11">
        <f t="shared" si="26"/>
        <v>0</v>
      </c>
      <c r="Q32" s="11"/>
      <c r="R32" s="11">
        <f t="shared" si="27"/>
        <v>0</v>
      </c>
      <c r="S32" s="11"/>
      <c r="T32" s="11">
        <f t="shared" si="32"/>
        <v>0</v>
      </c>
      <c r="U32" s="11"/>
      <c r="V32" s="11">
        <f t="shared" si="33"/>
        <v>0</v>
      </c>
      <c r="W32" s="83"/>
      <c r="X32" s="83"/>
      <c r="Y32" s="83"/>
      <c r="Z32" s="83"/>
    </row>
    <row r="33" spans="1:28" x14ac:dyDescent="0.3">
      <c r="A33" s="10" t="s">
        <v>376</v>
      </c>
      <c r="B33" s="11"/>
      <c r="C33" s="11"/>
      <c r="D33" s="11"/>
      <c r="E33" s="11"/>
      <c r="F33" s="11"/>
      <c r="G33" s="11"/>
      <c r="H33" s="11"/>
      <c r="I33" s="11"/>
      <c r="J33" s="11"/>
      <c r="K33" s="11">
        <f>VLOOKUP(A33,'TFA-Sept,25'!$B$9:$C$136,2,0)</f>
        <v>88549</v>
      </c>
      <c r="L33" s="11">
        <f t="shared" si="24"/>
        <v>88549</v>
      </c>
      <c r="M33" s="11">
        <f>VLOOKUP(A33,'PL-TFA-Oct'!$B$9:$C$138,2,0)</f>
        <v>88549</v>
      </c>
      <c r="N33" s="11">
        <f t="shared" si="25"/>
        <v>0</v>
      </c>
      <c r="O33" s="11">
        <f>VLOOKUP(A33,'TFA-Nov,25'!$B$10:$C$144,2,0)</f>
        <v>88549</v>
      </c>
      <c r="P33" s="11">
        <f t="shared" si="26"/>
        <v>0</v>
      </c>
      <c r="Q33" s="11">
        <f>VLOOKUP(A33,'TB-TFL-A-Dec,25'!$B$10:$C$147,2,0)</f>
        <v>88549</v>
      </c>
      <c r="R33" s="11">
        <f t="shared" si="27"/>
        <v>0</v>
      </c>
      <c r="S33" s="11">
        <f>VLOOKUP(A33,'TB-TFL-A-Jan,26'!$B$9:$C$151,2,0)</f>
        <v>88549</v>
      </c>
      <c r="T33" s="11">
        <f t="shared" si="32"/>
        <v>0</v>
      </c>
      <c r="U33" s="11">
        <f>VLOOKUP(A33,'TB-Feb,26-a'!$B$10:$C$153,2,0)</f>
        <v>88549</v>
      </c>
      <c r="V33" s="11">
        <f t="shared" si="33"/>
        <v>0</v>
      </c>
      <c r="W33" s="83"/>
      <c r="X33" s="83"/>
      <c r="Y33" s="83"/>
      <c r="Z33" s="83"/>
    </row>
    <row r="34" spans="1:28" x14ac:dyDescent="0.3">
      <c r="A34" s="10" t="s">
        <v>22</v>
      </c>
      <c r="B34" s="11"/>
      <c r="C34" s="11">
        <v>184166</v>
      </c>
      <c r="D34" s="11">
        <f t="shared" si="20"/>
        <v>184166</v>
      </c>
      <c r="E34" s="11">
        <v>183672</v>
      </c>
      <c r="F34" s="11">
        <f t="shared" si="21"/>
        <v>-494</v>
      </c>
      <c r="G34" s="11">
        <v>183672</v>
      </c>
      <c r="H34" s="11">
        <f t="shared" si="22"/>
        <v>0</v>
      </c>
      <c r="I34" s="11">
        <v>183672</v>
      </c>
      <c r="J34" s="11">
        <f t="shared" si="23"/>
        <v>0</v>
      </c>
      <c r="K34" s="11">
        <v>190161</v>
      </c>
      <c r="L34" s="11">
        <f t="shared" si="24"/>
        <v>6489</v>
      </c>
      <c r="M34" s="11">
        <v>190161</v>
      </c>
      <c r="N34" s="11">
        <f t="shared" si="25"/>
        <v>0</v>
      </c>
      <c r="O34" s="11">
        <f>238351+3688936.7508</f>
        <v>3927287.7508</v>
      </c>
      <c r="P34" s="11">
        <f t="shared" si="26"/>
        <v>3737126.7508</v>
      </c>
      <c r="Q34" s="11">
        <f>241278+7604791</f>
        <v>7846069</v>
      </c>
      <c r="R34" s="11">
        <f t="shared" si="27"/>
        <v>3918781.2492</v>
      </c>
      <c r="S34" s="11">
        <f>241278+7604791</f>
        <v>7846069</v>
      </c>
      <c r="T34" s="66">
        <f t="shared" si="32"/>
        <v>0</v>
      </c>
      <c r="U34" s="11">
        <f>VLOOKUP(A34,'TB-Feb,26-a'!$B$10:$C$153,2,0)+2543939+92175</f>
        <v>8387918.4299999997</v>
      </c>
      <c r="V34" s="11">
        <f t="shared" si="33"/>
        <v>541849.4299999997</v>
      </c>
      <c r="W34" s="83"/>
      <c r="X34" s="83"/>
      <c r="Y34" s="83"/>
      <c r="Z34" s="83"/>
    </row>
    <row r="35" spans="1:28" x14ac:dyDescent="0.3">
      <c r="A35" s="10" t="s">
        <v>23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>
        <f>VLOOKUP(A35,'TFA-Nov,25'!$B$10:$C$144,2,0)</f>
        <v>70000</v>
      </c>
      <c r="P35" s="11">
        <f t="shared" si="26"/>
        <v>70000</v>
      </c>
      <c r="Q35" s="11">
        <f>VLOOKUP(A35,'TB-TFL-A-Dec,25'!$B$10:$C$147,2,0)</f>
        <v>70000</v>
      </c>
      <c r="R35" s="11">
        <f t="shared" si="27"/>
        <v>0</v>
      </c>
      <c r="S35" s="11">
        <f>VLOOKUP(A35,'TB-TFL-A-Jan,26'!$B$9:$C$151,2,0)</f>
        <v>70000</v>
      </c>
      <c r="T35" s="11">
        <f t="shared" si="32"/>
        <v>0</v>
      </c>
      <c r="U35" s="11">
        <f>VLOOKUP(A35,'TB-Feb,26-a'!$B$10:$C$153,2,0)</f>
        <v>70000</v>
      </c>
      <c r="V35" s="11">
        <f t="shared" si="33"/>
        <v>0</v>
      </c>
      <c r="W35" s="83"/>
      <c r="X35" s="83"/>
      <c r="Y35" s="83"/>
      <c r="Z35" s="83"/>
    </row>
    <row r="36" spans="1:28" s="15" customFormat="1" x14ac:dyDescent="0.3">
      <c r="A36" s="13" t="s">
        <v>24</v>
      </c>
      <c r="B36" s="14">
        <f t="shared" ref="B36:L36" si="34">SUM(B20:B34)</f>
        <v>229146.3</v>
      </c>
      <c r="C36" s="14">
        <f t="shared" si="34"/>
        <v>1079304.3000000003</v>
      </c>
      <c r="D36" s="14">
        <f t="shared" si="34"/>
        <v>850158.00000000023</v>
      </c>
      <c r="E36" s="14">
        <f t="shared" si="34"/>
        <v>2259807.08</v>
      </c>
      <c r="F36" s="14">
        <f t="shared" si="34"/>
        <v>1180502.7799999996</v>
      </c>
      <c r="G36" s="14">
        <f t="shared" si="34"/>
        <v>4368755.9000000004</v>
      </c>
      <c r="H36" s="14">
        <f t="shared" si="34"/>
        <v>2108948.8200000003</v>
      </c>
      <c r="I36" s="14">
        <f t="shared" si="34"/>
        <v>4985012.88</v>
      </c>
      <c r="J36" s="14">
        <f t="shared" si="34"/>
        <v>616256.98</v>
      </c>
      <c r="K36" s="14">
        <f t="shared" si="34"/>
        <v>6074350.4100000001</v>
      </c>
      <c r="L36" s="14">
        <f t="shared" si="34"/>
        <v>1089337.53</v>
      </c>
      <c r="M36" s="14">
        <f t="shared" ref="M36:N36" si="35">SUM(M20:M34)</f>
        <v>7124421.2400000002</v>
      </c>
      <c r="N36" s="14">
        <f t="shared" si="35"/>
        <v>1050070.83</v>
      </c>
      <c r="O36" s="14">
        <f t="shared" ref="O36:T36" si="36">SUM(O20:O35)</f>
        <v>12108828.9408</v>
      </c>
      <c r="P36" s="14">
        <f t="shared" si="36"/>
        <v>4984407.7007999998</v>
      </c>
      <c r="Q36" s="14">
        <f t="shared" si="36"/>
        <v>17905962.09</v>
      </c>
      <c r="R36" s="14">
        <f t="shared" si="36"/>
        <v>5797133.1491999999</v>
      </c>
      <c r="S36" s="14">
        <f t="shared" si="36"/>
        <v>18837921.240000002</v>
      </c>
      <c r="T36" s="14">
        <f t="shared" si="36"/>
        <v>931959.15000000014</v>
      </c>
      <c r="U36" s="14">
        <f t="shared" ref="U36:V36" si="37">SUM(U20:U35)</f>
        <v>20217957.800000001</v>
      </c>
      <c r="V36" s="14">
        <f t="shared" si="37"/>
        <v>1380036.5599999996</v>
      </c>
      <c r="W36" s="84"/>
      <c r="X36" s="84"/>
      <c r="Y36" s="84"/>
      <c r="Z36" s="84"/>
      <c r="AA36" s="12"/>
      <c r="AB36" s="12"/>
    </row>
    <row r="37" spans="1:28" s="15" customFormat="1" x14ac:dyDescent="0.3">
      <c r="A37" s="21" t="s">
        <v>25</v>
      </c>
      <c r="B37" s="22">
        <f t="shared" ref="B37:L37" si="38">B18-B36</f>
        <v>49362792.450000003</v>
      </c>
      <c r="C37" s="22">
        <f t="shared" si="38"/>
        <v>111553883.7</v>
      </c>
      <c r="D37" s="22">
        <f t="shared" si="38"/>
        <v>62191091.25</v>
      </c>
      <c r="E37" s="22">
        <f t="shared" si="38"/>
        <v>167492244.26999998</v>
      </c>
      <c r="F37" s="22">
        <f t="shared" si="38"/>
        <v>55938360.569999993</v>
      </c>
      <c r="G37" s="22">
        <f t="shared" si="38"/>
        <v>256474379.59</v>
      </c>
      <c r="H37" s="22">
        <f t="shared" si="38"/>
        <v>88982135.320000023</v>
      </c>
      <c r="I37" s="22">
        <f t="shared" si="38"/>
        <v>317870139.41000003</v>
      </c>
      <c r="J37" s="22">
        <f t="shared" si="38"/>
        <v>61395759.820000015</v>
      </c>
      <c r="K37" s="22">
        <f t="shared" si="38"/>
        <v>394407396.92999995</v>
      </c>
      <c r="L37" s="22">
        <f t="shared" si="38"/>
        <v>76537257.519999951</v>
      </c>
      <c r="M37" s="22">
        <f t="shared" ref="M37:N37" si="39">M18-M36</f>
        <v>451546684.25</v>
      </c>
      <c r="N37" s="22">
        <f t="shared" si="39"/>
        <v>57139287.320000038</v>
      </c>
      <c r="O37" s="22">
        <f t="shared" ref="O37:P37" si="40">O18-O36</f>
        <v>580690795.05920005</v>
      </c>
      <c r="P37" s="22">
        <f t="shared" si="40"/>
        <v>129144110.8092</v>
      </c>
      <c r="Q37" s="22">
        <f t="shared" ref="Q37:R37" si="41">Q18-Q36</f>
        <v>746448050.25999987</v>
      </c>
      <c r="R37" s="22">
        <f t="shared" si="41"/>
        <v>165757255.20079997</v>
      </c>
      <c r="S37" s="22">
        <f t="shared" ref="S37:T37" si="42">S18-S36</f>
        <v>820984833.21000004</v>
      </c>
      <c r="T37" s="22">
        <f t="shared" si="42"/>
        <v>74536782.950000077</v>
      </c>
      <c r="U37" s="22">
        <f t="shared" ref="U37:V37" si="43">U18-U36</f>
        <v>908939101.60000002</v>
      </c>
      <c r="V37" s="22">
        <f t="shared" si="43"/>
        <v>87954268.389999926</v>
      </c>
      <c r="W37" s="84"/>
      <c r="X37" s="84"/>
      <c r="Y37" s="84"/>
      <c r="Z37" s="84"/>
      <c r="AA37" s="12"/>
      <c r="AB37" s="12"/>
    </row>
    <row r="38" spans="1:28" s="15" customFormat="1" x14ac:dyDescent="0.3">
      <c r="A38" s="8" t="s">
        <v>26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84"/>
      <c r="X38" s="84"/>
      <c r="Y38" s="84"/>
      <c r="Z38" s="84"/>
    </row>
    <row r="39" spans="1:28" s="15" customFormat="1" x14ac:dyDescent="0.3">
      <c r="A39" s="10" t="s">
        <v>30</v>
      </c>
      <c r="B39" s="11"/>
      <c r="C39" s="11">
        <v>517983</v>
      </c>
      <c r="D39" s="11">
        <f t="shared" ref="D39:D42" si="44">+C39-B39</f>
        <v>517983</v>
      </c>
      <c r="E39" s="11">
        <f>VLOOKUP(A39,'June,25-A'!$B$10:$C$123,2,0)+2190</f>
        <v>517983</v>
      </c>
      <c r="F39" s="11">
        <f t="shared" ref="F39" si="45">+E39-D39</f>
        <v>0</v>
      </c>
      <c r="G39" s="11">
        <f>VLOOKUP(A39,'July-A'!$B$10:$C$129,2,0)+45560</f>
        <v>836371</v>
      </c>
      <c r="H39" s="11">
        <f>+G39-E39</f>
        <v>318388</v>
      </c>
      <c r="I39" s="11">
        <f>VLOOKUP(A39,'TB-A-Aug'!$B$10:$C$132,2,0)+329601</f>
        <v>1163782</v>
      </c>
      <c r="J39" s="11">
        <f>+I39-G39</f>
        <v>327411</v>
      </c>
      <c r="K39" s="11">
        <f>VLOOKUP(A39,'TFA-Sept,25'!$B$9:$C$136,2,0)+372686</f>
        <v>1248612</v>
      </c>
      <c r="L39" s="11">
        <f>+K39-I39</f>
        <v>84830</v>
      </c>
      <c r="M39" s="11">
        <f>VLOOKUP(A39,'PL-TFA-Oct'!$B$9:$C$138,2,0)+790611</f>
        <v>1751367</v>
      </c>
      <c r="N39" s="11">
        <f>+M39-K39</f>
        <v>502755</v>
      </c>
      <c r="O39" s="11">
        <f>VLOOKUP(A39,'TFA-Nov,25'!$B$10:$C$144,2,0)+1948603</f>
        <v>3861478</v>
      </c>
      <c r="P39" s="11">
        <f>+O39-M39</f>
        <v>2110111</v>
      </c>
      <c r="Q39" s="11">
        <f>VLOOKUP(A39,'TB-TFL-A-Dec,25'!$B$10:$C$147,2,0)-427543+3559740</f>
        <v>6018309</v>
      </c>
      <c r="R39" s="11">
        <f>+Q39-O39</f>
        <v>2156831</v>
      </c>
      <c r="S39" s="11">
        <f>VLOOKUP(A39,'TB-TFL-A-Jan,26'!$B$9:$C$151,2,0)+875342-209645</f>
        <v>6018905</v>
      </c>
      <c r="T39" s="11">
        <f>+S39-Q39</f>
        <v>596</v>
      </c>
      <c r="U39" s="11">
        <f>VLOOKUP(A39,'TB-Feb,26-a'!$B$10:$C$153,2,0)+1301521</f>
        <v>6655556</v>
      </c>
      <c r="V39" s="11">
        <f>+U39-S39</f>
        <v>636651</v>
      </c>
      <c r="W39" s="83"/>
      <c r="X39" s="83"/>
      <c r="Y39" s="83"/>
      <c r="Z39" s="83"/>
    </row>
    <row r="40" spans="1:28" x14ac:dyDescent="0.3">
      <c r="A40" s="10" t="s">
        <v>28</v>
      </c>
      <c r="B40" s="11"/>
      <c r="C40" s="11">
        <f>VLOOKUP(A40,'May-A'!$B$10:$C$103,2,0)</f>
        <v>316074</v>
      </c>
      <c r="D40" s="11">
        <f t="shared" si="44"/>
        <v>316074</v>
      </c>
      <c r="E40" s="11">
        <f>VLOOKUP(A40,'June,25-A'!$B$10:$C$123,2,0)</f>
        <v>316074</v>
      </c>
      <c r="F40" s="11">
        <f t="shared" ref="F40:F44" si="46">+E40-C40</f>
        <v>0</v>
      </c>
      <c r="G40" s="11">
        <f>VLOOKUP(A40,'July-A'!$B$10:$C$129,2,0)</f>
        <v>316074</v>
      </c>
      <c r="H40" s="11">
        <f t="shared" ref="H40:H44" si="47">+G40-E40</f>
        <v>0</v>
      </c>
      <c r="I40" s="11">
        <f>VLOOKUP(A40,'TB-A-Aug'!$B$10:$C$132,2,0)</f>
        <v>316074</v>
      </c>
      <c r="J40" s="11">
        <f t="shared" ref="J40:J44" si="48">+I40-G40</f>
        <v>0</v>
      </c>
      <c r="K40" s="11">
        <f>VLOOKUP(A40,'TFA-Sept,25'!$B$9:$C$136,2,0)</f>
        <v>6259301</v>
      </c>
      <c r="L40" s="11">
        <f t="shared" ref="L40:L44" si="49">+K40-I40</f>
        <v>5943227</v>
      </c>
      <c r="M40" s="11">
        <f>VLOOKUP(A40,'PL-TFA-Oct'!$B$9:$C$138,2,0)</f>
        <v>6259301</v>
      </c>
      <c r="N40" s="11">
        <f t="shared" ref="N40:N44" si="50">+M40-K40</f>
        <v>0</v>
      </c>
      <c r="O40" s="11">
        <f>VLOOKUP(A40,'TFA-Nov,25'!$B$10:$C$144,2,0)</f>
        <v>6259301</v>
      </c>
      <c r="P40" s="11">
        <f t="shared" ref="P40:P44" si="51">+O40-M40</f>
        <v>0</v>
      </c>
      <c r="Q40" s="11">
        <f>VLOOKUP(A40,'TB-TFL-A-Dec,25'!$B$10:$C$147,2,0)</f>
        <v>6259301</v>
      </c>
      <c r="R40" s="11">
        <f t="shared" ref="R40:R44" si="52">+Q40-O40</f>
        <v>0</v>
      </c>
      <c r="S40" s="11">
        <f>VLOOKUP(A40,'TB-TFL-A-Jan,26'!$B$9:$C$151,2,0)</f>
        <v>7320935</v>
      </c>
      <c r="T40" s="11">
        <f t="shared" ref="T40:T44" si="53">+S40-Q40</f>
        <v>1061634</v>
      </c>
      <c r="U40" s="11">
        <f>VLOOKUP(A40,'TB-Feb,26-a'!$B$10:$C$153,2,0)</f>
        <v>7320935</v>
      </c>
      <c r="V40" s="11">
        <f t="shared" ref="V40:V44" si="54">+U40-S40</f>
        <v>0</v>
      </c>
      <c r="W40" s="83"/>
      <c r="X40" s="83"/>
      <c r="Y40" s="83"/>
      <c r="Z40" s="83"/>
    </row>
    <row r="41" spans="1:28" x14ac:dyDescent="0.3">
      <c r="A41" s="20" t="s">
        <v>183</v>
      </c>
      <c r="B41" s="11"/>
      <c r="C41" s="11">
        <f>-C40</f>
        <v>-316074</v>
      </c>
      <c r="D41" s="11">
        <f t="shared" si="44"/>
        <v>-316074</v>
      </c>
      <c r="E41" s="11">
        <f>-E40</f>
        <v>-316074</v>
      </c>
      <c r="F41" s="11">
        <f t="shared" si="46"/>
        <v>0</v>
      </c>
      <c r="G41" s="11">
        <f>-G40</f>
        <v>-316074</v>
      </c>
      <c r="H41" s="11">
        <f t="shared" si="47"/>
        <v>0</v>
      </c>
      <c r="I41" s="11">
        <f>-I40</f>
        <v>-316074</v>
      </c>
      <c r="J41" s="11">
        <f t="shared" si="48"/>
        <v>0</v>
      </c>
      <c r="K41" s="11">
        <f>-K40</f>
        <v>-6259301</v>
      </c>
      <c r="L41" s="11">
        <f t="shared" si="49"/>
        <v>-5943227</v>
      </c>
      <c r="M41" s="11">
        <f>-M40</f>
        <v>-6259301</v>
      </c>
      <c r="N41" s="11">
        <f t="shared" si="50"/>
        <v>0</v>
      </c>
      <c r="O41" s="11">
        <f>-O40</f>
        <v>-6259301</v>
      </c>
      <c r="P41" s="11">
        <f t="shared" si="51"/>
        <v>0</v>
      </c>
      <c r="Q41" s="11">
        <f>-Q40</f>
        <v>-6259301</v>
      </c>
      <c r="R41" s="11">
        <f t="shared" si="52"/>
        <v>0</v>
      </c>
      <c r="S41" s="11">
        <f>-S40</f>
        <v>-7320935</v>
      </c>
      <c r="T41" s="11">
        <f t="shared" si="53"/>
        <v>-1061634</v>
      </c>
      <c r="U41" s="11">
        <f>-U40</f>
        <v>-7320935</v>
      </c>
      <c r="V41" s="11">
        <f t="shared" si="54"/>
        <v>0</v>
      </c>
      <c r="W41" s="83"/>
      <c r="X41" s="83"/>
      <c r="Y41" s="83"/>
      <c r="Z41" s="83"/>
    </row>
    <row r="42" spans="1:28" x14ac:dyDescent="0.3">
      <c r="A42" s="20" t="s">
        <v>184</v>
      </c>
      <c r="B42" s="16"/>
      <c r="C42" s="16">
        <v>859887</v>
      </c>
      <c r="D42" s="11">
        <f t="shared" si="44"/>
        <v>859887</v>
      </c>
      <c r="E42" s="11">
        <v>859887</v>
      </c>
      <c r="F42" s="11">
        <f t="shared" si="46"/>
        <v>0</v>
      </c>
      <c r="G42" s="11">
        <v>1347177</v>
      </c>
      <c r="H42" s="11">
        <f t="shared" si="47"/>
        <v>487290</v>
      </c>
      <c r="I42" s="11">
        <v>1755145</v>
      </c>
      <c r="J42" s="11">
        <f t="shared" si="48"/>
        <v>407968</v>
      </c>
      <c r="K42" s="11">
        <v>1849897</v>
      </c>
      <c r="L42" s="11">
        <f t="shared" si="49"/>
        <v>94752</v>
      </c>
      <c r="M42" s="11">
        <v>2694207</v>
      </c>
      <c r="N42" s="11">
        <f t="shared" si="50"/>
        <v>844310</v>
      </c>
      <c r="O42" s="102">
        <v>5431594</v>
      </c>
      <c r="P42" s="11">
        <f t="shared" si="51"/>
        <v>2737387</v>
      </c>
      <c r="Q42" s="11">
        <f>4042289+4093906</f>
        <v>8136195</v>
      </c>
      <c r="R42" s="11">
        <f t="shared" si="52"/>
        <v>2704601</v>
      </c>
      <c r="S42" s="11">
        <v>8137208</v>
      </c>
      <c r="T42" s="11">
        <f t="shared" si="53"/>
        <v>1013</v>
      </c>
      <c r="U42" s="11">
        <v>8978541</v>
      </c>
      <c r="V42" s="11">
        <f t="shared" si="54"/>
        <v>841333</v>
      </c>
      <c r="W42" s="83"/>
      <c r="X42" s="83"/>
      <c r="Y42" s="83"/>
      <c r="Z42" s="83"/>
    </row>
    <row r="43" spans="1:28" x14ac:dyDescent="0.3">
      <c r="A43" s="10" t="s">
        <v>181</v>
      </c>
      <c r="B43" s="11">
        <f>VLOOKUP(A43,'TFL A-April,25'!$B$9:$C$95,2,0)</f>
        <v>21100</v>
      </c>
      <c r="C43" s="11">
        <f>VLOOKUP(A43,'May-A'!$B$10:$C$103,2,0)</f>
        <v>75856</v>
      </c>
      <c r="D43" s="11">
        <f t="shared" ref="D43" si="55">+C43-B43</f>
        <v>54756</v>
      </c>
      <c r="E43" s="11">
        <f>VLOOKUP(A43,'June,25-A'!$B$10:$C$123,2,0)</f>
        <v>122094</v>
      </c>
      <c r="F43" s="11">
        <f t="shared" si="46"/>
        <v>46238</v>
      </c>
      <c r="G43" s="11">
        <f>VLOOKUP(A43,'July-A'!$B$10:$C$129,2,0)</f>
        <v>155784</v>
      </c>
      <c r="H43" s="11">
        <f t="shared" si="47"/>
        <v>33690</v>
      </c>
      <c r="I43" s="11">
        <f>VLOOKUP(A43,'TB-A-Aug'!$B$10:$C$132,2,0)</f>
        <v>510434</v>
      </c>
      <c r="J43" s="11">
        <f t="shared" si="48"/>
        <v>354650</v>
      </c>
      <c r="K43" s="11">
        <f>VLOOKUP(A43,'TFA-Sept,25'!$B$9:$C$136,2,0)</f>
        <v>533514</v>
      </c>
      <c r="L43" s="11">
        <f t="shared" si="49"/>
        <v>23080</v>
      </c>
      <c r="M43" s="11">
        <f>VLOOKUP(A43,'PL-TFA-Oct'!$B$9:$C$138,2,0)</f>
        <v>533514</v>
      </c>
      <c r="N43" s="11">
        <f t="shared" si="50"/>
        <v>0</v>
      </c>
      <c r="O43" s="11">
        <f>VLOOKUP(A43,'TFA-Nov,25'!$B$10:$C$144,2,0)</f>
        <v>575364</v>
      </c>
      <c r="P43" s="11">
        <f t="shared" si="51"/>
        <v>41850</v>
      </c>
      <c r="Q43" s="11">
        <f>VLOOKUP(A43,'TB-TFL-A-Dec,25'!$B$10:$C$147,2,0)</f>
        <v>627514</v>
      </c>
      <c r="R43" s="11">
        <f t="shared" si="52"/>
        <v>52150</v>
      </c>
      <c r="S43" s="11">
        <f>VLOOKUP(A43,'TB-TFL-A-Jan,26'!$B$9:$C$151,2,0)</f>
        <v>644564</v>
      </c>
      <c r="T43" s="11">
        <f t="shared" si="53"/>
        <v>17050</v>
      </c>
      <c r="U43" s="11">
        <f>VLOOKUP(A43,'TB-Feb,26-a'!$B$10:$C$153,2,0)</f>
        <v>682214</v>
      </c>
      <c r="V43" s="11">
        <f t="shared" si="54"/>
        <v>37650</v>
      </c>
      <c r="W43" s="83"/>
      <c r="X43" s="83"/>
      <c r="Y43" s="83"/>
      <c r="Z43" s="83"/>
    </row>
    <row r="44" spans="1:28" x14ac:dyDescent="0.3">
      <c r="A44" t="s">
        <v>182</v>
      </c>
      <c r="B44" s="11">
        <f>VLOOKUP(A44,'TFL A-April,25'!$B$9:$C$95,2,0)</f>
        <v>235670</v>
      </c>
      <c r="C44" s="11">
        <f>VLOOKUP(A44,'May-A'!$B$10:$C$103,2,0)</f>
        <v>864560</v>
      </c>
      <c r="D44" s="11">
        <f t="shared" ref="D44" si="56">+C44-B44</f>
        <v>628890</v>
      </c>
      <c r="E44" s="11">
        <f>VLOOKUP(A44,'June,25-A'!$B$10:$C$123,2,0)</f>
        <v>1524524</v>
      </c>
      <c r="F44" s="11">
        <f t="shared" si="46"/>
        <v>659964</v>
      </c>
      <c r="G44" s="11">
        <f>VLOOKUP(A44,'July-A'!$B$10:$C$129,2,0)</f>
        <v>2117005</v>
      </c>
      <c r="H44" s="11">
        <f t="shared" si="47"/>
        <v>592481</v>
      </c>
      <c r="I44" s="11">
        <f>VLOOKUP(A44,'TB-A-Aug'!$B$10:$C$132,2,0)</f>
        <v>2839665</v>
      </c>
      <c r="J44" s="11">
        <f t="shared" si="48"/>
        <v>722660</v>
      </c>
      <c r="K44" s="11">
        <f>VLOOKUP(A44,'TFA-Sept,25'!$B$9:$C$136,2,0)</f>
        <v>3196865</v>
      </c>
      <c r="L44" s="11">
        <f t="shared" si="49"/>
        <v>357200</v>
      </c>
      <c r="M44" s="11">
        <f>VLOOKUP(A44,'PL-TFA-Oct'!$B$9:$C$138,2,0)</f>
        <v>3839855</v>
      </c>
      <c r="N44" s="11">
        <f t="shared" si="50"/>
        <v>642990</v>
      </c>
      <c r="O44" s="11">
        <f>VLOOKUP(A44,'TFA-Nov,25'!$B$10:$C$144,2,0)</f>
        <v>4155695</v>
      </c>
      <c r="P44" s="11">
        <f t="shared" si="51"/>
        <v>315840</v>
      </c>
      <c r="Q44" s="11">
        <f>VLOOKUP(A44,'TB-TFL-A-Dec,25'!$B$10:$C$147,2,0)</f>
        <v>5026115</v>
      </c>
      <c r="R44" s="11">
        <f t="shared" si="52"/>
        <v>870420</v>
      </c>
      <c r="S44" s="11">
        <f>VLOOKUP(A44,'TB-TFL-A-Jan,26'!$B$9:$C$151,2,0)</f>
        <v>5800745</v>
      </c>
      <c r="T44" s="11">
        <f t="shared" si="53"/>
        <v>774630</v>
      </c>
      <c r="U44" s="11">
        <f>VLOOKUP(A44,'TB-Feb,26-a'!$B$10:$C$153,2,0)</f>
        <v>6318995</v>
      </c>
      <c r="V44" s="11">
        <f t="shared" si="54"/>
        <v>518250</v>
      </c>
      <c r="W44" s="83"/>
      <c r="X44" s="83"/>
      <c r="Y44" s="83"/>
      <c r="Z44" s="83"/>
    </row>
    <row r="45" spans="1:28" x14ac:dyDescent="0.3">
      <c r="A45" s="13" t="s">
        <v>31</v>
      </c>
      <c r="B45" s="14">
        <f>SUM(B39:B44)</f>
        <v>256770</v>
      </c>
      <c r="C45" s="14">
        <f t="shared" ref="C45:D45" si="57">SUM(C39:C44)</f>
        <v>2318286</v>
      </c>
      <c r="D45" s="14">
        <f t="shared" si="57"/>
        <v>2061516</v>
      </c>
      <c r="E45" s="14">
        <f t="shared" ref="E45:F45" si="58">SUM(E39:E44)</f>
        <v>3024488</v>
      </c>
      <c r="F45" s="14">
        <f t="shared" si="58"/>
        <v>706202</v>
      </c>
      <c r="G45" s="14">
        <f t="shared" ref="G45:H45" si="59">SUM(G39:G44)</f>
        <v>4456337</v>
      </c>
      <c r="H45" s="14">
        <f t="shared" si="59"/>
        <v>1431849</v>
      </c>
      <c r="I45" s="14">
        <f t="shared" ref="I45:J45" si="60">SUM(I39:I44)</f>
        <v>6269026</v>
      </c>
      <c r="J45" s="14">
        <f t="shared" si="60"/>
        <v>1812689</v>
      </c>
      <c r="K45" s="14">
        <f t="shared" ref="K45:L45" si="61">SUM(K39:K44)</f>
        <v>6828888</v>
      </c>
      <c r="L45" s="14">
        <f t="shared" si="61"/>
        <v>559862</v>
      </c>
      <c r="M45" s="14">
        <f t="shared" ref="M45:N45" si="62">SUM(M39:M44)</f>
        <v>8818943</v>
      </c>
      <c r="N45" s="14">
        <f t="shared" si="62"/>
        <v>1990055</v>
      </c>
      <c r="O45" s="14">
        <f t="shared" ref="O45:P45" si="63">SUM(O39:O44)</f>
        <v>14024131</v>
      </c>
      <c r="P45" s="14">
        <f t="shared" si="63"/>
        <v>5205188</v>
      </c>
      <c r="Q45" s="14">
        <f t="shared" ref="Q45:R45" si="64">SUM(Q39:Q44)</f>
        <v>19808133</v>
      </c>
      <c r="R45" s="14">
        <f t="shared" si="64"/>
        <v>5784002</v>
      </c>
      <c r="S45" s="14">
        <f t="shared" ref="S45:T45" si="65">SUM(S39:S44)</f>
        <v>20601422</v>
      </c>
      <c r="T45" s="14">
        <f t="shared" si="65"/>
        <v>793289</v>
      </c>
      <c r="U45" s="14">
        <f t="shared" ref="U45:V45" si="66">SUM(U39:U44)</f>
        <v>22635306</v>
      </c>
      <c r="V45" s="14">
        <f t="shared" si="66"/>
        <v>2033884</v>
      </c>
      <c r="W45" s="84"/>
      <c r="X45" s="84"/>
      <c r="Y45" s="84"/>
      <c r="Z45" s="84"/>
      <c r="AA45" s="12"/>
      <c r="AB45" s="12"/>
    </row>
    <row r="46" spans="1:28" x14ac:dyDescent="0.3">
      <c r="A46" s="21" t="s">
        <v>185</v>
      </c>
      <c r="B46" s="22">
        <f>B37+B45</f>
        <v>49619562.450000003</v>
      </c>
      <c r="C46" s="22">
        <f t="shared" ref="C46:D46" si="67">C37+C45</f>
        <v>113872169.7</v>
      </c>
      <c r="D46" s="22">
        <f t="shared" si="67"/>
        <v>64252607.25</v>
      </c>
      <c r="E46" s="22">
        <f t="shared" ref="E46:F46" si="68">E37+E45</f>
        <v>170516732.26999998</v>
      </c>
      <c r="F46" s="22">
        <f t="shared" si="68"/>
        <v>56644562.569999993</v>
      </c>
      <c r="G46" s="22">
        <f t="shared" ref="G46:H46" si="69">G37+G45</f>
        <v>260930716.59</v>
      </c>
      <c r="H46" s="22">
        <f t="shared" si="69"/>
        <v>90413984.320000023</v>
      </c>
      <c r="I46" s="22">
        <f t="shared" ref="I46:J46" si="70">I37+I45</f>
        <v>324139165.41000003</v>
      </c>
      <c r="J46" s="22">
        <f t="shared" si="70"/>
        <v>63208448.820000015</v>
      </c>
      <c r="K46" s="22">
        <f t="shared" ref="K46:L46" si="71">K37+K45</f>
        <v>401236284.92999995</v>
      </c>
      <c r="L46" s="22">
        <f t="shared" si="71"/>
        <v>77097119.519999951</v>
      </c>
      <c r="M46" s="22">
        <f t="shared" ref="M46:N46" si="72">M37+M45</f>
        <v>460365627.25</v>
      </c>
      <c r="N46" s="22">
        <f t="shared" si="72"/>
        <v>59129342.320000038</v>
      </c>
      <c r="O46" s="22">
        <f t="shared" ref="O46:P46" si="73">O37+O45</f>
        <v>594714926.05920005</v>
      </c>
      <c r="P46" s="22">
        <f t="shared" si="73"/>
        <v>134349298.80919999</v>
      </c>
      <c r="Q46" s="22">
        <f t="shared" ref="Q46:R46" si="74">Q37+Q45</f>
        <v>766256183.25999987</v>
      </c>
      <c r="R46" s="22">
        <f t="shared" si="74"/>
        <v>171541257.20079997</v>
      </c>
      <c r="S46" s="22">
        <f t="shared" ref="S46:T46" si="75">S37+S45</f>
        <v>841586255.21000004</v>
      </c>
      <c r="T46" s="22">
        <f t="shared" si="75"/>
        <v>75330071.950000077</v>
      </c>
      <c r="U46" s="22">
        <f t="shared" ref="U46:V46" si="76">U37+U45</f>
        <v>931574407.60000002</v>
      </c>
      <c r="V46" s="22">
        <f t="shared" si="76"/>
        <v>89988152.389999926</v>
      </c>
      <c r="W46" s="84"/>
      <c r="X46" s="84"/>
      <c r="Y46" s="84"/>
      <c r="Z46" s="84"/>
      <c r="AA46" s="12"/>
      <c r="AB46" s="12"/>
    </row>
    <row r="47" spans="1:28" x14ac:dyDescent="0.3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84"/>
      <c r="X47" s="84"/>
      <c r="Y47" s="84"/>
      <c r="Z47" s="84"/>
    </row>
    <row r="48" spans="1:28" x14ac:dyDescent="0.3">
      <c r="A48" s="8" t="s">
        <v>33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84"/>
      <c r="X48" s="84"/>
      <c r="Y48" s="84"/>
      <c r="Z48" s="84"/>
    </row>
    <row r="49" spans="1:185" x14ac:dyDescent="0.3">
      <c r="A49" s="13" t="s">
        <v>34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84"/>
      <c r="X49" s="84"/>
      <c r="Y49" s="84"/>
      <c r="Z49" s="84"/>
    </row>
    <row r="50" spans="1:185" x14ac:dyDescent="0.3">
      <c r="A50" s="10" t="s">
        <v>35</v>
      </c>
      <c r="B50" s="11">
        <f>162055789-564066</f>
        <v>161491723</v>
      </c>
      <c r="C50" s="11">
        <f>162055789-564066</f>
        <v>161491723</v>
      </c>
      <c r="D50" s="11">
        <f t="shared" ref="D50" si="77">+C50-B50</f>
        <v>0</v>
      </c>
      <c r="E50" s="11">
        <f>162055789-564066</f>
        <v>161491723</v>
      </c>
      <c r="F50" s="11">
        <f>+E50-C50</f>
        <v>0</v>
      </c>
      <c r="G50" s="11">
        <f>162055789-564066</f>
        <v>161491723</v>
      </c>
      <c r="H50" s="11">
        <f>+G50-E50</f>
        <v>0</v>
      </c>
      <c r="I50" s="11">
        <f>162055789-564066</f>
        <v>161491723</v>
      </c>
      <c r="J50" s="11">
        <f>+I50-G50</f>
        <v>0</v>
      </c>
      <c r="K50" s="11">
        <f>162055789-564066</f>
        <v>161491723</v>
      </c>
      <c r="L50" s="11">
        <f>+K50-I50</f>
        <v>0</v>
      </c>
      <c r="M50" s="11">
        <f>162055789-564066</f>
        <v>161491723</v>
      </c>
      <c r="N50" s="11">
        <f>+M50-K50</f>
        <v>0</v>
      </c>
      <c r="O50" s="11">
        <f>162055789-564066</f>
        <v>161491723</v>
      </c>
      <c r="P50" s="11">
        <f>+O50-M50</f>
        <v>0</v>
      </c>
      <c r="Q50" s="11">
        <f>162055789-564066</f>
        <v>161491723</v>
      </c>
      <c r="R50" s="11">
        <f>+Q50-O50</f>
        <v>0</v>
      </c>
      <c r="S50" s="11">
        <f>162055789-564066</f>
        <v>161491723</v>
      </c>
      <c r="T50" s="11">
        <f>+S50-Q50</f>
        <v>0</v>
      </c>
      <c r="U50" s="11">
        <f>162055789-564066</f>
        <v>161491723</v>
      </c>
      <c r="V50" s="11">
        <f>+U50-S50</f>
        <v>0</v>
      </c>
      <c r="W50" s="83"/>
      <c r="X50" s="83"/>
      <c r="Y50" s="83"/>
      <c r="Z50" s="83"/>
    </row>
    <row r="51" spans="1:185" x14ac:dyDescent="0.3">
      <c r="A51" s="10" t="s">
        <v>186</v>
      </c>
      <c r="B51" s="11">
        <f>VLOOKUP(A51,'TFL A-April,25'!$B$9:$C$95,2,0)+7765413</f>
        <v>21624068.130000003</v>
      </c>
      <c r="C51" s="11">
        <f>VLOOKUP(A51,'May-A'!$B$10:$C$103,2,0)+11685002</f>
        <v>56514482.850000001</v>
      </c>
      <c r="D51" s="11">
        <f>+C51-B51</f>
        <v>34890414.719999999</v>
      </c>
      <c r="E51" s="11">
        <f>VLOOKUP(A51,'June,25-A'!$B$10:$C$123,2,0)+157027</f>
        <v>92339270.299999997</v>
      </c>
      <c r="F51" s="11">
        <f t="shared" ref="F51:F70" si="78">+E51-C51</f>
        <v>35824787.449999996</v>
      </c>
      <c r="G51" s="11">
        <f>VLOOKUP(A51,'July-A'!$B$10:$C$129,2,0)+305450</f>
        <v>134044395.42</v>
      </c>
      <c r="H51" s="11">
        <f t="shared" ref="H51:H70" si="79">+G51-E51</f>
        <v>41705125.120000005</v>
      </c>
      <c r="I51" s="11">
        <f>VLOOKUP(A51,'TB-A-Aug'!$B$10:$C$132,2,0)+3925110</f>
        <v>173165801.16</v>
      </c>
      <c r="J51" s="11">
        <f t="shared" ref="J51:J70" si="80">+I51-G51</f>
        <v>39121405.739999995</v>
      </c>
      <c r="K51" s="11">
        <f>VLOOKUP(A51,'TFA-Sept,25'!$B$9:$C$136,2,0)+4116311</f>
        <v>224781173.44999999</v>
      </c>
      <c r="L51" s="11">
        <f t="shared" ref="L51:L70" si="81">+K51-I51</f>
        <v>51615372.289999992</v>
      </c>
      <c r="M51" s="11">
        <f>VLOOKUP(A51,'PL-TFA-Oct'!$B$9:$C$138,2,0)+4221936</f>
        <v>269472591.01999998</v>
      </c>
      <c r="N51" s="11">
        <f t="shared" ref="N51:N70" si="82">+M51-K51</f>
        <v>44691417.569999993</v>
      </c>
      <c r="O51" s="11">
        <f>VLOOKUP(A51,'TFA-Nov,25'!$B$10:$C$144,2,0)+4300-3691041</f>
        <v>372647428.66000003</v>
      </c>
      <c r="P51" s="11">
        <f t="shared" ref="P51:P70" si="83">+O51-M51</f>
        <v>103174837.64000005</v>
      </c>
      <c r="Q51" s="11">
        <f>VLOOKUP(A51,'TB-TFL-A-Dec,25'!$B$10:$C$147,2,0)+5415792-7648453</f>
        <v>486936896.32999998</v>
      </c>
      <c r="R51" s="11">
        <f t="shared" ref="R51:R70" si="84">+Q51-O51</f>
        <v>114289467.66999996</v>
      </c>
      <c r="S51" s="11">
        <f>VLOOKUP(A51,'TB-TFL-A-Jan,26'!$B$9:$C$151,2,0)+20795591-7648453</f>
        <v>558958287.71000004</v>
      </c>
      <c r="T51" s="11">
        <f t="shared" ref="T51:T70" si="85">+S51-Q51</f>
        <v>72021391.380000055</v>
      </c>
      <c r="U51" s="11">
        <f>VLOOKUP(A51,'TB-Feb,26-a'!$B$10:$C$153,2,0)+5765800</f>
        <v>613423124.91999996</v>
      </c>
      <c r="V51" s="11">
        <f t="shared" ref="V51:V70" si="86">+U51-S51</f>
        <v>54464837.209999919</v>
      </c>
      <c r="W51" s="83"/>
      <c r="X51" s="83"/>
      <c r="Y51" s="83"/>
      <c r="Z51" s="83"/>
      <c r="AD51" s="55"/>
    </row>
    <row r="52" spans="1:185" x14ac:dyDescent="0.3">
      <c r="A52" t="s">
        <v>38</v>
      </c>
      <c r="B52" s="11"/>
      <c r="C52" s="11">
        <v>4363200</v>
      </c>
      <c r="D52" s="11">
        <f>+C52-B52</f>
        <v>4363200</v>
      </c>
      <c r="E52" s="11">
        <f>VLOOKUP(A52,'June,25-A'!$B$10:$C$123,2,0)</f>
        <v>15711171.23</v>
      </c>
      <c r="F52" s="11">
        <f t="shared" si="78"/>
        <v>11347971.23</v>
      </c>
      <c r="G52" s="11">
        <f>VLOOKUP(A52,'July-A'!$B$10:$C$129,2,0)</f>
        <v>16255569.41</v>
      </c>
      <c r="H52" s="11">
        <f t="shared" si="79"/>
        <v>544398.1799999997</v>
      </c>
      <c r="I52" s="11">
        <f>VLOOKUP(A52,'TB-A-Aug'!$B$10:$C$132,2,0)</f>
        <v>16255569.41</v>
      </c>
      <c r="J52" s="11">
        <f t="shared" si="80"/>
        <v>0</v>
      </c>
      <c r="K52" s="11">
        <f>VLOOKUP(A52,'TFA-Sept,25'!$B$9:$C$136,2,0)</f>
        <v>21505900.390000001</v>
      </c>
      <c r="L52" s="11">
        <f t="shared" si="81"/>
        <v>5250330.9800000004</v>
      </c>
      <c r="M52" s="11">
        <f>VLOOKUP(A52,'PL-TFA-Oct'!$B$9:$C$138,2,0)</f>
        <v>21505900.390000001</v>
      </c>
      <c r="N52" s="11">
        <f t="shared" si="82"/>
        <v>0</v>
      </c>
      <c r="O52" s="11">
        <f>VLOOKUP(A52,'TFA-Nov,25'!$B$10:$C$144,2,0)</f>
        <v>21505900.390000001</v>
      </c>
      <c r="P52" s="11">
        <f t="shared" si="83"/>
        <v>0</v>
      </c>
      <c r="Q52" s="11">
        <f>VLOOKUP(A52,'TB-TFL-A-Dec,25'!$B$10:$C$147,2,0)</f>
        <v>21505900.390000001</v>
      </c>
      <c r="R52" s="11">
        <f t="shared" si="84"/>
        <v>0</v>
      </c>
      <c r="S52" s="11">
        <f>VLOOKUP(A52,'TB-TFL-A-Jan,26'!$B$9:$C$151,2,0)</f>
        <v>21505900.390000001</v>
      </c>
      <c r="T52" s="11">
        <f t="shared" si="85"/>
        <v>0</v>
      </c>
      <c r="U52" s="11">
        <f>VLOOKUP(A52,'TB-Feb,26-a'!$B$10:$C$153,2,0)</f>
        <v>21505900.390000001</v>
      </c>
      <c r="V52" s="11">
        <f t="shared" si="86"/>
        <v>0</v>
      </c>
      <c r="W52" s="83"/>
      <c r="X52" s="83"/>
      <c r="Y52" s="83"/>
      <c r="Z52" s="83"/>
      <c r="AD52" s="55"/>
    </row>
    <row r="53" spans="1:185" x14ac:dyDescent="0.3">
      <c r="A53" s="10" t="s">
        <v>39</v>
      </c>
      <c r="B53" s="11">
        <f>VLOOKUP(A53,'TFL A-April,25'!$B$9:$C$95,2,0)</f>
        <v>49560</v>
      </c>
      <c r="C53" s="11">
        <f>VLOOKUP(A53,'May-A'!$B$10:$C$103,2,0)</f>
        <v>130704</v>
      </c>
      <c r="D53" s="11">
        <f t="shared" ref="D53:D70" si="87">+C53-B53</f>
        <v>81144</v>
      </c>
      <c r="E53" s="11">
        <f>VLOOKUP(A53,'June,25-A'!$B$10:$C$123,2,0)</f>
        <v>151414</v>
      </c>
      <c r="F53" s="11">
        <f t="shared" si="78"/>
        <v>20710</v>
      </c>
      <c r="G53" s="11">
        <f>VLOOKUP(A53,'July-A'!$B$10:$C$129,2,0)</f>
        <v>246584</v>
      </c>
      <c r="H53" s="11">
        <f t="shared" si="79"/>
        <v>95170</v>
      </c>
      <c r="I53" s="11">
        <f>VLOOKUP(A53,'TB-A-Aug'!$B$10:$C$132,2,0)</f>
        <v>279664</v>
      </c>
      <c r="J53" s="11">
        <f t="shared" si="80"/>
        <v>33080</v>
      </c>
      <c r="K53" s="11">
        <f>VLOOKUP(A53,'TFA-Sept,25'!$B$9:$C$136,2,0)</f>
        <v>333003</v>
      </c>
      <c r="L53" s="11">
        <f t="shared" si="81"/>
        <v>53339</v>
      </c>
      <c r="M53" s="11">
        <f>VLOOKUP(A53,'PL-TFA-Oct'!$B$9:$C$138,2,0)</f>
        <v>359828</v>
      </c>
      <c r="N53" s="11">
        <f t="shared" si="82"/>
        <v>26825</v>
      </c>
      <c r="O53" s="11">
        <f>VLOOKUP(A53,'TFA-Nov,25'!$B$10:$C$144,2,0)+144353</f>
        <v>525972</v>
      </c>
      <c r="P53" s="11">
        <f t="shared" si="83"/>
        <v>166144</v>
      </c>
      <c r="Q53" s="11">
        <f>VLOOKUP(A53,'TB-TFL-A-Dec,25'!$B$10:$C$147,2,0)+403169</f>
        <v>805876</v>
      </c>
      <c r="R53" s="11">
        <f t="shared" si="84"/>
        <v>279904</v>
      </c>
      <c r="S53" s="11">
        <f>VLOOKUP(A53,'TB-TFL-A-Jan,26'!$B$9:$C$151,2,0)+17197+1031650</f>
        <v>1474114</v>
      </c>
      <c r="T53" s="11">
        <f t="shared" si="85"/>
        <v>668238</v>
      </c>
      <c r="U53" s="11">
        <f>VLOOKUP(A53,'TB-Feb,26-a'!$B$10:$C$153,2,0)+1120442</f>
        <v>1577814</v>
      </c>
      <c r="V53" s="11">
        <f t="shared" si="86"/>
        <v>103700</v>
      </c>
      <c r="W53" s="83"/>
      <c r="X53" s="83"/>
      <c r="Y53" s="83"/>
      <c r="Z53" s="83"/>
      <c r="AD53" s="55"/>
    </row>
    <row r="54" spans="1:185" x14ac:dyDescent="0.3">
      <c r="A54" s="10" t="s">
        <v>187</v>
      </c>
      <c r="B54" s="11"/>
      <c r="C54" s="11">
        <f>VLOOKUP(A54,'May-A'!$B$10:$C$103,2,0)+266245</f>
        <v>422014</v>
      </c>
      <c r="D54" s="11">
        <f t="shared" si="87"/>
        <v>422014</v>
      </c>
      <c r="E54" s="11">
        <f>VLOOKUP(A54,'June,25-A'!$B$10:$C$123,2,0)+299941</f>
        <v>472710</v>
      </c>
      <c r="F54" s="11">
        <f t="shared" si="78"/>
        <v>50696</v>
      </c>
      <c r="G54" s="11">
        <f>VLOOKUP(A54,'July-A'!$B$10:$C$129,2,0)+663700</f>
        <v>1060184.4099999999</v>
      </c>
      <c r="H54" s="11">
        <f t="shared" si="79"/>
        <v>587474.40999999992</v>
      </c>
      <c r="I54" s="11">
        <f>VLOOKUP(A54,'TB-A-Aug'!$B$10:$C$132,2,0)+239000</f>
        <v>1784563.43</v>
      </c>
      <c r="J54" s="11">
        <f t="shared" si="80"/>
        <v>724379.02</v>
      </c>
      <c r="K54" s="11">
        <f>VLOOKUP(A54,'TFA-Sept,25'!$B$9:$C$136,2,0)</f>
        <v>2217544.6800000002</v>
      </c>
      <c r="L54" s="11">
        <f t="shared" si="81"/>
        <v>432981.25000000023</v>
      </c>
      <c r="M54" s="11">
        <f>VLOOKUP(A54,'PL-TFA-Oct'!$B$9:$C$138,2,0)+269000</f>
        <v>2561544.6800000002</v>
      </c>
      <c r="N54" s="11">
        <f t="shared" si="82"/>
        <v>344000</v>
      </c>
      <c r="O54" s="11">
        <f>VLOOKUP(A54,'TFA-Nov,25'!$B$10:$C$144,2,0)</f>
        <v>2786461.14</v>
      </c>
      <c r="P54" s="11">
        <f t="shared" si="83"/>
        <v>224916.45999999996</v>
      </c>
      <c r="Q54" s="11">
        <f>VLOOKUP(A54,'TB-TFL-A-Dec,25'!$B$10:$C$147,2,0)</f>
        <v>2949461.14</v>
      </c>
      <c r="R54" s="11">
        <f t="shared" si="84"/>
        <v>163000</v>
      </c>
      <c r="S54" s="11">
        <f>VLOOKUP(A54,'TB-TFL-A-Jan,26'!$B$9:$C$151,2,0)</f>
        <v>2949461.14</v>
      </c>
      <c r="T54" s="11">
        <f t="shared" si="85"/>
        <v>0</v>
      </c>
      <c r="U54" s="11">
        <f>VLOOKUP(A54,'TB-Feb,26-a'!$B$10:$C$153,2,0)</f>
        <v>3127405.77</v>
      </c>
      <c r="V54" s="11">
        <f t="shared" si="86"/>
        <v>177944.62999999989</v>
      </c>
      <c r="W54" s="83"/>
      <c r="X54" s="83"/>
      <c r="Y54" s="83"/>
      <c r="Z54" s="83"/>
      <c r="AD54" s="55"/>
    </row>
    <row r="55" spans="1:185" x14ac:dyDescent="0.3">
      <c r="A55" s="10" t="s">
        <v>188</v>
      </c>
      <c r="B55" s="11">
        <f>VLOOKUP(A55,'TFL A-April,25'!$B$9:$C$95,2,0)</f>
        <v>136918.62</v>
      </c>
      <c r="C55" s="11">
        <f>VLOOKUP(A55,'May-A'!$B$10:$C$103,2,0)</f>
        <v>258906.48</v>
      </c>
      <c r="D55" s="11">
        <f t="shared" si="87"/>
        <v>121987.86000000002</v>
      </c>
      <c r="E55" s="11">
        <f>VLOOKUP(A55,'June,25-A'!$B$10:$C$123,2,0)+538052</f>
        <v>1048958.48</v>
      </c>
      <c r="F55" s="11">
        <f t="shared" si="78"/>
        <v>790052</v>
      </c>
      <c r="G55" s="11">
        <f>VLOOKUP(A55,'July-A'!$B$10:$C$129,2,0)+288715</f>
        <v>1291929.0699999998</v>
      </c>
      <c r="H55" s="11">
        <f t="shared" si="79"/>
        <v>242970.58999999985</v>
      </c>
      <c r="I55" s="11">
        <f>VLOOKUP(A55,'TB-A-Aug'!$B$10:$C$132,2,0)+754454.5</f>
        <v>1951691.99</v>
      </c>
      <c r="J55" s="11">
        <f t="shared" si="80"/>
        <v>659762.92000000016</v>
      </c>
      <c r="K55" s="11">
        <f>VLOOKUP(A55,'TFA-Sept,25'!$B$9:$C$136,2,0)+581466</f>
        <v>2294085.4</v>
      </c>
      <c r="L55" s="11">
        <f t="shared" si="81"/>
        <v>342393.40999999992</v>
      </c>
      <c r="M55" s="11">
        <f>VLOOKUP(A55,'PL-TFA-Oct'!$B$9:$C$138,2,0)+938468</f>
        <v>3099076.12</v>
      </c>
      <c r="N55" s="11">
        <f t="shared" si="82"/>
        <v>804990.7200000002</v>
      </c>
      <c r="O55" s="11">
        <f>VLOOKUP(A55,'TFA-Nov,25'!$B$10:$C$144,2,0)</f>
        <v>3182557.72</v>
      </c>
      <c r="P55" s="11">
        <f t="shared" si="83"/>
        <v>83481.600000000093</v>
      </c>
      <c r="Q55" s="11">
        <f>VLOOKUP(A55,'TB-TFL-A-Dec,25'!$B$10:$C$147,2,0)</f>
        <v>3492809.06</v>
      </c>
      <c r="R55" s="11">
        <f t="shared" si="84"/>
        <v>310251.33999999985</v>
      </c>
      <c r="S55" s="11">
        <f>VLOOKUP(A55,'TB-TFL-A-Jan,26'!$B$9:$C$151,2,0)</f>
        <v>3768745.3</v>
      </c>
      <c r="T55" s="11">
        <f t="shared" si="85"/>
        <v>275936.23999999976</v>
      </c>
      <c r="U55" s="11">
        <f>VLOOKUP(A55,'TB-Feb,26-a'!$B$10:$C$153,2,0)</f>
        <v>4211205.71</v>
      </c>
      <c r="V55" s="11">
        <f t="shared" si="86"/>
        <v>442460.41000000015</v>
      </c>
      <c r="W55" s="83"/>
      <c r="X55" s="83"/>
      <c r="Y55" s="83"/>
      <c r="Z55" s="83"/>
      <c r="AD55" s="55"/>
    </row>
    <row r="56" spans="1:185" x14ac:dyDescent="0.3">
      <c r="A56" t="s">
        <v>278</v>
      </c>
      <c r="B56" s="11"/>
      <c r="C56" s="11">
        <f>VLOOKUP(A56,'May-A'!$B$10:$C$103,2,0)</f>
        <v>8460079</v>
      </c>
      <c r="D56" s="11">
        <f t="shared" si="87"/>
        <v>8460079</v>
      </c>
      <c r="E56" s="11">
        <f>VLOOKUP(A56,'June,25-A'!$B$10:$C$123,2,0)</f>
        <v>8460079</v>
      </c>
      <c r="F56" s="11">
        <f t="shared" si="78"/>
        <v>0</v>
      </c>
      <c r="G56" s="11">
        <f>VLOOKUP(A56,'July-A'!$B$10:$C$129,2,0)</f>
        <v>8460079</v>
      </c>
      <c r="H56" s="11">
        <f t="shared" si="79"/>
        <v>0</v>
      </c>
      <c r="I56" s="11">
        <f>VLOOKUP(A56,'TB-A-Aug'!$B$10:$C$132,2,0)</f>
        <v>8460079</v>
      </c>
      <c r="J56" s="11">
        <f t="shared" si="80"/>
        <v>0</v>
      </c>
      <c r="K56" s="11">
        <f>VLOOKUP(A56,'TFA-Sept,25'!$B$9:$C$136,2,0)</f>
        <v>8460079</v>
      </c>
      <c r="L56" s="11">
        <f t="shared" si="81"/>
        <v>0</v>
      </c>
      <c r="M56" s="11">
        <f>VLOOKUP(A56,'PL-TFA-Oct'!$B$9:$C$138,2,0)</f>
        <v>8460079</v>
      </c>
      <c r="N56" s="11">
        <f t="shared" si="82"/>
        <v>0</v>
      </c>
      <c r="O56" s="11">
        <f>VLOOKUP(A56,'TFA-Nov,25'!$B$10:$C$144,2,0)</f>
        <v>8460079</v>
      </c>
      <c r="P56" s="11">
        <f t="shared" si="83"/>
        <v>0</v>
      </c>
      <c r="Q56" s="11">
        <f>VLOOKUP(A56,'TB-TFL-A-Dec,25'!$B$10:$C$147,2,0)</f>
        <v>8460079</v>
      </c>
      <c r="R56" s="11">
        <f t="shared" si="84"/>
        <v>0</v>
      </c>
      <c r="S56" s="11">
        <f>VLOOKUP(A56,'TB-TFL-A-Jan,26'!$B$9:$C$151,2,0)</f>
        <v>8460079</v>
      </c>
      <c r="T56" s="11">
        <f t="shared" si="85"/>
        <v>0</v>
      </c>
      <c r="U56" s="11">
        <f>VLOOKUP(A56,'TB-Feb,26-a'!$B$10:$C$153,2,0)</f>
        <v>8460079</v>
      </c>
      <c r="V56" s="11">
        <f t="shared" si="86"/>
        <v>0</v>
      </c>
      <c r="W56" s="83"/>
      <c r="X56" s="83"/>
      <c r="Y56" s="83"/>
      <c r="Z56" s="83"/>
      <c r="AD56" s="55"/>
    </row>
    <row r="57" spans="1:185" x14ac:dyDescent="0.3">
      <c r="A57" s="10" t="s">
        <v>189</v>
      </c>
      <c r="B57" s="11">
        <f>VLOOKUP(A57,'TFL A-April,25'!$B$9:$C$95,2,0)+1566967</f>
        <v>6052378.4100000001</v>
      </c>
      <c r="C57" s="11">
        <f>VLOOKUP(A57,'May-A'!$B$10:$C$103,2,0)+1552677</f>
        <v>10960900.539999999</v>
      </c>
      <c r="D57" s="11">
        <f t="shared" si="87"/>
        <v>4908522.129999999</v>
      </c>
      <c r="E57" s="11">
        <f>VLOOKUP(A57,'June,25-A'!$B$10:$C$123,2,0)+386905</f>
        <v>14613109.619999999</v>
      </c>
      <c r="F57" s="11">
        <f t="shared" si="78"/>
        <v>3652209.08</v>
      </c>
      <c r="G57" s="11">
        <f>VLOOKUP(A57,'July-A'!$B$10:$C$129,2,0)+1623551+20170</f>
        <v>23264219.52</v>
      </c>
      <c r="H57" s="11">
        <f t="shared" si="79"/>
        <v>8651109.9000000004</v>
      </c>
      <c r="I57" s="11">
        <f>VLOOKUP(A57,'TB-A-Aug'!$B$10:$C$132,2,0)+2133317+20170</f>
        <v>26880068.390000001</v>
      </c>
      <c r="J57" s="11">
        <f t="shared" si="80"/>
        <v>3615848.870000001</v>
      </c>
      <c r="K57" s="11">
        <f>VLOOKUP(A57,'TFA-Sept,25'!$B$9:$C$136,2,0)+602048+20170</f>
        <v>33028070.370000001</v>
      </c>
      <c r="L57" s="11">
        <f t="shared" si="81"/>
        <v>6148001.9800000004</v>
      </c>
      <c r="M57" s="11">
        <f>VLOOKUP(A57,'PL-TFA-Oct'!$B$9:$C$138,2,0)+752418</f>
        <v>36987494.109999999</v>
      </c>
      <c r="N57" s="11">
        <f t="shared" si="82"/>
        <v>3959423.7399999984</v>
      </c>
      <c r="O57" s="11">
        <f>VLOOKUP(A57,'TFA-Nov,25'!$B$10:$C$144,2,0)+666227</f>
        <v>41174308.850000001</v>
      </c>
      <c r="P57" s="11">
        <f t="shared" si="83"/>
        <v>4186814.7400000021</v>
      </c>
      <c r="Q57" s="11">
        <f>VLOOKUP(A57,'TB-TFL-A-Dec,25'!$B$10:$C$147,2,0)+491863</f>
        <v>45966285.32</v>
      </c>
      <c r="R57" s="11">
        <f t="shared" si="84"/>
        <v>4791976.4699999988</v>
      </c>
      <c r="S57" s="11">
        <f>VLOOKUP(A57,'TB-TFL-A-Jan,26'!$B$9:$C$151,2,0)+1270700</f>
        <v>50431955.170000002</v>
      </c>
      <c r="T57" s="11">
        <f t="shared" si="85"/>
        <v>4465669.8500000015</v>
      </c>
      <c r="U57" s="11">
        <f>VLOOKUP(A57,'TB-Feb,26-a'!$B$10:$C$153,2,0)+1581804</f>
        <v>55409553.969999999</v>
      </c>
      <c r="V57" s="11">
        <f t="shared" si="86"/>
        <v>4977598.799999997</v>
      </c>
      <c r="W57" s="83"/>
      <c r="X57" s="83"/>
      <c r="Y57" s="83"/>
      <c r="Z57" s="83"/>
      <c r="AD57" s="55"/>
    </row>
    <row r="58" spans="1:185" x14ac:dyDescent="0.3">
      <c r="A58" s="10" t="s">
        <v>190</v>
      </c>
      <c r="B58" s="11">
        <f>VLOOKUP(A58,'TFL A-April,25'!$B$9:$C$95,2,0)</f>
        <v>211799.78</v>
      </c>
      <c r="C58" s="11">
        <f>VLOOKUP(A58,'May-A'!$B$10:$C$103,2,0)</f>
        <v>211799.78</v>
      </c>
      <c r="D58" s="11">
        <f t="shared" si="87"/>
        <v>0</v>
      </c>
      <c r="E58" s="11">
        <f>VLOOKUP(A58,'June,25-A'!$B$10:$C$123,2,0)+37664</f>
        <v>601203.68000000005</v>
      </c>
      <c r="F58" s="11">
        <f t="shared" si="78"/>
        <v>389403.9</v>
      </c>
      <c r="G58" s="11">
        <f>VLOOKUP(A58,'July-A'!$B$10:$C$129,2,0)</f>
        <v>601204.02</v>
      </c>
      <c r="H58" s="11">
        <f t="shared" si="79"/>
        <v>0.33999999996740371</v>
      </c>
      <c r="I58" s="11">
        <f>VLOOKUP(A58,'TB-A-Aug'!$B$10:$C$132,2,0)</f>
        <v>601204.02</v>
      </c>
      <c r="J58" s="11">
        <f t="shared" si="80"/>
        <v>0</v>
      </c>
      <c r="K58" s="11">
        <f>VLOOKUP(A58,'TFA-Sept,25'!$B$9:$C$136,2,0)</f>
        <v>865612.81</v>
      </c>
      <c r="L58" s="11">
        <f t="shared" si="81"/>
        <v>264408.79000000004</v>
      </c>
      <c r="M58" s="11">
        <f>VLOOKUP(A58,'PL-TFA-Oct'!$B$9:$C$138,2,0)</f>
        <v>1564521.14</v>
      </c>
      <c r="N58" s="11">
        <f t="shared" si="82"/>
        <v>698908.32999999984</v>
      </c>
      <c r="O58" s="11">
        <f>VLOOKUP(A58,'TFA-Nov,25'!$B$10:$C$144,2,0)</f>
        <v>1664942.14</v>
      </c>
      <c r="P58" s="11">
        <f t="shared" si="83"/>
        <v>100421</v>
      </c>
      <c r="Q58" s="11">
        <f>VLOOKUP(A58,'TB-TFL-A-Dec,25'!$B$10:$C$147,2,0)</f>
        <v>2020313.7</v>
      </c>
      <c r="R58" s="11">
        <f t="shared" si="84"/>
        <v>355371.56000000006</v>
      </c>
      <c r="S58" s="11">
        <f>VLOOKUP(A58,'TB-TFL-A-Jan,26'!$B$9:$C$151,2,0)+666598</f>
        <v>2686911.7</v>
      </c>
      <c r="T58" s="11">
        <f t="shared" si="85"/>
        <v>666598.00000000023</v>
      </c>
      <c r="U58" s="11">
        <f>VLOOKUP(A58,'TB-Feb,26-a'!$B$10:$C$153,2,0)</f>
        <v>2728363.18</v>
      </c>
      <c r="V58" s="11">
        <f t="shared" si="86"/>
        <v>41451.479999999981</v>
      </c>
      <c r="W58" s="83"/>
      <c r="X58" s="83"/>
      <c r="Y58" s="83"/>
      <c r="Z58" s="83"/>
      <c r="AD58" s="55"/>
    </row>
    <row r="59" spans="1:185" x14ac:dyDescent="0.3">
      <c r="A59" t="s">
        <v>43</v>
      </c>
      <c r="B59" s="11"/>
      <c r="C59" s="11"/>
      <c r="D59" s="11"/>
      <c r="E59" s="11"/>
      <c r="F59" s="11"/>
      <c r="G59" s="11"/>
      <c r="H59" s="11"/>
      <c r="I59" s="11"/>
      <c r="J59" s="11"/>
      <c r="K59" s="11">
        <f>VLOOKUP(A59,'TFA-Sept,25'!$B$9:$C$136,2,0)</f>
        <v>40306.78</v>
      </c>
      <c r="L59" s="11">
        <f t="shared" si="81"/>
        <v>40306.78</v>
      </c>
      <c r="M59" s="11">
        <f>VLOOKUP(A59,'PL-TFA-Oct'!$B$9:$C$138,2,0)+214188</f>
        <v>254494.78</v>
      </c>
      <c r="N59" s="11">
        <f t="shared" si="82"/>
        <v>214188</v>
      </c>
      <c r="O59" s="11">
        <f>VLOOKUP(A59,'TFA-Nov,25'!$B$10:$C$144,2,0)+439535</f>
        <v>479841.78</v>
      </c>
      <c r="P59" s="11">
        <f t="shared" si="83"/>
        <v>225347.00000000003</v>
      </c>
      <c r="Q59" s="11">
        <f>VLOOKUP(A59,'TB-TFL-A-Dec,25'!$B$10:$C$147,2,0)+826887</f>
        <v>867193.78</v>
      </c>
      <c r="R59" s="11">
        <f t="shared" si="84"/>
        <v>387352</v>
      </c>
      <c r="S59" s="11">
        <f>VLOOKUP(A59,'TB-TFL-A-Jan,26'!$B$9:$C$151,2,0)+826887</f>
        <v>867193.78</v>
      </c>
      <c r="T59" s="11">
        <f t="shared" si="85"/>
        <v>0</v>
      </c>
      <c r="U59" s="11">
        <f>VLOOKUP(A59,'TB-Feb,26-a'!$B$10:$C$153,2,0)+1982383</f>
        <v>2022689.78</v>
      </c>
      <c r="V59" s="11">
        <f t="shared" si="86"/>
        <v>1155496</v>
      </c>
      <c r="W59" s="83"/>
      <c r="X59" s="83"/>
      <c r="Y59" s="83"/>
      <c r="Z59" s="83"/>
      <c r="AD59" s="55"/>
    </row>
    <row r="60" spans="1:185" x14ac:dyDescent="0.3">
      <c r="A60" s="10" t="s">
        <v>42</v>
      </c>
      <c r="B60" s="11">
        <f>VLOOKUP(A60,'TFL A-April,25'!$B$9:$C$95,2,0)+1721211</f>
        <v>3621747.58</v>
      </c>
      <c r="C60" s="11">
        <f>VLOOKUP(A60,'May-A'!$B$10:$C$103,2,0)+150626</f>
        <v>9323779.6199999992</v>
      </c>
      <c r="D60" s="11">
        <f t="shared" si="87"/>
        <v>5702032.0399999991</v>
      </c>
      <c r="E60" s="11">
        <f>VLOOKUP(A60,'June,25-A'!$B$10:$C$123,2,0)+386595</f>
        <v>12981156.24</v>
      </c>
      <c r="F60" s="11">
        <f t="shared" si="78"/>
        <v>3657376.620000001</v>
      </c>
      <c r="G60" s="11">
        <f>VLOOKUP(A60,'July-A'!$B$10:$C$129,2,0)+1030649</f>
        <v>18489486.260000002</v>
      </c>
      <c r="H60" s="11">
        <f t="shared" si="79"/>
        <v>5508330.0200000014</v>
      </c>
      <c r="I60" s="11">
        <f>VLOOKUP(A60,'TB-A-Aug'!$B$10:$C$132,2,0)+1000186</f>
        <v>24958004.379999999</v>
      </c>
      <c r="J60" s="11">
        <f t="shared" si="80"/>
        <v>6468518.1199999973</v>
      </c>
      <c r="K60" s="11">
        <f>VLOOKUP(A60,'TFA-Sept,25'!$B$9:$C$136,2,0)+878343</f>
        <v>30061662.809999999</v>
      </c>
      <c r="L60" s="11">
        <f t="shared" si="81"/>
        <v>5103658.43</v>
      </c>
      <c r="M60" s="11">
        <f>VLOOKUP(A60,'PL-TFA-Oct'!$B$9:$C$138,2,0)+1493297</f>
        <v>35530936.439999998</v>
      </c>
      <c r="N60" s="11">
        <f t="shared" si="82"/>
        <v>5469273.629999999</v>
      </c>
      <c r="O60" s="11">
        <f>VLOOKUP(A60,'TFA-Nov,25'!$B$10:$C$144,2,0)</f>
        <v>38947941.460000001</v>
      </c>
      <c r="P60" s="11">
        <f t="shared" si="83"/>
        <v>3417005.0200000033</v>
      </c>
      <c r="Q60" s="11">
        <f>VLOOKUP(A60,'TB-TFL-A-Dec,25'!$B$10:$C$147,2,0)</f>
        <v>42673334.960000001</v>
      </c>
      <c r="R60" s="11">
        <f t="shared" si="84"/>
        <v>3725393.5</v>
      </c>
      <c r="S60" s="11">
        <f>VLOOKUP(A60,'TB-TFL-A-Jan,26'!$B$9:$C$151,2,0)+2213023-826887</f>
        <v>47951381.539999999</v>
      </c>
      <c r="T60" s="11">
        <f t="shared" si="85"/>
        <v>5278046.5799999982</v>
      </c>
      <c r="U60" s="11">
        <f>VLOOKUP(A60,'TB-Feb,26-a'!$B$10:$C$153,2,0)</f>
        <v>51707465.18</v>
      </c>
      <c r="V60" s="11">
        <f t="shared" si="86"/>
        <v>3756083.6400000006</v>
      </c>
      <c r="W60" s="83"/>
      <c r="X60" s="83"/>
      <c r="Y60" s="83"/>
      <c r="Z60" s="83"/>
      <c r="AD60" s="55"/>
    </row>
    <row r="61" spans="1:185" x14ac:dyDescent="0.3">
      <c r="A61" s="10" t="s">
        <v>191</v>
      </c>
      <c r="B61" s="11">
        <f>VLOOKUP(A61,'TFL A-April,25'!$B$9:$C$95,2,0)+147781</f>
        <v>149392.31</v>
      </c>
      <c r="C61" s="11">
        <f>VLOOKUP(A61,'May-A'!$B$10:$C$103,2,0)</f>
        <v>149392.18</v>
      </c>
      <c r="D61" s="11">
        <f t="shared" si="87"/>
        <v>-0.13000000000465661</v>
      </c>
      <c r="E61" s="11">
        <f>VLOOKUP(A61,'June,25-A'!$B$10:$C$123,2,0)</f>
        <v>261205.55</v>
      </c>
      <c r="F61" s="11">
        <f t="shared" si="78"/>
        <v>111813.37</v>
      </c>
      <c r="G61" s="11">
        <f>VLOOKUP(A61,'July-A'!$B$10:$C$129,2,0)</f>
        <v>261205.55</v>
      </c>
      <c r="H61" s="11">
        <f t="shared" si="79"/>
        <v>0</v>
      </c>
      <c r="I61" s="11">
        <f>VLOOKUP(A61,'TB-A-Aug'!$B$10:$C$132,2,0)+879518</f>
        <v>1140723.55</v>
      </c>
      <c r="J61" s="11">
        <f t="shared" si="80"/>
        <v>879518</v>
      </c>
      <c r="K61" s="11">
        <f>VLOOKUP(A61,'TFA-Sept,25'!$B$9:$C$136,2,0)</f>
        <v>1183834.8700000001</v>
      </c>
      <c r="L61" s="11">
        <f t="shared" si="81"/>
        <v>43111.320000000065</v>
      </c>
      <c r="M61" s="11">
        <f>VLOOKUP(A61,'PL-TFA-Oct'!$B$9:$C$138,2,0)</f>
        <v>1316638.72</v>
      </c>
      <c r="N61" s="11">
        <f t="shared" si="82"/>
        <v>132803.84999999986</v>
      </c>
      <c r="O61" s="11">
        <f>VLOOKUP(A61,'TFA-Nov,25'!$B$10:$C$144,2,0)</f>
        <v>2087500.58</v>
      </c>
      <c r="P61" s="11">
        <f t="shared" si="83"/>
        <v>770861.8600000001</v>
      </c>
      <c r="Q61" s="11">
        <f>VLOOKUP(A61,'TB-TFL-A-Dec,25'!$B$10:$C$147,2,0)</f>
        <v>2744904.74</v>
      </c>
      <c r="R61" s="11">
        <f t="shared" si="84"/>
        <v>657404.16000000015</v>
      </c>
      <c r="S61" s="11">
        <f>VLOOKUP(A61,'TB-TFL-A-Jan,26'!$B$9:$C$151,2,0)</f>
        <v>2744904.74</v>
      </c>
      <c r="T61" s="11">
        <f t="shared" si="85"/>
        <v>0</v>
      </c>
      <c r="U61" s="11">
        <f>VLOOKUP(A61,'TB-Feb,26-a'!$B$10:$C$153,2,0)</f>
        <v>2744904.74</v>
      </c>
      <c r="V61" s="11">
        <f t="shared" si="86"/>
        <v>0</v>
      </c>
      <c r="W61" s="83"/>
      <c r="X61" s="83"/>
      <c r="Y61" s="83"/>
      <c r="Z61" s="83"/>
      <c r="AD61" s="55"/>
    </row>
    <row r="62" spans="1:185" s="39" customFormat="1" x14ac:dyDescent="0.3">
      <c r="A62" s="20" t="s">
        <v>194</v>
      </c>
      <c r="B62" s="11"/>
      <c r="C62" s="11"/>
      <c r="D62" s="11">
        <f t="shared" si="87"/>
        <v>0</v>
      </c>
      <c r="E62" s="11"/>
      <c r="F62" s="11">
        <f t="shared" si="78"/>
        <v>0</v>
      </c>
      <c r="G62" s="11"/>
      <c r="H62" s="11">
        <f t="shared" si="79"/>
        <v>0</v>
      </c>
      <c r="I62" s="11"/>
      <c r="J62" s="11">
        <f t="shared" si="80"/>
        <v>0</v>
      </c>
      <c r="K62" s="11"/>
      <c r="L62" s="11">
        <f t="shared" si="81"/>
        <v>0</v>
      </c>
      <c r="M62" s="11"/>
      <c r="N62" s="11">
        <f t="shared" si="82"/>
        <v>0</v>
      </c>
      <c r="O62" s="11"/>
      <c r="P62" s="11">
        <f t="shared" si="83"/>
        <v>0</v>
      </c>
      <c r="Q62" s="11"/>
      <c r="R62" s="11">
        <f t="shared" si="84"/>
        <v>0</v>
      </c>
      <c r="S62" s="11"/>
      <c r="T62" s="11">
        <f t="shared" si="85"/>
        <v>0</v>
      </c>
      <c r="U62" s="11"/>
      <c r="V62" s="11">
        <f t="shared" si="86"/>
        <v>0</v>
      </c>
      <c r="W62" s="83"/>
      <c r="X62" s="83"/>
      <c r="Y62" s="83"/>
      <c r="Z62" s="83"/>
      <c r="AA62" s="30"/>
      <c r="AB62"/>
      <c r="AC62"/>
      <c r="AD62" s="55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</row>
    <row r="63" spans="1:185" x14ac:dyDescent="0.3">
      <c r="A63" s="10" t="s">
        <v>195</v>
      </c>
      <c r="B63" s="11">
        <f>VLOOKUP(A63,'TFL A-April,25'!$B$9:$C$95,2,0)</f>
        <v>1501872</v>
      </c>
      <c r="C63" s="11">
        <f>VLOOKUP(A63,'May-A'!$B$10:$C$103,2,0)</f>
        <v>2501098</v>
      </c>
      <c r="D63" s="11">
        <f t="shared" si="87"/>
        <v>999226</v>
      </c>
      <c r="E63" s="11">
        <f>VLOOKUP(A63,'June,25-A'!$B$10:$C$123,2,0)</f>
        <v>5286179</v>
      </c>
      <c r="F63" s="11">
        <f t="shared" si="78"/>
        <v>2785081</v>
      </c>
      <c r="G63" s="11">
        <f>VLOOKUP(A63,'July-A'!$B$10:$C$129,2,0)</f>
        <v>9026583</v>
      </c>
      <c r="H63" s="11">
        <f t="shared" si="79"/>
        <v>3740404</v>
      </c>
      <c r="I63" s="11">
        <f>VLOOKUP(A63,'TB-A-Aug'!$B$10:$C$132,2,0)</f>
        <v>12193532</v>
      </c>
      <c r="J63" s="11">
        <f t="shared" si="80"/>
        <v>3166949</v>
      </c>
      <c r="K63" s="11">
        <f>VLOOKUP(A63,'TFA-Sept,25'!$B$9:$C$136,2,0)</f>
        <v>15382914</v>
      </c>
      <c r="L63" s="11">
        <f t="shared" si="81"/>
        <v>3189382</v>
      </c>
      <c r="M63" s="11">
        <f>VLOOKUP(A63,'PL-TFA-Oct'!$B$9:$C$138,2,0)</f>
        <v>16435708</v>
      </c>
      <c r="N63" s="11">
        <f t="shared" si="82"/>
        <v>1052794</v>
      </c>
      <c r="O63" s="11">
        <f>VLOOKUP(A63,'TFA-Nov,25'!$B$10:$C$144,2,0)</f>
        <v>18524580</v>
      </c>
      <c r="P63" s="11">
        <f t="shared" si="83"/>
        <v>2088872</v>
      </c>
      <c r="Q63" s="11">
        <f>VLOOKUP(A63,'TB-TFL-A-Dec,25'!$B$10:$C$147,2,0)</f>
        <v>21712831</v>
      </c>
      <c r="R63" s="11">
        <f t="shared" si="84"/>
        <v>3188251</v>
      </c>
      <c r="S63" s="11">
        <f>VLOOKUP(A63,'TB-TFL-A-Jan,26'!$B$9:$C$151,2,0)</f>
        <v>25000388</v>
      </c>
      <c r="T63" s="11">
        <f t="shared" si="85"/>
        <v>3287557</v>
      </c>
      <c r="U63" s="11">
        <f>VLOOKUP(A63,'TB-Feb,26-a'!$B$10:$C$153,2,0)</f>
        <v>27034065</v>
      </c>
      <c r="V63" s="11">
        <f t="shared" si="86"/>
        <v>2033677</v>
      </c>
      <c r="W63" s="83"/>
      <c r="X63" s="83"/>
      <c r="Y63" s="83"/>
      <c r="Z63" s="83"/>
      <c r="AD63" s="55"/>
    </row>
    <row r="64" spans="1:185" hidden="1" x14ac:dyDescent="0.3">
      <c r="A64" t="s">
        <v>346</v>
      </c>
      <c r="B64" s="11"/>
      <c r="C64" s="11"/>
      <c r="D64" s="11"/>
      <c r="E64" s="11"/>
      <c r="F64" s="11"/>
      <c r="G64" s="11">
        <f>VLOOKUP(A64,'July-A'!$B$10:$C$129,2,0)-20170</f>
        <v>0</v>
      </c>
      <c r="H64" s="11">
        <f t="shared" si="79"/>
        <v>0</v>
      </c>
      <c r="I64" s="11">
        <f>VLOOKUP(A64,'TB-A-Aug'!$B$10:$C$132,2,0)-20170</f>
        <v>0</v>
      </c>
      <c r="J64" s="11">
        <f t="shared" si="80"/>
        <v>0</v>
      </c>
      <c r="K64" s="11">
        <f>VLOOKUP(A64,'TFA-Sept,25'!$B$9:$C$136,2,0)-20170</f>
        <v>0</v>
      </c>
      <c r="L64" s="11">
        <f t="shared" si="81"/>
        <v>0</v>
      </c>
      <c r="M64" s="11"/>
      <c r="N64" s="11">
        <f t="shared" si="82"/>
        <v>0</v>
      </c>
      <c r="O64" s="11"/>
      <c r="P64" s="11">
        <f t="shared" si="83"/>
        <v>0</v>
      </c>
      <c r="Q64" s="11"/>
      <c r="R64" s="11">
        <f t="shared" si="84"/>
        <v>0</v>
      </c>
      <c r="S64" s="11"/>
      <c r="T64" s="11">
        <f t="shared" si="85"/>
        <v>0</v>
      </c>
      <c r="U64" s="11"/>
      <c r="V64" s="11">
        <f t="shared" si="86"/>
        <v>0</v>
      </c>
      <c r="W64" s="83"/>
      <c r="X64" s="83"/>
      <c r="Y64" s="83"/>
      <c r="Z64" s="83"/>
      <c r="AD64" s="55"/>
    </row>
    <row r="65" spans="1:185" x14ac:dyDescent="0.3">
      <c r="A65" s="20" t="s">
        <v>69</v>
      </c>
      <c r="B65" s="11">
        <f>VLOOKUP(A65,'TFL A-April,25'!$B$9:$C$95,2,0)</f>
        <v>2740</v>
      </c>
      <c r="C65" s="11">
        <f>VLOOKUP(A65,'May-A'!$B$10:$C$103,2,0)</f>
        <v>11610</v>
      </c>
      <c r="D65" s="11">
        <f t="shared" si="87"/>
        <v>8870</v>
      </c>
      <c r="E65" s="11">
        <f>VLOOKUP(A65,'June,25-A'!$B$10:$C$123,2,0)</f>
        <v>100160</v>
      </c>
      <c r="F65" s="11">
        <f t="shared" si="78"/>
        <v>88550</v>
      </c>
      <c r="G65" s="11">
        <f>VLOOKUP(A65,'July-A'!$B$10:$C$129,2,0)</f>
        <v>109690</v>
      </c>
      <c r="H65" s="11">
        <f t="shared" si="79"/>
        <v>9530</v>
      </c>
      <c r="I65" s="11">
        <f>VLOOKUP(A65,'TB-A-Aug'!$B$10:$C$132,2,0)</f>
        <v>139690</v>
      </c>
      <c r="J65" s="11">
        <f t="shared" si="80"/>
        <v>30000</v>
      </c>
      <c r="K65" s="11">
        <f>VLOOKUP(A65,'TFA-Sept,25'!$B$9:$C$136,2,0)</f>
        <v>141130</v>
      </c>
      <c r="L65" s="11">
        <f t="shared" si="81"/>
        <v>1440</v>
      </c>
      <c r="M65" s="11">
        <f>VLOOKUP(A65,'PL-TFA-Oct'!$B$9:$C$138,2,0)</f>
        <v>145330</v>
      </c>
      <c r="N65" s="11">
        <f t="shared" si="82"/>
        <v>4200</v>
      </c>
      <c r="O65" s="11">
        <f>VLOOKUP(A65,'TFA-Nov,25'!$B$10:$C$144,2,0)</f>
        <v>145330</v>
      </c>
      <c r="P65" s="11">
        <f t="shared" si="83"/>
        <v>0</v>
      </c>
      <c r="Q65" s="11">
        <f>VLOOKUP(A65,'TB-TFL-A-Dec,25'!$B$10:$C$147,2,0)</f>
        <v>152770</v>
      </c>
      <c r="R65" s="11">
        <f t="shared" si="84"/>
        <v>7440</v>
      </c>
      <c r="S65" s="11">
        <f>VLOOKUP(A65,'TB-TFL-A-Jan,26'!$B$9:$C$151,2,0)</f>
        <v>152770</v>
      </c>
      <c r="T65" s="11">
        <f t="shared" si="85"/>
        <v>0</v>
      </c>
      <c r="U65" s="11">
        <f>VLOOKUP(A65,'TB-Feb,26-a'!$B$10:$C$153,2,0)</f>
        <v>152770</v>
      </c>
      <c r="V65" s="11">
        <f t="shared" si="86"/>
        <v>0</v>
      </c>
      <c r="W65" s="83"/>
      <c r="X65" s="83"/>
      <c r="Y65" s="83"/>
      <c r="Z65" s="83"/>
      <c r="AD65" s="55"/>
    </row>
    <row r="66" spans="1:185" x14ac:dyDescent="0.3">
      <c r="A66" t="s">
        <v>197</v>
      </c>
      <c r="B66" s="11"/>
      <c r="C66" s="11"/>
      <c r="D66" s="11">
        <f t="shared" si="87"/>
        <v>0</v>
      </c>
      <c r="E66" s="11"/>
      <c r="F66" s="11">
        <f t="shared" si="78"/>
        <v>0</v>
      </c>
      <c r="G66" s="11"/>
      <c r="H66" s="11">
        <f t="shared" si="79"/>
        <v>0</v>
      </c>
      <c r="I66" s="11"/>
      <c r="J66" s="11">
        <f t="shared" si="80"/>
        <v>0</v>
      </c>
      <c r="K66" s="11"/>
      <c r="L66" s="11">
        <f t="shared" si="81"/>
        <v>0</v>
      </c>
      <c r="M66" s="11"/>
      <c r="N66" s="11">
        <f t="shared" si="82"/>
        <v>0</v>
      </c>
      <c r="O66" s="11"/>
      <c r="P66" s="11">
        <f t="shared" si="83"/>
        <v>0</v>
      </c>
      <c r="Q66" s="11"/>
      <c r="R66" s="11">
        <f t="shared" si="84"/>
        <v>0</v>
      </c>
      <c r="S66" s="11"/>
      <c r="T66" s="11">
        <f t="shared" si="85"/>
        <v>0</v>
      </c>
      <c r="U66" s="11"/>
      <c r="V66" s="11">
        <f t="shared" si="86"/>
        <v>0</v>
      </c>
      <c r="W66" s="83"/>
      <c r="X66" s="83"/>
      <c r="Y66" s="83"/>
      <c r="Z66" s="83"/>
      <c r="AD66" s="55"/>
    </row>
    <row r="67" spans="1:185" x14ac:dyDescent="0.3">
      <c r="A67" s="10" t="s">
        <v>198</v>
      </c>
      <c r="B67" s="11">
        <f>VLOOKUP(A67,'TFL A-April,25'!$B$9:$C$95,2,0)</f>
        <v>31619</v>
      </c>
      <c r="C67" s="11">
        <f>VLOOKUP(A67,'May-A'!$B$10:$C$103,2,0)</f>
        <v>34440</v>
      </c>
      <c r="D67" s="11">
        <f t="shared" si="87"/>
        <v>2821</v>
      </c>
      <c r="E67" s="11">
        <f>VLOOKUP(A67,'June,25-A'!$B$10:$C$123,2,0)</f>
        <v>314381.98</v>
      </c>
      <c r="F67" s="11">
        <f t="shared" si="78"/>
        <v>279941.98</v>
      </c>
      <c r="G67" s="11">
        <f>VLOOKUP(A67,'July-A'!$B$10:$C$129,2,0)</f>
        <v>324058.98</v>
      </c>
      <c r="H67" s="11">
        <f t="shared" si="79"/>
        <v>9677</v>
      </c>
      <c r="I67" s="11">
        <f>VLOOKUP(A67,'TB-A-Aug'!$B$10:$C$132,2,0)</f>
        <v>432611.98</v>
      </c>
      <c r="J67" s="11">
        <f t="shared" si="80"/>
        <v>108553</v>
      </c>
      <c r="K67" s="11">
        <f>VLOOKUP(A67,'TFA-Sept,25'!$B$9:$C$136,2,0)</f>
        <v>445689.98</v>
      </c>
      <c r="L67" s="11">
        <f t="shared" si="81"/>
        <v>13078</v>
      </c>
      <c r="M67" s="11">
        <f>VLOOKUP(A67,'PL-TFA-Oct'!$B$9:$C$138,2,0)</f>
        <v>559064.98</v>
      </c>
      <c r="N67" s="11">
        <f t="shared" si="82"/>
        <v>113375</v>
      </c>
      <c r="O67" s="11">
        <f>VLOOKUP(A67,'TFA-Nov,25'!$B$10:$C$144,2,0)</f>
        <v>581312.84</v>
      </c>
      <c r="P67" s="11">
        <f t="shared" si="83"/>
        <v>22247.859999999986</v>
      </c>
      <c r="Q67" s="11">
        <f>VLOOKUP(A67,'TB-TFL-A-Dec,25'!$B$10:$C$147,2,0)</f>
        <v>603849.48</v>
      </c>
      <c r="R67" s="11">
        <f t="shared" si="84"/>
        <v>22536.640000000014</v>
      </c>
      <c r="S67" s="11">
        <f>VLOOKUP(A67,'TB-TFL-A-Jan,26'!$B$9:$C$151,2,0)</f>
        <v>639212.43999999994</v>
      </c>
      <c r="T67" s="11">
        <f t="shared" si="85"/>
        <v>35362.959999999963</v>
      </c>
      <c r="U67" s="11">
        <f>VLOOKUP(A67,'TB-Feb,26-a'!$B$10:$C$153,2,0)</f>
        <v>701107.44</v>
      </c>
      <c r="V67" s="11">
        <f t="shared" si="86"/>
        <v>61895</v>
      </c>
      <c r="W67" s="83"/>
      <c r="X67" s="83"/>
      <c r="Y67" s="83"/>
      <c r="Z67" s="83"/>
      <c r="AD67" s="55"/>
    </row>
    <row r="68" spans="1:185" x14ac:dyDescent="0.3">
      <c r="A68" s="10" t="s">
        <v>44</v>
      </c>
      <c r="B68" s="11">
        <f>VLOOKUP(A68,'TFL A-April,25'!$B$9:$C$95,2,0)</f>
        <v>1857</v>
      </c>
      <c r="C68" s="11">
        <f>VLOOKUP(A68,'May-A'!$B$10:$C$103,2,0)</f>
        <v>6454</v>
      </c>
      <c r="D68" s="11">
        <f t="shared" si="87"/>
        <v>4597</v>
      </c>
      <c r="E68" s="11">
        <f>VLOOKUP(A68,'June,25-A'!$B$10:$C$123,2,0)</f>
        <v>7937</v>
      </c>
      <c r="F68" s="11">
        <f t="shared" si="78"/>
        <v>1483</v>
      </c>
      <c r="G68" s="11">
        <f>VLOOKUP(A68,'July-A'!$B$10:$C$129,2,0)</f>
        <v>28237</v>
      </c>
      <c r="H68" s="11">
        <f t="shared" si="79"/>
        <v>20300</v>
      </c>
      <c r="I68" s="11">
        <f>VLOOKUP(A68,'TB-A-Aug'!$B$10:$C$132,2,0)</f>
        <v>110359</v>
      </c>
      <c r="J68" s="11">
        <f t="shared" si="80"/>
        <v>82122</v>
      </c>
      <c r="K68" s="11">
        <f>VLOOKUP(A68,'TFA-Sept,25'!$B$9:$C$136,2,0)</f>
        <v>112239</v>
      </c>
      <c r="L68" s="11">
        <f t="shared" si="81"/>
        <v>1880</v>
      </c>
      <c r="M68" s="11">
        <f>VLOOKUP(A68,'PL-TFA-Oct'!$B$9:$C$138,2,0)</f>
        <v>118941</v>
      </c>
      <c r="N68" s="11">
        <f t="shared" si="82"/>
        <v>6702</v>
      </c>
      <c r="O68" s="11">
        <f>VLOOKUP(A68,'TFA-Nov,25'!$B$10:$C$144,2,0)</f>
        <v>152321</v>
      </c>
      <c r="P68" s="11">
        <f t="shared" si="83"/>
        <v>33380</v>
      </c>
      <c r="Q68" s="11">
        <f>VLOOKUP(A68,'TB-TFL-A-Dec,25'!$B$10:$C$147,2,0)</f>
        <v>209507</v>
      </c>
      <c r="R68" s="11">
        <f t="shared" si="84"/>
        <v>57186</v>
      </c>
      <c r="S68" s="11">
        <f>VLOOKUP(A68,'TB-TFL-A-Jan,26'!$B$9:$C$151,2,0)</f>
        <v>459679.5</v>
      </c>
      <c r="T68" s="11">
        <f t="shared" si="85"/>
        <v>250172.5</v>
      </c>
      <c r="U68" s="11">
        <f>VLOOKUP(A68,'TB-Feb,26-a'!$B$10:$C$153,2,0)</f>
        <v>472048.5</v>
      </c>
      <c r="V68" s="11">
        <f t="shared" si="86"/>
        <v>12369</v>
      </c>
      <c r="W68" s="83"/>
      <c r="X68" s="83"/>
      <c r="Y68" s="83"/>
      <c r="Z68" s="83"/>
      <c r="AD68" s="55"/>
    </row>
    <row r="69" spans="1:185" x14ac:dyDescent="0.3">
      <c r="A69" s="10" t="s">
        <v>199</v>
      </c>
      <c r="B69" s="11">
        <f>VLOOKUP(A69,'TFL A-April,25'!$B$9:$C$95,2,0)+1309189</f>
        <v>2021221.8</v>
      </c>
      <c r="C69" s="11">
        <f>VLOOKUP(A69,'May-A'!$B$10:$C$103,2,0)+954522</f>
        <v>2841923.8</v>
      </c>
      <c r="D69" s="11">
        <f t="shared" si="87"/>
        <v>820701.99999999977</v>
      </c>
      <c r="E69" s="11">
        <f>VLOOKUP(A69,'June,25-A'!$B$10:$C$123,2,0)+97561</f>
        <v>3962292.2</v>
      </c>
      <c r="F69" s="11">
        <f t="shared" si="78"/>
        <v>1120368.4000000004</v>
      </c>
      <c r="G69" s="11">
        <f>VLOOKUP(A69,'July-A'!$B$10:$C$129,2,0)+214820</f>
        <v>7942144.5999999996</v>
      </c>
      <c r="H69" s="11">
        <f t="shared" si="79"/>
        <v>3979852.3999999994</v>
      </c>
      <c r="I69" s="11">
        <f>VLOOKUP(A69,'TB-A-Aug'!$B$10:$C$132,2,0)+1601777</f>
        <v>10354343.5</v>
      </c>
      <c r="J69" s="11">
        <f t="shared" si="80"/>
        <v>2412198.9000000004</v>
      </c>
      <c r="K69" s="11">
        <f>VLOOKUP(A69,'TFA-Sept,25'!$B$9:$C$136,2,0)+1901970</f>
        <v>13260812.98</v>
      </c>
      <c r="L69" s="11">
        <f t="shared" si="81"/>
        <v>2906469.4800000004</v>
      </c>
      <c r="M69" s="11">
        <f>VLOOKUP(A69,'PL-TFA-Oct'!$B$9:$C$138,2,0)+6887905</f>
        <v>19834440.98</v>
      </c>
      <c r="N69" s="11">
        <f t="shared" si="82"/>
        <v>6573628</v>
      </c>
      <c r="O69" s="11">
        <f>VLOOKUP(A69,'TFA-Nov,25'!$B$10:$C$144,2,0)+630146</f>
        <v>21276764.079999998</v>
      </c>
      <c r="P69" s="11">
        <f t="shared" si="83"/>
        <v>1442323.0999999978</v>
      </c>
      <c r="Q69" s="11">
        <f>VLOOKUP(A69,'TB-TFL-A-Dec,25'!$B$10:$C$147,2,0)+1059392.29</f>
        <v>22496108.77</v>
      </c>
      <c r="R69" s="11">
        <f t="shared" si="84"/>
        <v>1219344.6900000013</v>
      </c>
      <c r="S69" s="11">
        <f>VLOOKUP(A69,'TB-TFL-A-Jan,26'!$B$9:$C$151,2,0)+1029263</f>
        <v>23705684.18</v>
      </c>
      <c r="T69" s="11">
        <f t="shared" si="85"/>
        <v>1209575.4100000001</v>
      </c>
      <c r="U69" s="11">
        <f>VLOOKUP(A69,'TB-Feb,26-a'!$B$10:$C$153,2,0)+957203</f>
        <v>25013475.18</v>
      </c>
      <c r="V69" s="11">
        <f t="shared" si="86"/>
        <v>1307791</v>
      </c>
      <c r="W69" s="83"/>
      <c r="X69" s="83"/>
      <c r="Y69" s="83"/>
      <c r="Z69" s="83"/>
      <c r="AD69" s="55"/>
    </row>
    <row r="70" spans="1:185" x14ac:dyDescent="0.3">
      <c r="A70" s="10" t="s">
        <v>49</v>
      </c>
      <c r="B70" s="16">
        <f>156407453-583066</f>
        <v>155824387</v>
      </c>
      <c r="C70" s="11">
        <v>160389511</v>
      </c>
      <c r="D70" s="11">
        <f t="shared" si="87"/>
        <v>4565124</v>
      </c>
      <c r="E70" s="11">
        <f>163927851-671047</f>
        <v>163256804</v>
      </c>
      <c r="F70" s="11">
        <f t="shared" si="78"/>
        <v>2867293</v>
      </c>
      <c r="G70" s="11">
        <f>159308762-841953.9</f>
        <v>158466808.09999999</v>
      </c>
      <c r="H70" s="11">
        <f t="shared" si="79"/>
        <v>-4789995.900000006</v>
      </c>
      <c r="I70" s="11">
        <f>153758777.844-1480923.7</f>
        <v>152277854.14400002</v>
      </c>
      <c r="J70" s="11">
        <f t="shared" si="80"/>
        <v>-6188953.9559999704</v>
      </c>
      <c r="K70" s="11">
        <f>162256495-826333</f>
        <v>161430162</v>
      </c>
      <c r="L70" s="11">
        <f t="shared" si="81"/>
        <v>9152307.8559999764</v>
      </c>
      <c r="M70" s="11">
        <f>170221642+M85-1283549</f>
        <v>167843857</v>
      </c>
      <c r="N70" s="11">
        <f t="shared" si="82"/>
        <v>6413695</v>
      </c>
      <c r="O70" s="11">
        <f>183418960+O85</f>
        <v>182285500</v>
      </c>
      <c r="P70" s="11">
        <f t="shared" si="83"/>
        <v>14441643</v>
      </c>
      <c r="Q70" s="11">
        <f>171871280+Q85</f>
        <v>170675054</v>
      </c>
      <c r="R70" s="11">
        <f t="shared" si="84"/>
        <v>-11610446</v>
      </c>
      <c r="S70" s="11">
        <f>189652766.493848+S85</f>
        <v>188518905.493848</v>
      </c>
      <c r="T70" s="11">
        <f t="shared" si="85"/>
        <v>17843851.493847996</v>
      </c>
      <c r="U70" s="11">
        <f>170627607+U85</f>
        <v>169525758</v>
      </c>
      <c r="V70" s="11">
        <f t="shared" si="86"/>
        <v>-18993147.493847996</v>
      </c>
      <c r="W70" s="83"/>
      <c r="X70" s="83"/>
      <c r="Y70" s="83"/>
      <c r="Z70" s="83"/>
      <c r="AD70" s="55"/>
    </row>
    <row r="71" spans="1:185" x14ac:dyDescent="0.3">
      <c r="A71" s="13" t="s">
        <v>50</v>
      </c>
      <c r="B71" s="14">
        <f t="shared" ref="B71:L71" si="88">SUM(B50:B69)-B70</f>
        <v>41072510.630000025</v>
      </c>
      <c r="C71" s="14">
        <f t="shared" si="88"/>
        <v>97292996.25</v>
      </c>
      <c r="D71" s="14">
        <f t="shared" si="88"/>
        <v>56220485.61999999</v>
      </c>
      <c r="E71" s="14">
        <f t="shared" si="88"/>
        <v>154546147.28000009</v>
      </c>
      <c r="F71" s="14">
        <f t="shared" si="88"/>
        <v>57253151.029999979</v>
      </c>
      <c r="G71" s="14">
        <f t="shared" si="88"/>
        <v>224430485.14000008</v>
      </c>
      <c r="H71" s="14">
        <f t="shared" si="88"/>
        <v>69884337.860000014</v>
      </c>
      <c r="I71" s="14">
        <f t="shared" si="88"/>
        <v>287921774.66600001</v>
      </c>
      <c r="J71" s="14">
        <f t="shared" si="88"/>
        <v>63491289.525999963</v>
      </c>
      <c r="K71" s="14">
        <f t="shared" si="88"/>
        <v>354175620.51999998</v>
      </c>
      <c r="L71" s="14">
        <f t="shared" si="88"/>
        <v>66253845.854000017</v>
      </c>
      <c r="M71" s="14">
        <f t="shared" ref="M71:N71" si="89">SUM(M50:M69)-M70</f>
        <v>411854455.36000001</v>
      </c>
      <c r="N71" s="14">
        <f t="shared" si="89"/>
        <v>57678834.839999981</v>
      </c>
      <c r="O71" s="14">
        <f t="shared" ref="O71:P71" si="90">SUM(O50:O69)-O70</f>
        <v>513349464.64000022</v>
      </c>
      <c r="P71" s="14">
        <f t="shared" si="90"/>
        <v>101495009.28000003</v>
      </c>
      <c r="Q71" s="14">
        <f t="shared" ref="Q71:R71" si="91">SUM(Q50:Q69)-Q70</f>
        <v>654414789.66999996</v>
      </c>
      <c r="R71" s="14">
        <f t="shared" si="91"/>
        <v>141065325.02999997</v>
      </c>
      <c r="S71" s="14">
        <f t="shared" ref="S71:T71" si="92">SUM(S50:S69)-S70</f>
        <v>724729486.09615195</v>
      </c>
      <c r="T71" s="14">
        <f t="shared" si="92"/>
        <v>70314696.42615205</v>
      </c>
      <c r="U71" s="14">
        <f t="shared" ref="U71:V71" si="93">SUM(U50:U69)-U70</f>
        <v>812257937.75999987</v>
      </c>
      <c r="V71" s="14">
        <f t="shared" si="93"/>
        <v>87528451.663847923</v>
      </c>
      <c r="W71" s="84"/>
      <c r="X71" s="84"/>
      <c r="Y71" s="84"/>
      <c r="Z71" s="84"/>
      <c r="AA71" s="12"/>
      <c r="AB71" s="12"/>
    </row>
    <row r="72" spans="1:185" x14ac:dyDescent="0.3">
      <c r="A72" s="21" t="s">
        <v>340</v>
      </c>
      <c r="B72" s="22">
        <f t="shared" ref="B72:L72" si="94">B46-B71</f>
        <v>8547051.8199999779</v>
      </c>
      <c r="C72" s="22">
        <f t="shared" si="94"/>
        <v>16579173.450000003</v>
      </c>
      <c r="D72" s="22">
        <f t="shared" si="94"/>
        <v>8032121.6300000101</v>
      </c>
      <c r="E72" s="22">
        <f t="shared" si="94"/>
        <v>15970584.98999989</v>
      </c>
      <c r="F72" s="22">
        <f t="shared" si="94"/>
        <v>-608588.45999998599</v>
      </c>
      <c r="G72" s="22">
        <f t="shared" si="94"/>
        <v>36500231.449999928</v>
      </c>
      <c r="H72" s="22">
        <f t="shared" si="94"/>
        <v>20529646.460000008</v>
      </c>
      <c r="I72" s="22">
        <f t="shared" si="94"/>
        <v>36217390.744000018</v>
      </c>
      <c r="J72" s="22">
        <f t="shared" si="94"/>
        <v>-282840.70599994808</v>
      </c>
      <c r="K72" s="22">
        <f t="shared" si="94"/>
        <v>47060664.409999967</v>
      </c>
      <c r="L72" s="22">
        <f t="shared" si="94"/>
        <v>10843273.665999934</v>
      </c>
      <c r="M72" s="22">
        <f t="shared" ref="M72:N72" si="95">M46-M71</f>
        <v>48511171.889999986</v>
      </c>
      <c r="N72" s="22">
        <f t="shared" si="95"/>
        <v>1450507.4800000563</v>
      </c>
      <c r="O72" s="22">
        <f t="shared" ref="O72:P72" si="96">O46-O71</f>
        <v>81365461.419199824</v>
      </c>
      <c r="P72" s="22">
        <f t="shared" si="96"/>
        <v>32854289.529199958</v>
      </c>
      <c r="Q72" s="22">
        <f t="shared" ref="Q72:R72" si="97">Q46-Q71</f>
        <v>111841393.58999991</v>
      </c>
      <c r="R72" s="22">
        <f t="shared" si="97"/>
        <v>30475932.1708</v>
      </c>
      <c r="S72" s="22">
        <f t="shared" ref="S72:T72" si="98">S46-S71</f>
        <v>116856769.11384809</v>
      </c>
      <c r="T72" s="22">
        <f t="shared" si="98"/>
        <v>5015375.523848027</v>
      </c>
      <c r="U72" s="22">
        <f t="shared" ref="U72:V72" si="99">U46-U71</f>
        <v>119316469.84000015</v>
      </c>
      <c r="V72" s="22">
        <f t="shared" si="99"/>
        <v>2459700.7261520028</v>
      </c>
      <c r="W72" s="84"/>
      <c r="X72" s="84"/>
      <c r="Y72" s="84"/>
      <c r="Z72" s="84"/>
      <c r="AA72" s="12"/>
      <c r="AB72" s="12"/>
    </row>
    <row r="73" spans="1:185" x14ac:dyDescent="0.3">
      <c r="A73" s="21" t="s">
        <v>341</v>
      </c>
      <c r="B73" s="40">
        <f t="shared" ref="B73:L73" si="100">+B72/B46</f>
        <v>0.17225165636260015</v>
      </c>
      <c r="C73" s="40">
        <f t="shared" si="100"/>
        <v>0.14559460396406237</v>
      </c>
      <c r="D73" s="40">
        <f t="shared" si="100"/>
        <v>0.12500849341020337</v>
      </c>
      <c r="E73" s="40">
        <f t="shared" si="100"/>
        <v>9.3659928720142907E-2</v>
      </c>
      <c r="F73" s="40">
        <f t="shared" si="100"/>
        <v>-1.0743987284709048E-2</v>
      </c>
      <c r="G73" s="40">
        <f t="shared" si="100"/>
        <v>0.1398847630014855</v>
      </c>
      <c r="H73" s="40">
        <f t="shared" si="100"/>
        <v>0.22706273387244974</v>
      </c>
      <c r="I73" s="40">
        <f t="shared" si="100"/>
        <v>0.11173407785569214</v>
      </c>
      <c r="J73" s="40">
        <f t="shared" si="100"/>
        <v>-4.4747294274757373E-3</v>
      </c>
      <c r="K73" s="40">
        <f t="shared" si="100"/>
        <v>0.1172891539911706</v>
      </c>
      <c r="L73" s="40">
        <f t="shared" si="100"/>
        <v>0.1406443422725677</v>
      </c>
      <c r="M73" s="40">
        <f t="shared" ref="M73:N73" si="101">+M72/M46</f>
        <v>0.10537531261789047</v>
      </c>
      <c r="N73" s="40">
        <f t="shared" si="101"/>
        <v>2.4531094429396917E-2</v>
      </c>
      <c r="O73" s="40">
        <f t="shared" ref="O73:P73" si="102">+O72/O46</f>
        <v>0.13681422451990119</v>
      </c>
      <c r="P73" s="40">
        <f t="shared" si="102"/>
        <v>0.24454381094953773</v>
      </c>
      <c r="Q73" s="40">
        <f t="shared" ref="Q73:R73" si="103">+Q72/Q46</f>
        <v>0.14595822654791002</v>
      </c>
      <c r="R73" s="40">
        <f t="shared" si="103"/>
        <v>0.17765948943189788</v>
      </c>
      <c r="S73" s="40">
        <f t="shared" ref="S73:T73" si="104">+S72/S46</f>
        <v>0.13885299146751032</v>
      </c>
      <c r="T73" s="40">
        <f t="shared" si="104"/>
        <v>6.6578663660071299E-2</v>
      </c>
      <c r="U73" s="40">
        <f t="shared" ref="U73:V73" si="105">+U72/U46</f>
        <v>0.12808045054328321</v>
      </c>
      <c r="V73" s="40">
        <f t="shared" si="105"/>
        <v>2.7333606267321706E-2</v>
      </c>
      <c r="W73" s="119"/>
      <c r="X73" s="119"/>
      <c r="Y73" s="119"/>
      <c r="Z73" s="119"/>
    </row>
    <row r="74" spans="1:185" x14ac:dyDescent="0.3">
      <c r="A74" s="8" t="s">
        <v>53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83"/>
      <c r="X74" s="83"/>
      <c r="Y74" s="83"/>
      <c r="Z74" s="83"/>
    </row>
    <row r="75" spans="1:185" x14ac:dyDescent="0.3">
      <c r="A75" s="10" t="s">
        <v>202</v>
      </c>
      <c r="B75" s="11">
        <v>81942</v>
      </c>
      <c r="C75" s="11">
        <f>VLOOKUP(A75,'May-A'!$B$10:$C$103,2,0)</f>
        <v>163613</v>
      </c>
      <c r="D75" s="11">
        <f t="shared" ref="D75:D147" si="106">+C75-B75</f>
        <v>81671</v>
      </c>
      <c r="E75" s="11">
        <f>VLOOKUP(A75,'June,25-A'!$B$10:$C$123,2,0)+97561</f>
        <v>261174</v>
      </c>
      <c r="F75" s="11">
        <f t="shared" ref="F75:F147" si="107">+E75-C75</f>
        <v>97561</v>
      </c>
      <c r="G75" s="11">
        <f>VLOOKUP(A75,'July-A'!$B$10:$C$129,2,0)+97478</f>
        <v>358569.5</v>
      </c>
      <c r="H75" s="11">
        <f t="shared" ref="H75:H138" si="108">+G75-E75</f>
        <v>97395.5</v>
      </c>
      <c r="I75" s="11">
        <f>VLOOKUP(A75,'TB-A-Aug'!$B$10:$C$132,2,0)</f>
        <v>460433</v>
      </c>
      <c r="J75" s="11">
        <f t="shared" ref="J75:J79" si="109">+I75-G75</f>
        <v>101863.5</v>
      </c>
      <c r="K75" s="11">
        <f>VLOOKUP(A75,'TFA-Sept,25'!$B$9:$C$136,2,0)+97478</f>
        <v>557911</v>
      </c>
      <c r="L75" s="11">
        <f t="shared" ref="L75:L79" si="110">+K75-I75</f>
        <v>97478</v>
      </c>
      <c r="M75" s="11">
        <f>VLOOKUP(A75,'PL-TFA-Oct'!$B$9:$C$138,2,0)</f>
        <v>714506</v>
      </c>
      <c r="N75" s="11">
        <f t="shared" ref="N75:N79" si="111">+M75-K75</f>
        <v>156595</v>
      </c>
      <c r="O75" s="11">
        <f>VLOOKUP(A75,'TFA-Nov,25'!$B$10:$C$144,2,0)</f>
        <v>926292</v>
      </c>
      <c r="P75" s="11">
        <f t="shared" ref="P75:P79" si="112">+O75-M75</f>
        <v>211786</v>
      </c>
      <c r="Q75" s="11">
        <f>VLOOKUP(A75,'TB-TFL-A-Dec,25'!$B$10:$C$147,2,0)+255263</f>
        <v>1181555</v>
      </c>
      <c r="R75" s="11">
        <f t="shared" ref="R75:R79" si="113">+Q75-O75</f>
        <v>255263</v>
      </c>
      <c r="S75" s="11">
        <f>VLOOKUP(A75,'TB-TFL-A-Jan,26'!$B$9:$C$151,2,0)</f>
        <v>1347273.5</v>
      </c>
      <c r="T75" s="11">
        <f t="shared" ref="T75:T79" si="114">+S75-Q75</f>
        <v>165718.5</v>
      </c>
      <c r="U75" s="11">
        <f>VLOOKUP(A75,'TB-Feb,26-a'!$B$10:$C$153,2,0)+165000</f>
        <v>1512273.5</v>
      </c>
      <c r="V75" s="11">
        <f t="shared" ref="V75:V79" si="115">+U75-S75</f>
        <v>165000</v>
      </c>
      <c r="W75" s="83"/>
      <c r="X75" s="83"/>
      <c r="Y75" s="83"/>
      <c r="Z75" s="83"/>
      <c r="AA75" s="55"/>
      <c r="AD75" s="55"/>
      <c r="AE75" s="55"/>
      <c r="AF75" s="55"/>
    </row>
    <row r="76" spans="1:185" x14ac:dyDescent="0.3">
      <c r="A76" s="10" t="s">
        <v>60</v>
      </c>
      <c r="B76" s="16">
        <f>VLOOKUP(A76,'TFL A-April,25'!$B$9:$C$95,2,0)</f>
        <v>5775</v>
      </c>
      <c r="C76" s="11">
        <f>VLOOKUP(A76,'May-A'!$B$10:$C$103,2,0)</f>
        <v>5775</v>
      </c>
      <c r="D76" s="11">
        <f t="shared" si="106"/>
        <v>0</v>
      </c>
      <c r="E76" s="11">
        <f>VLOOKUP(A76,'June,25-A'!$B$10:$C$123,2,0)</f>
        <v>5775</v>
      </c>
      <c r="F76" s="11">
        <f t="shared" si="107"/>
        <v>0</v>
      </c>
      <c r="G76" s="11">
        <f>VLOOKUP(A76,'July-A'!$B$10:$C$129,2,0)</f>
        <v>5775</v>
      </c>
      <c r="H76" s="11">
        <f t="shared" si="108"/>
        <v>0</v>
      </c>
      <c r="I76" s="11">
        <f>VLOOKUP(A76,'TB-A-Aug'!$B$10:$C$132,2,0)</f>
        <v>5775</v>
      </c>
      <c r="J76" s="11">
        <f t="shared" si="109"/>
        <v>0</v>
      </c>
      <c r="K76" s="11">
        <f>VLOOKUP(A76,'TFA-Sept,25'!$B$9:$C$136,2,0)</f>
        <v>5775</v>
      </c>
      <c r="L76" s="11">
        <f t="shared" si="110"/>
        <v>0</v>
      </c>
      <c r="M76" s="11">
        <f>VLOOKUP(A76,'PL-TFA-Oct'!$B$9:$C$138,2,0)</f>
        <v>5775</v>
      </c>
      <c r="N76" s="11">
        <f t="shared" si="111"/>
        <v>0</v>
      </c>
      <c r="O76" s="11">
        <f>VLOOKUP(A76,'TFA-Nov,25'!$B$10:$C$144,2,0)</f>
        <v>5775</v>
      </c>
      <c r="P76" s="11">
        <f t="shared" si="112"/>
        <v>0</v>
      </c>
      <c r="Q76" s="11">
        <f>VLOOKUP(A76,'TB-TFL-A-Dec,25'!$B$10:$C$147,2,0)</f>
        <v>5775</v>
      </c>
      <c r="R76" s="11">
        <f t="shared" si="113"/>
        <v>0</v>
      </c>
      <c r="S76" s="11">
        <f>VLOOKUP(A76,'TB-TFL-A-Jan,26'!$B$9:$C$151,2,0)</f>
        <v>5775</v>
      </c>
      <c r="T76" s="11">
        <f t="shared" si="114"/>
        <v>0</v>
      </c>
      <c r="U76" s="11">
        <f>VLOOKUP(A76,'TB-Feb,26-a'!$B$10:$C$153,2,0)</f>
        <v>5775</v>
      </c>
      <c r="V76" s="11">
        <f t="shared" si="115"/>
        <v>0</v>
      </c>
      <c r="W76" s="83"/>
      <c r="X76" s="83"/>
      <c r="Y76" s="83"/>
      <c r="Z76" s="83"/>
      <c r="AD76" s="55"/>
      <c r="AE76" s="55"/>
      <c r="AF76" s="55"/>
    </row>
    <row r="77" spans="1:185" x14ac:dyDescent="0.3">
      <c r="A77" s="10" t="s">
        <v>40</v>
      </c>
      <c r="B77" s="11"/>
      <c r="C77" s="11">
        <f>VLOOKUP(A77,'May-A'!$B$10:$C$103,2,0)</f>
        <v>44156</v>
      </c>
      <c r="D77" s="11">
        <f>+C77-B77</f>
        <v>44156</v>
      </c>
      <c r="E77" s="11">
        <f>VLOOKUP(A77,'June,25-A'!$B$10:$C$123,2,0)</f>
        <v>51481</v>
      </c>
      <c r="F77" s="11">
        <f>+E77-C77</f>
        <v>7325</v>
      </c>
      <c r="G77" s="11">
        <f>VLOOKUP(A77,'July-A'!$B$10:$C$129,2,0)</f>
        <v>67930</v>
      </c>
      <c r="H77" s="11">
        <f t="shared" si="108"/>
        <v>16449</v>
      </c>
      <c r="I77" s="11">
        <f>VLOOKUP(A77,'TB-A-Aug'!$B$10:$C$132,2,0)</f>
        <v>91530</v>
      </c>
      <c r="J77" s="11">
        <f t="shared" si="109"/>
        <v>23600</v>
      </c>
      <c r="K77" s="11">
        <f>VLOOKUP(A77,'TFA-Sept,25'!$B$9:$C$136,2,0)</f>
        <v>112236.22</v>
      </c>
      <c r="L77" s="11">
        <f t="shared" si="110"/>
        <v>20706.22</v>
      </c>
      <c r="M77" s="11">
        <f>VLOOKUP(A77,'PL-TFA-Oct'!$B$9:$C$138,2,0)+154304</f>
        <v>282891.21999999997</v>
      </c>
      <c r="N77" s="11">
        <f t="shared" si="111"/>
        <v>170654.99999999997</v>
      </c>
      <c r="O77" s="11">
        <f>VLOOKUP(A77,'TFA-Nov,25'!$B$10:$C$144,2,0)+209689</f>
        <v>352598.22</v>
      </c>
      <c r="P77" s="11">
        <f t="shared" si="112"/>
        <v>69707</v>
      </c>
      <c r="Q77" s="11">
        <f>VLOOKUP(A77,'TB-TFL-A-Dec,25'!$B$10:$C$147,2,0)+376112</f>
        <v>529427.22</v>
      </c>
      <c r="R77" s="11">
        <f t="shared" si="113"/>
        <v>176829</v>
      </c>
      <c r="S77" s="11">
        <f>VLOOKUP(A77,'TB-TFL-A-Jan,26'!$B$9:$C$151,2,0)+372378</f>
        <v>529427.22</v>
      </c>
      <c r="T77" s="11">
        <f t="shared" si="114"/>
        <v>0</v>
      </c>
      <c r="U77" s="11">
        <f>VLOOKUP(A77,'TB-Feb,26-a'!$B$10:$C$153,2,0)+523491</f>
        <v>685459.22</v>
      </c>
      <c r="V77" s="11">
        <f t="shared" si="115"/>
        <v>156032</v>
      </c>
      <c r="W77" s="83"/>
      <c r="X77" s="83"/>
      <c r="Y77" s="83"/>
      <c r="Z77" s="83"/>
      <c r="AD77" s="55"/>
    </row>
    <row r="78" spans="1:185" s="38" customFormat="1" x14ac:dyDescent="0.3">
      <c r="A78" s="20" t="s">
        <v>192</v>
      </c>
      <c r="B78" s="11">
        <f>VLOOKUP(A78,'TFL A-April,25'!$B$9:$C$95,2,0)+271938</f>
        <v>661568.86</v>
      </c>
      <c r="C78" s="11">
        <f>VLOOKUP(A78,'May-A'!$B$10:$C$103,2,0)+237941</f>
        <v>1376215</v>
      </c>
      <c r="D78" s="11">
        <f>+C78-B78</f>
        <v>714646.14</v>
      </c>
      <c r="E78" s="11">
        <f>VLOOKUP(A78,'June,25-A'!$B$10:$C$123,2,0)+389240</f>
        <v>2001182.16</v>
      </c>
      <c r="F78" s="11">
        <f>+E78-C78</f>
        <v>624967.15999999992</v>
      </c>
      <c r="G78" s="11">
        <f>VLOOKUP(A78,'July-A'!$B$10:$C$129,2,0)+555818</f>
        <v>2347243.38</v>
      </c>
      <c r="H78" s="11">
        <f t="shared" si="108"/>
        <v>346061.22</v>
      </c>
      <c r="I78" s="11">
        <f>VLOOKUP(A78,'TB-A-Aug'!$B$10:$C$132,2,0)+486465.56</f>
        <v>2703610.7</v>
      </c>
      <c r="J78" s="11">
        <f t="shared" si="109"/>
        <v>356367.3200000003</v>
      </c>
      <c r="K78" s="11">
        <f>VLOOKUP(A78,'TFA-Sept,25'!$B$9:$C$136,2,0)+187939</f>
        <v>3051851.14</v>
      </c>
      <c r="L78" s="11">
        <f t="shared" si="110"/>
        <v>348240.43999999994</v>
      </c>
      <c r="M78" s="11">
        <f>VLOOKUP(A78,'PL-TFA-Oct'!$B$9:$C$138,2,0)</f>
        <v>3094182.68</v>
      </c>
      <c r="N78" s="11">
        <f t="shared" si="111"/>
        <v>42331.540000000037</v>
      </c>
      <c r="O78" s="11">
        <f>VLOOKUP(A78,'TFA-Nov,25'!$B$10:$C$144,2,0)</f>
        <v>3354516.57</v>
      </c>
      <c r="P78" s="11">
        <f t="shared" si="112"/>
        <v>260333.88999999966</v>
      </c>
      <c r="Q78" s="11">
        <f>VLOOKUP(A78,'TB-TFL-A-Dec,25'!$B$10:$C$147,2,0)</f>
        <v>3569621.19</v>
      </c>
      <c r="R78" s="11">
        <f t="shared" si="113"/>
        <v>215104.62000000011</v>
      </c>
      <c r="S78" s="11">
        <f>VLOOKUP(A78,'TB-TFL-A-Jan,26'!$B$9:$C$151,2,0)+611912-372378</f>
        <v>3988477.5700000003</v>
      </c>
      <c r="T78" s="11">
        <f t="shared" si="114"/>
        <v>418856.38000000035</v>
      </c>
      <c r="U78" s="11">
        <f>VLOOKUP(A78,'TB-Feb,26-a'!$B$10:$C$153,2,0)</f>
        <v>4127708.75</v>
      </c>
      <c r="V78" s="11">
        <f t="shared" si="115"/>
        <v>139231.1799999997</v>
      </c>
      <c r="W78" s="83"/>
      <c r="X78" s="83"/>
      <c r="Y78" s="83"/>
      <c r="Z78" s="83"/>
      <c r="AA78" s="30"/>
      <c r="AB78"/>
      <c r="AC78"/>
      <c r="AD78" s="55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</row>
    <row r="79" spans="1:185" x14ac:dyDescent="0.3">
      <c r="A79" s="10" t="s">
        <v>196</v>
      </c>
      <c r="B79" s="11"/>
      <c r="C79" s="11"/>
      <c r="D79" s="11">
        <f>+C79-B79</f>
        <v>0</v>
      </c>
      <c r="E79" s="11">
        <f>VLOOKUP(A79,'June,25-A'!$B$10:$C$123,2,0)</f>
        <v>1145</v>
      </c>
      <c r="F79" s="11">
        <f>+E79-C79</f>
        <v>1145</v>
      </c>
      <c r="G79" s="11">
        <f>VLOOKUP(A79,'July-A'!$B$10:$C$129,2,0)</f>
        <v>1145</v>
      </c>
      <c r="H79" s="11">
        <f t="shared" si="108"/>
        <v>0</v>
      </c>
      <c r="I79" s="11">
        <f>VLOOKUP(A79,'TB-A-Aug'!$B$10:$C$132,2,0)</f>
        <v>1145</v>
      </c>
      <c r="J79" s="11">
        <f t="shared" si="109"/>
        <v>0</v>
      </c>
      <c r="K79" s="11">
        <f>VLOOKUP(A79,'TFA-Sept,25'!$B$9:$C$136,2,0)</f>
        <v>1145</v>
      </c>
      <c r="L79" s="11">
        <f t="shared" si="110"/>
        <v>0</v>
      </c>
      <c r="M79" s="11">
        <f>VLOOKUP(A79,'PL-TFA-Oct'!$B$9:$C$138,2,0)</f>
        <v>2290</v>
      </c>
      <c r="N79" s="11">
        <f t="shared" si="111"/>
        <v>1145</v>
      </c>
      <c r="O79" s="11">
        <f>VLOOKUP(A79,'TFA-Nov,25'!$B$10:$C$144,2,0)</f>
        <v>2290</v>
      </c>
      <c r="P79" s="11">
        <f t="shared" si="112"/>
        <v>0</v>
      </c>
      <c r="Q79" s="11">
        <f>VLOOKUP(A79,'TB-TFL-A-Dec,25'!$B$10:$C$147,2,0)</f>
        <v>2290</v>
      </c>
      <c r="R79" s="11">
        <f t="shared" si="113"/>
        <v>0</v>
      </c>
      <c r="S79" s="11">
        <f>VLOOKUP(A79,'TB-TFL-A-Jan,26'!$B$9:$C$151,2,0)</f>
        <v>2290</v>
      </c>
      <c r="T79" s="11">
        <f t="shared" si="114"/>
        <v>0</v>
      </c>
      <c r="U79" s="11">
        <f>VLOOKUP(A79,'TB-Feb,26-a'!$B$10:$C$153,2,0)</f>
        <v>2290</v>
      </c>
      <c r="V79" s="11">
        <f t="shared" si="115"/>
        <v>0</v>
      </c>
      <c r="W79" s="83"/>
      <c r="X79" s="83"/>
      <c r="Y79" s="83"/>
      <c r="Z79" s="83"/>
      <c r="AD79" s="55"/>
    </row>
    <row r="80" spans="1:185" s="38" customFormat="1" x14ac:dyDescent="0.3">
      <c r="A80" t="s">
        <v>193</v>
      </c>
      <c r="B80" s="11"/>
      <c r="C80" s="11"/>
      <c r="D80" s="11">
        <f>+C80-B80</f>
        <v>0</v>
      </c>
      <c r="E80" s="11"/>
      <c r="F80" s="11">
        <f>+E80-C80</f>
        <v>0</v>
      </c>
      <c r="G80" s="11">
        <f>VLOOKUP(A80,'July-A'!$B$10:$C$129,2,0)</f>
        <v>8825</v>
      </c>
      <c r="H80" s="11">
        <f>+G80-E80</f>
        <v>8825</v>
      </c>
      <c r="I80" s="11">
        <f>VLOOKUP(A80,'TB-A-Aug'!$B$10:$C$132,2,0)</f>
        <v>8825</v>
      </c>
      <c r="J80" s="11">
        <f>+I80-G80</f>
        <v>0</v>
      </c>
      <c r="K80" s="11">
        <f>VLOOKUP(A80,'TFA-Sept,25'!$B$9:$C$136,2,0)</f>
        <v>21784.799999999999</v>
      </c>
      <c r="L80" s="11">
        <f>+K80-I80</f>
        <v>12959.8</v>
      </c>
      <c r="M80" s="11">
        <f>VLOOKUP(A80,'PL-TFA-Oct'!$B$9:$C$138,2,0)</f>
        <v>21784.799999999999</v>
      </c>
      <c r="N80" s="11">
        <f>+M80-K80</f>
        <v>0</v>
      </c>
      <c r="O80" s="11">
        <f>VLOOKUP(A80,'TFA-Nov,25'!$B$10:$C$144,2,0)</f>
        <v>21784.799999999999</v>
      </c>
      <c r="P80" s="11">
        <f>+O80-M80</f>
        <v>0</v>
      </c>
      <c r="Q80" s="11">
        <f>VLOOKUP(A80,'TB-TFL-A-Dec,25'!$B$10:$C$147,2,0)</f>
        <v>21784.799999999999</v>
      </c>
      <c r="R80" s="11">
        <f>+Q80-O80</f>
        <v>0</v>
      </c>
      <c r="S80" s="11">
        <f>VLOOKUP(A80,'TB-TFL-A-Jan,26'!$B$9:$C$151,2,0)</f>
        <v>21784.799999999999</v>
      </c>
      <c r="T80" s="11">
        <f>+S80-Q80</f>
        <v>0</v>
      </c>
      <c r="U80" s="11">
        <f>VLOOKUP(A80,'TB-Feb,26-a'!$B$10:$C$153,2,0)</f>
        <v>21784.799999999999</v>
      </c>
      <c r="V80" s="11">
        <f>+U80-S80</f>
        <v>0</v>
      </c>
      <c r="W80" s="83"/>
      <c r="X80" s="83"/>
      <c r="Y80" s="83"/>
      <c r="Z80" s="83"/>
      <c r="AA80" s="30"/>
      <c r="AB80"/>
      <c r="AC80"/>
      <c r="AD80" s="55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</row>
    <row r="81" spans="1:185" s="38" customFormat="1" x14ac:dyDescent="0.3">
      <c r="A81" t="s">
        <v>454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>
        <f>VLOOKUP(A81,'TB-TFL-A-Jan,26'!$B$9:$C$151,2,0)</f>
        <v>1817</v>
      </c>
      <c r="T81" s="11">
        <f>+S81-Q81</f>
        <v>1817</v>
      </c>
      <c r="U81" s="11">
        <f>VLOOKUP(A81,'TB-Feb,26-a'!$B$10:$C$153,2,0)</f>
        <v>1817</v>
      </c>
      <c r="V81" s="11">
        <f>+U81-S81</f>
        <v>0</v>
      </c>
      <c r="W81" s="83"/>
      <c r="X81" s="83"/>
      <c r="Y81" s="83"/>
      <c r="Z81" s="83"/>
      <c r="AA81" s="30"/>
      <c r="AB81"/>
      <c r="AC81"/>
      <c r="AD81" s="55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</row>
    <row r="82" spans="1:185" x14ac:dyDescent="0.3">
      <c r="A82" s="10" t="s">
        <v>46</v>
      </c>
      <c r="B82" s="54">
        <f>VLOOKUP(A82,'TFL A-April,25'!$B$9:$C$95,2,0)</f>
        <v>-1100</v>
      </c>
      <c r="C82" s="11">
        <f>VLOOKUP(A82,'May-A'!$B$10:$C$103,2,0)</f>
        <v>-1670</v>
      </c>
      <c r="D82" s="11">
        <f t="shared" ref="D82:D85" si="116">+C82-B82</f>
        <v>-570</v>
      </c>
      <c r="E82" s="11">
        <f>VLOOKUP(A82,'June,25-A'!$B$10:$C$123,2,0)</f>
        <v>-2260</v>
      </c>
      <c r="F82" s="11">
        <f t="shared" ref="F82:F85" si="117">+E82-C82</f>
        <v>-590</v>
      </c>
      <c r="G82" s="11">
        <f>VLOOKUP(A82,'July-A'!$B$10:$C$129,2,0)</f>
        <v>-3110</v>
      </c>
      <c r="H82" s="11">
        <f t="shared" si="108"/>
        <v>-850</v>
      </c>
      <c r="I82" s="11">
        <f>VLOOKUP(A82,'TB-A-Aug'!$B$10:$C$132,2,0)</f>
        <v>-4140</v>
      </c>
      <c r="J82" s="11">
        <f t="shared" ref="J82:J148" si="118">+I82-G82</f>
        <v>-1030</v>
      </c>
      <c r="K82" s="11">
        <f>VLOOKUP(A82,'TFA-Sept,25'!$B$9:$C$136,2,0)</f>
        <v>-5020</v>
      </c>
      <c r="L82" s="11">
        <f t="shared" ref="L82:L148" si="119">+K82-I82</f>
        <v>-880</v>
      </c>
      <c r="M82" s="11">
        <f>VLOOKUP(A82,'PL-TFA-Oct'!$B$9:$C$138,2,0)</f>
        <v>-6020</v>
      </c>
      <c r="N82" s="11">
        <f t="shared" ref="N82:N85" si="120">+M82-K82</f>
        <v>-1000</v>
      </c>
      <c r="O82" s="11">
        <f>VLOOKUP(A82,'TFA-Nov,25'!$B$10:$C$144,2,0)</f>
        <v>-6020</v>
      </c>
      <c r="P82" s="11">
        <f t="shared" ref="P82:P85" si="121">+O82-M82</f>
        <v>0</v>
      </c>
      <c r="Q82" s="11">
        <f>VLOOKUP(A82,'TB-TFL-A-Dec,25'!$B$10:$C$147,2,0)+120000</f>
        <v>231120</v>
      </c>
      <c r="R82" s="11">
        <f t="shared" ref="R82:R85" si="122">+Q82-O82</f>
        <v>237140</v>
      </c>
      <c r="S82" s="11">
        <f>VLOOKUP(A82,'TB-TFL-A-Jan,26'!$B$9:$C$151,2,0)+120000</f>
        <v>351120</v>
      </c>
      <c r="T82" s="11">
        <f t="shared" ref="T82:T85" si="123">+S82-Q82</f>
        <v>120000</v>
      </c>
      <c r="U82" s="11">
        <f>VLOOKUP(A82,'TB-Feb,26-a'!$B$10:$C$153,2,0)+103410</f>
        <v>444490</v>
      </c>
      <c r="V82" s="11">
        <f t="shared" ref="V82:V85" si="124">+U82-S82</f>
        <v>93370</v>
      </c>
      <c r="W82" s="83"/>
      <c r="X82" s="83"/>
      <c r="Y82" s="83"/>
      <c r="Z82" s="83"/>
      <c r="AD82" s="55"/>
    </row>
    <row r="83" spans="1:185" x14ac:dyDescent="0.3">
      <c r="A83" t="s">
        <v>55</v>
      </c>
      <c r="B83" s="11">
        <f>VLOOKUP(A83,'TFL A-April,25'!$B$9:$C$95,2,0)+25400</f>
        <v>154906.9</v>
      </c>
      <c r="C83" s="11">
        <f>VLOOKUP(A83,'May-A'!$B$10:$C$103,2,0)</f>
        <v>448759.9</v>
      </c>
      <c r="D83" s="11">
        <f t="shared" si="116"/>
        <v>293853</v>
      </c>
      <c r="E83" s="11">
        <f>VLOOKUP(A83,'June,25-A'!$B$10:$C$123,2,0)</f>
        <v>559200.9</v>
      </c>
      <c r="F83" s="11">
        <f t="shared" si="117"/>
        <v>110441</v>
      </c>
      <c r="G83" s="11">
        <f>VLOOKUP(A83,'July-A'!$B$10:$C$129,2,0)+16650</f>
        <v>789858.5</v>
      </c>
      <c r="H83" s="11">
        <f t="shared" si="108"/>
        <v>230657.59999999998</v>
      </c>
      <c r="I83" s="11">
        <f>VLOOKUP(A83,'TB-A-Aug'!$B$10:$C$132,2,0)+81766</f>
        <v>954250.7</v>
      </c>
      <c r="J83" s="11">
        <f t="shared" si="118"/>
        <v>164392.19999999995</v>
      </c>
      <c r="K83" s="11">
        <f>VLOOKUP(A83,'TFA-Sept,25'!$B$9:$C$136,2,0)+16650+26384</f>
        <v>1251679.73</v>
      </c>
      <c r="L83" s="11">
        <f t="shared" si="119"/>
        <v>297429.03000000003</v>
      </c>
      <c r="M83" s="11">
        <f>VLOOKUP(A83,'PL-TFA-Oct'!$B$9:$C$138,2,0)</f>
        <v>1683085.58</v>
      </c>
      <c r="N83" s="11">
        <f t="shared" si="120"/>
        <v>431405.85000000009</v>
      </c>
      <c r="O83" s="11">
        <f>VLOOKUP(A83,'TFA-Nov,25'!$B$10:$C$144,2,0)</f>
        <v>1939596.45</v>
      </c>
      <c r="P83" s="11">
        <f t="shared" si="121"/>
        <v>256510.86999999988</v>
      </c>
      <c r="Q83" s="11">
        <f>VLOOKUP(A83,'TB-TFL-A-Dec,25'!$B$10:$C$147,2,0)</f>
        <v>2017706.45</v>
      </c>
      <c r="R83" s="11">
        <f t="shared" si="122"/>
        <v>78110</v>
      </c>
      <c r="S83" s="11">
        <f>VLOOKUP(A83,'TB-TFL-A-Jan,26'!$B$9:$C$151,2,0)+14385</f>
        <v>2282203.25</v>
      </c>
      <c r="T83" s="11">
        <f t="shared" si="123"/>
        <v>264496.80000000005</v>
      </c>
      <c r="U83" s="11">
        <f>VLOOKUP(A83,'TB-Feb,26-a'!$B$10:$C$153,2,0)</f>
        <v>2398712.25</v>
      </c>
      <c r="V83" s="11">
        <f t="shared" si="124"/>
        <v>116509</v>
      </c>
      <c r="W83" s="83"/>
      <c r="X83" s="83"/>
      <c r="Y83" s="83"/>
      <c r="Z83" s="83"/>
      <c r="AD83" s="55"/>
    </row>
    <row r="84" spans="1:185" x14ac:dyDescent="0.3">
      <c r="A84" s="92" t="s">
        <v>360</v>
      </c>
      <c r="B84" s="11">
        <v>564066</v>
      </c>
      <c r="C84" s="11">
        <f>+B84</f>
        <v>564066</v>
      </c>
      <c r="D84" s="11">
        <f t="shared" si="116"/>
        <v>0</v>
      </c>
      <c r="E84" s="11">
        <f>+C84</f>
        <v>564066</v>
      </c>
      <c r="F84" s="11">
        <f t="shared" si="117"/>
        <v>0</v>
      </c>
      <c r="G84" s="11">
        <f>+E84</f>
        <v>564066</v>
      </c>
      <c r="H84" s="11">
        <f t="shared" si="108"/>
        <v>0</v>
      </c>
      <c r="I84" s="11">
        <f>+G84</f>
        <v>564066</v>
      </c>
      <c r="J84" s="11">
        <f t="shared" si="118"/>
        <v>0</v>
      </c>
      <c r="K84" s="11">
        <f>+I84</f>
        <v>564066</v>
      </c>
      <c r="L84" s="11">
        <f t="shared" si="119"/>
        <v>0</v>
      </c>
      <c r="M84" s="11">
        <f>+K84</f>
        <v>564066</v>
      </c>
      <c r="N84" s="11">
        <f t="shared" si="120"/>
        <v>0</v>
      </c>
      <c r="O84" s="11">
        <f>+M84</f>
        <v>564066</v>
      </c>
      <c r="P84" s="11">
        <f t="shared" si="121"/>
        <v>0</v>
      </c>
      <c r="Q84" s="11">
        <f>+O84</f>
        <v>564066</v>
      </c>
      <c r="R84" s="11">
        <f t="shared" si="122"/>
        <v>0</v>
      </c>
      <c r="S84" s="11">
        <f>+Q84</f>
        <v>564066</v>
      </c>
      <c r="T84" s="11">
        <f t="shared" si="123"/>
        <v>0</v>
      </c>
      <c r="U84" s="11">
        <f>+S84</f>
        <v>564066</v>
      </c>
      <c r="V84" s="11">
        <f t="shared" si="124"/>
        <v>0</v>
      </c>
      <c r="W84" s="83"/>
      <c r="X84" s="83"/>
      <c r="Y84" s="83"/>
      <c r="Z84" s="83"/>
      <c r="AD84" s="55"/>
    </row>
    <row r="85" spans="1:185" x14ac:dyDescent="0.3">
      <c r="A85" s="92" t="s">
        <v>361</v>
      </c>
      <c r="B85" s="11">
        <v>-583066</v>
      </c>
      <c r="C85" s="11">
        <v>0</v>
      </c>
      <c r="D85" s="11">
        <f t="shared" si="116"/>
        <v>583066</v>
      </c>
      <c r="E85" s="11">
        <v>-671047</v>
      </c>
      <c r="F85" s="11">
        <f t="shared" si="117"/>
        <v>-671047</v>
      </c>
      <c r="G85" s="11">
        <v>-841953.5</v>
      </c>
      <c r="H85" s="11">
        <f t="shared" si="108"/>
        <v>-170906.5</v>
      </c>
      <c r="I85" s="11">
        <v>-1480923.7</v>
      </c>
      <c r="J85" s="11">
        <f t="shared" si="118"/>
        <v>-638970.19999999995</v>
      </c>
      <c r="K85" s="11">
        <v>-826333</v>
      </c>
      <c r="L85" s="11">
        <f t="shared" si="119"/>
        <v>654590.69999999995</v>
      </c>
      <c r="M85" s="11">
        <f>-863731-230505</f>
        <v>-1094236</v>
      </c>
      <c r="N85" s="11">
        <f t="shared" si="120"/>
        <v>-267903</v>
      </c>
      <c r="O85" s="11">
        <f>-(778907+354553)</f>
        <v>-1133460</v>
      </c>
      <c r="P85" s="11">
        <f t="shared" si="121"/>
        <v>-39224</v>
      </c>
      <c r="Q85" s="11">
        <f>-(1157029+39197)</f>
        <v>-1196226</v>
      </c>
      <c r="R85" s="11">
        <f t="shared" si="122"/>
        <v>-62766</v>
      </c>
      <c r="S85" s="11">
        <f>-1060395-73466</f>
        <v>-1133861</v>
      </c>
      <c r="T85" s="11">
        <f t="shared" si="123"/>
        <v>62365</v>
      </c>
      <c r="U85" s="11">
        <f>-(999950+101899)</f>
        <v>-1101849</v>
      </c>
      <c r="V85" s="11">
        <f t="shared" si="124"/>
        <v>32012</v>
      </c>
      <c r="W85" s="83"/>
      <c r="X85" s="83"/>
      <c r="Y85" s="83"/>
      <c r="Z85" s="83"/>
      <c r="AD85" s="55"/>
    </row>
    <row r="86" spans="1:185" x14ac:dyDescent="0.3">
      <c r="A86" s="20" t="s">
        <v>48</v>
      </c>
      <c r="B86" s="11"/>
      <c r="C86" s="11"/>
      <c r="D86" s="11">
        <f>+C86-B86</f>
        <v>0</v>
      </c>
      <c r="E86" s="11"/>
      <c r="F86" s="11">
        <f>+E86-C86</f>
        <v>0</v>
      </c>
      <c r="G86" s="11"/>
      <c r="H86" s="11">
        <f>+G86-E86</f>
        <v>0</v>
      </c>
      <c r="I86" s="11"/>
      <c r="J86" s="11">
        <f>+I86-G86</f>
        <v>0</v>
      </c>
      <c r="K86" s="11">
        <f>VLOOKUP(A86,'TFA-Sept,25'!$B$9:$C$136,2,0)</f>
        <v>5075</v>
      </c>
      <c r="L86" s="11">
        <f>+K86-I86</f>
        <v>5075</v>
      </c>
      <c r="M86" s="11">
        <f>VLOOKUP(A86,'PL-TFA-Oct'!$B$9:$C$138,2,0)</f>
        <v>5075</v>
      </c>
      <c r="N86" s="11">
        <f>+M86-K86</f>
        <v>0</v>
      </c>
      <c r="O86" s="11">
        <f>VLOOKUP(A86,'TFA-Nov,25'!$B$10:$C$144,2,0)</f>
        <v>8757.24</v>
      </c>
      <c r="P86" s="11">
        <f>+O86-M86</f>
        <v>3682.24</v>
      </c>
      <c r="Q86" s="11">
        <f>VLOOKUP(A86,'TB-TFL-A-Dec,25'!$B$10:$C$147,2,0)</f>
        <v>8757.24</v>
      </c>
      <c r="R86" s="11">
        <f>+Q86-O86</f>
        <v>0</v>
      </c>
      <c r="S86" s="11">
        <f>VLOOKUP(A86,'TB-TFL-A-Jan,26'!$B$9:$C$151,2,0)</f>
        <v>8757.24</v>
      </c>
      <c r="T86" s="11">
        <f>+S86-Q86</f>
        <v>0</v>
      </c>
      <c r="U86" s="11">
        <f>VLOOKUP(A86,'TB-Feb,26-a'!$B$10:$C$153,2,0)</f>
        <v>8757.24</v>
      </c>
      <c r="V86" s="11">
        <f>+U86-S86</f>
        <v>0</v>
      </c>
      <c r="W86" s="83"/>
      <c r="X86" s="83"/>
      <c r="Y86" s="83"/>
      <c r="Z86" s="83"/>
      <c r="AD86" s="55"/>
    </row>
    <row r="87" spans="1:185" x14ac:dyDescent="0.3">
      <c r="A87" s="10" t="s">
        <v>47</v>
      </c>
      <c r="B87" s="54">
        <f>VLOOKUP(A87,'TFL A-April,25'!$B$9:$C$95,2,0)</f>
        <v>5020.3999999999996</v>
      </c>
      <c r="C87" s="11">
        <f>VLOOKUP(A87,'May-A'!$B$10:$C$103,2,0)</f>
        <v>5020.3999999999996</v>
      </c>
      <c r="D87" s="11">
        <f>+C87-B87</f>
        <v>0</v>
      </c>
      <c r="E87" s="11">
        <f>VLOOKUP(A87,'June,25-A'!$B$10:$C$123,2,0)</f>
        <v>10511.88</v>
      </c>
      <c r="F87" s="11">
        <f>+E87-C87</f>
        <v>5491.48</v>
      </c>
      <c r="G87" s="11">
        <f>VLOOKUP(A87,'July-A'!$B$10:$C$129,2,0)+26382</f>
        <v>36893.879999999997</v>
      </c>
      <c r="H87" s="11">
        <f t="shared" si="108"/>
        <v>26382</v>
      </c>
      <c r="I87" s="11">
        <f>VLOOKUP(A87,'TB-A-Aug'!$B$10:$C$132,2,0)</f>
        <v>10511.88</v>
      </c>
      <c r="J87" s="11">
        <f t="shared" si="118"/>
        <v>-26382</v>
      </c>
      <c r="K87" s="11">
        <f>VLOOKUP(A87,'TFA-Sept,25'!$B$9:$C$136,2,0)</f>
        <v>13011.88</v>
      </c>
      <c r="L87" s="11">
        <f t="shared" si="119"/>
        <v>2500</v>
      </c>
      <c r="M87" s="11">
        <f>VLOOKUP(A87,'PL-TFA-Oct'!$B$9:$C$138,2,0)</f>
        <v>13011.88</v>
      </c>
      <c r="N87" s="11">
        <f t="shared" ref="N87:N154" si="125">+M87-K87</f>
        <v>0</v>
      </c>
      <c r="O87" s="11">
        <f>VLOOKUP(A87,'TFA-Nov,25'!$B$10:$C$144,2,0)</f>
        <v>13011.88</v>
      </c>
      <c r="P87" s="11">
        <f t="shared" ref="P87:P154" si="126">+O87-M87</f>
        <v>0</v>
      </c>
      <c r="Q87" s="11">
        <f>VLOOKUP(A87,'TB-TFL-A-Dec,25'!$B$10:$C$147,2,0)</f>
        <v>39393.879999999997</v>
      </c>
      <c r="R87" s="11">
        <f t="shared" ref="R87:R154" si="127">+Q87-O87</f>
        <v>26382</v>
      </c>
      <c r="S87" s="11">
        <f>VLOOKUP(A87,'TB-TFL-A-Jan,26'!$B$9:$C$151,2,0)</f>
        <v>39393.879999999997</v>
      </c>
      <c r="T87" s="11">
        <f t="shared" ref="T87:T154" si="128">+S87-Q87</f>
        <v>0</v>
      </c>
      <c r="U87" s="11">
        <f>VLOOKUP(A87,'TB-Feb,26-a'!$B$10:$C$153,2,0)</f>
        <v>39393.879999999997</v>
      </c>
      <c r="V87" s="11">
        <f t="shared" ref="V87:V154" si="129">+U87-S87</f>
        <v>0</v>
      </c>
      <c r="W87" s="83"/>
      <c r="X87" s="83"/>
      <c r="Y87" s="83"/>
      <c r="Z87" s="83"/>
      <c r="AD87" s="55"/>
    </row>
    <row r="88" spans="1:185" x14ac:dyDescent="0.3">
      <c r="A88" t="s">
        <v>200</v>
      </c>
      <c r="B88" s="11">
        <f>VLOOKUP(A88,'TFL A-April,25'!$B$9:$C$95,2,0)</f>
        <v>59130.6</v>
      </c>
      <c r="C88" s="11">
        <f>VLOOKUP(A88,'May-A'!$B$10:$C$103,2,0)</f>
        <v>373364.47999999998</v>
      </c>
      <c r="D88" s="11">
        <f>+C88-B88</f>
        <v>314233.88</v>
      </c>
      <c r="E88" s="11">
        <f>VLOOKUP(A88,'June,25-A'!$B$10:$C$123,2,0)+3080</f>
        <v>428677.54</v>
      </c>
      <c r="F88" s="11">
        <f>+E88-C88</f>
        <v>55313.06</v>
      </c>
      <c r="G88" s="11">
        <f>VLOOKUP(A88,'July-A'!$B$10:$C$129,2,0)</f>
        <v>470977.14</v>
      </c>
      <c r="H88" s="11">
        <f t="shared" si="108"/>
        <v>42299.600000000035</v>
      </c>
      <c r="I88" s="11">
        <f>VLOOKUP(A88,'TB-A-Aug'!$B$10:$C$132,2,0)</f>
        <v>500499.18</v>
      </c>
      <c r="J88" s="11">
        <f t="shared" si="118"/>
        <v>29522.039999999979</v>
      </c>
      <c r="K88" s="11">
        <f>VLOOKUP(A88,'TFA-Sept,25'!$B$9:$C$136,2,0)</f>
        <v>518256.82</v>
      </c>
      <c r="L88" s="11">
        <f t="shared" si="119"/>
        <v>17757.640000000014</v>
      </c>
      <c r="M88" s="11">
        <f>VLOOKUP(A88,'PL-TFA-Oct'!$B$9:$C$138,2,0)</f>
        <v>518256.82</v>
      </c>
      <c r="N88" s="66">
        <f t="shared" si="125"/>
        <v>0</v>
      </c>
      <c r="O88" s="11">
        <f>VLOOKUP(A88,'TFA-Nov,25'!$B$10:$C$144,2,0)</f>
        <v>523880.5</v>
      </c>
      <c r="P88" s="66">
        <f t="shared" si="126"/>
        <v>5623.679999999993</v>
      </c>
      <c r="Q88" s="11">
        <f>VLOOKUP(A88,'TB-TFL-A-Dec,25'!$B$10:$C$147,2,0)</f>
        <v>602137.81999999995</v>
      </c>
      <c r="R88" s="11">
        <f t="shared" si="127"/>
        <v>78257.319999999949</v>
      </c>
      <c r="S88" s="11">
        <f>VLOOKUP(A88,'TB-TFL-A-Jan,26'!$B$9:$C$151,2,0)</f>
        <v>675450.3</v>
      </c>
      <c r="T88" s="11">
        <f t="shared" si="128"/>
        <v>73312.480000000098</v>
      </c>
      <c r="U88" s="11">
        <f>VLOOKUP(A88,'TB-Feb,26-a'!$B$10:$C$153,2,0)+25711</f>
        <v>716961.3</v>
      </c>
      <c r="V88" s="11">
        <f t="shared" si="129"/>
        <v>41511</v>
      </c>
      <c r="W88" s="83"/>
      <c r="X88" s="83"/>
      <c r="Y88" s="83"/>
      <c r="Z88" s="83"/>
      <c r="AD88" s="55"/>
    </row>
    <row r="89" spans="1:185" x14ac:dyDescent="0.3">
      <c r="A89" s="10" t="s">
        <v>45</v>
      </c>
      <c r="B89" s="54">
        <f>VLOOKUP(A89,'TFL A-April,25'!$B$9:$C$95,2,0)</f>
        <v>510</v>
      </c>
      <c r="C89" s="11">
        <f>VLOOKUP(A89,'May-A'!$B$10:$C$103,2,0)</f>
        <v>1198</v>
      </c>
      <c r="D89" s="11">
        <f>+C89-B89</f>
        <v>688</v>
      </c>
      <c r="E89" s="11">
        <f>VLOOKUP(A89,'June,25-A'!$B$10:$C$123,2,0)</f>
        <v>1198</v>
      </c>
      <c r="F89" s="11">
        <f>+E89-C89</f>
        <v>0</v>
      </c>
      <c r="G89" s="11">
        <f>VLOOKUP(A89,'July-A'!$B$10:$C$129,2,0)</f>
        <v>1198</v>
      </c>
      <c r="H89" s="11">
        <f t="shared" si="108"/>
        <v>0</v>
      </c>
      <c r="I89" s="11">
        <f>VLOOKUP(A89,'TB-A-Aug'!$B$10:$C$132,2,0)</f>
        <v>1198</v>
      </c>
      <c r="J89" s="11">
        <f t="shared" si="118"/>
        <v>0</v>
      </c>
      <c r="K89" s="11">
        <f>VLOOKUP(A89,'TFA-Sept,25'!$B$9:$C$136,2,0)</f>
        <v>1198</v>
      </c>
      <c r="L89" s="11">
        <f t="shared" si="119"/>
        <v>0</v>
      </c>
      <c r="M89" s="11">
        <f>VLOOKUP(A89,'PL-TFA-Oct'!$B$9:$C$138,2,0)</f>
        <v>1198</v>
      </c>
      <c r="N89" s="11">
        <f t="shared" si="125"/>
        <v>0</v>
      </c>
      <c r="O89" s="11">
        <f>VLOOKUP(A89,'TFA-Nov,25'!$B$10:$C$144,2,0)</f>
        <v>1198</v>
      </c>
      <c r="P89" s="11">
        <f t="shared" si="126"/>
        <v>0</v>
      </c>
      <c r="Q89" s="11">
        <f>VLOOKUP(A89,'TB-TFL-A-Dec,25'!$B$10:$C$147,2,0)</f>
        <v>1198</v>
      </c>
      <c r="R89" s="11">
        <f t="shared" si="127"/>
        <v>0</v>
      </c>
      <c r="S89" s="11">
        <f>VLOOKUP(A89,'TB-TFL-A-Jan,26'!$B$9:$C$151,2,0)</f>
        <v>2198</v>
      </c>
      <c r="T89" s="11">
        <f t="shared" si="128"/>
        <v>1000</v>
      </c>
      <c r="U89" s="11">
        <f>VLOOKUP(A89,'TB-Feb,26-a'!$B$10:$C$153,2,0)</f>
        <v>2698</v>
      </c>
      <c r="V89" s="11">
        <f t="shared" si="129"/>
        <v>500</v>
      </c>
      <c r="W89" s="83"/>
      <c r="X89" s="83"/>
      <c r="Y89" s="83"/>
      <c r="Z89" s="83"/>
      <c r="AD89" s="55"/>
    </row>
    <row r="90" spans="1:185" x14ac:dyDescent="0.3">
      <c r="A90" s="10" t="s">
        <v>201</v>
      </c>
      <c r="B90" s="11">
        <f>VLOOKUP(A90,'TFL A-April,25'!$B$9:$C$95,2,0)</f>
        <v>149230.46</v>
      </c>
      <c r="C90" s="11">
        <f>VLOOKUP(A90,'May-A'!$B$10:$C$103,2,0)</f>
        <v>177400.46</v>
      </c>
      <c r="D90" s="11">
        <f>+C90-B90</f>
        <v>28170</v>
      </c>
      <c r="E90" s="11">
        <f>VLOOKUP(A90,'June,25-A'!$B$10:$C$123,2,0)</f>
        <v>554755.46</v>
      </c>
      <c r="F90" s="11">
        <f>+E90-C90</f>
        <v>377355</v>
      </c>
      <c r="G90" s="11">
        <f>VLOOKUP(A90,'July-A'!$B$10:$C$129,2,0)</f>
        <v>698450.46</v>
      </c>
      <c r="H90" s="11">
        <f t="shared" si="108"/>
        <v>143695</v>
      </c>
      <c r="I90" s="11">
        <f>VLOOKUP(A90,'TB-A-Aug'!$B$10:$C$132,2,0)</f>
        <v>698750.46</v>
      </c>
      <c r="J90" s="11">
        <f t="shared" si="118"/>
        <v>300</v>
      </c>
      <c r="K90" s="11">
        <f>VLOOKUP(A90,'TFA-Sept,25'!$B$9:$C$136,2,0)</f>
        <v>709950.46</v>
      </c>
      <c r="L90" s="11">
        <f t="shared" si="119"/>
        <v>11200</v>
      </c>
      <c r="M90" s="11">
        <f>VLOOKUP(A90,'PL-TFA-Oct'!$B$9:$C$138,2,0)</f>
        <v>709950.46</v>
      </c>
      <c r="N90" s="11">
        <f t="shared" si="125"/>
        <v>0</v>
      </c>
      <c r="O90" s="11">
        <f>VLOOKUP(A90,'TFA-Nov,25'!$B$10:$C$144,2,0)</f>
        <v>709950.46</v>
      </c>
      <c r="P90" s="11">
        <f t="shared" si="126"/>
        <v>0</v>
      </c>
      <c r="Q90" s="11">
        <f>VLOOKUP(A90,'TB-TFL-A-Dec,25'!$B$10:$C$147,2,0)</f>
        <v>709950.46</v>
      </c>
      <c r="R90" s="11">
        <f t="shared" si="127"/>
        <v>0</v>
      </c>
      <c r="S90" s="11">
        <f>VLOOKUP(A90,'TB-TFL-A-Jan,26'!$B$9:$C$151,2,0)</f>
        <v>709950.46</v>
      </c>
      <c r="T90" s="11">
        <f t="shared" si="128"/>
        <v>0</v>
      </c>
      <c r="U90" s="11">
        <f>VLOOKUP(A90,'TB-Feb,26-a'!$B$10:$C$153,2,0)</f>
        <v>730200.46</v>
      </c>
      <c r="V90" s="11">
        <f t="shared" si="129"/>
        <v>20250</v>
      </c>
      <c r="W90" s="83"/>
      <c r="X90" s="83"/>
      <c r="Y90" s="83"/>
      <c r="Z90" s="83"/>
      <c r="AD90" s="55"/>
    </row>
    <row r="91" spans="1:185" x14ac:dyDescent="0.3">
      <c r="A91" t="s">
        <v>100</v>
      </c>
      <c r="B91" s="11"/>
      <c r="C91" s="11"/>
      <c r="D91" s="11"/>
      <c r="E91" s="11"/>
      <c r="F91" s="11"/>
      <c r="G91" s="11"/>
      <c r="H91" s="11"/>
      <c r="I91" s="11">
        <f>VLOOKUP(A91,'TB-A-Aug'!$B$10:$C$132,2,0)</f>
        <v>13353.84</v>
      </c>
      <c r="J91" s="11">
        <f t="shared" si="118"/>
        <v>13353.84</v>
      </c>
      <c r="K91" s="11">
        <f>VLOOKUP(A91,'TFA-Sept,25'!$B$9:$C$136,2,0)</f>
        <v>33513.839999999997</v>
      </c>
      <c r="L91" s="11">
        <f t="shared" si="119"/>
        <v>20159.999999999996</v>
      </c>
      <c r="M91" s="11">
        <f>VLOOKUP(A91,'PL-TFA-Oct'!$B$9:$C$138,2,0)</f>
        <v>33513.839999999997</v>
      </c>
      <c r="N91" s="11">
        <f t="shared" si="125"/>
        <v>0</v>
      </c>
      <c r="O91" s="11">
        <f>VLOOKUP(A91,'TFA-Nov,25'!$B$10:$C$144,2,0)</f>
        <v>33513.839999999997</v>
      </c>
      <c r="P91" s="11">
        <f t="shared" si="126"/>
        <v>0</v>
      </c>
      <c r="Q91" s="11">
        <f>VLOOKUP(A91,'TB-TFL-A-Dec,25'!$B$10:$C$147,2,0)</f>
        <v>33513.839999999997</v>
      </c>
      <c r="R91" s="11">
        <f t="shared" si="127"/>
        <v>0</v>
      </c>
      <c r="S91" s="11">
        <f>VLOOKUP(A91,'TB-TFL-A-Jan,26'!$B$9:$C$151,2,0)</f>
        <v>33513.839999999997</v>
      </c>
      <c r="T91" s="11">
        <f t="shared" si="128"/>
        <v>0</v>
      </c>
      <c r="U91" s="11">
        <f>VLOOKUP(A91,'TB-Feb,26-a'!$B$10:$C$153,2,0)</f>
        <v>33513.839999999997</v>
      </c>
      <c r="V91" s="11">
        <f t="shared" si="129"/>
        <v>0</v>
      </c>
      <c r="W91" s="83"/>
      <c r="X91" s="83"/>
      <c r="Y91" s="83"/>
      <c r="Z91" s="83"/>
      <c r="AD91" s="55"/>
    </row>
    <row r="92" spans="1:185" x14ac:dyDescent="0.3">
      <c r="A92" s="10" t="s">
        <v>96</v>
      </c>
      <c r="B92" s="11"/>
      <c r="C92" s="11"/>
      <c r="D92" s="11">
        <f t="shared" si="106"/>
        <v>0</v>
      </c>
      <c r="E92" s="11">
        <f>VLOOKUP(A92,'June,25-A'!$B$10:$C$123,2,0)</f>
        <v>5550</v>
      </c>
      <c r="F92" s="11">
        <f t="shared" si="107"/>
        <v>5550</v>
      </c>
      <c r="G92" s="11">
        <f>VLOOKUP(A92,'July-A'!$B$10:$C$129,2,0)</f>
        <v>5550</v>
      </c>
      <c r="H92" s="11">
        <f t="shared" si="108"/>
        <v>0</v>
      </c>
      <c r="I92" s="11">
        <f>VLOOKUP(A92,'TB-A-Aug'!$B$10:$C$132,2,0)</f>
        <v>5550</v>
      </c>
      <c r="J92" s="11">
        <f t="shared" si="118"/>
        <v>0</v>
      </c>
      <c r="K92" s="11">
        <f>VLOOKUP(A92,'TFA-Sept,25'!$B$9:$C$136,2,0)</f>
        <v>5550</v>
      </c>
      <c r="L92" s="11">
        <f t="shared" si="119"/>
        <v>0</v>
      </c>
      <c r="M92" s="11">
        <f>VLOOKUP(A92,'PL-TFA-Oct'!$B$9:$C$138,2,0)</f>
        <v>5550</v>
      </c>
      <c r="N92" s="11">
        <f t="shared" si="125"/>
        <v>0</v>
      </c>
      <c r="O92" s="11">
        <f>VLOOKUP(A92,'TFA-Nov,25'!$B$10:$C$144,2,0)</f>
        <v>14700</v>
      </c>
      <c r="P92" s="11">
        <f t="shared" si="126"/>
        <v>9150</v>
      </c>
      <c r="Q92" s="11">
        <f>VLOOKUP(A92,'TB-TFL-A-Dec,25'!$B$10:$C$147,2,0)</f>
        <v>15080</v>
      </c>
      <c r="R92" s="11">
        <f t="shared" si="127"/>
        <v>380</v>
      </c>
      <c r="S92" s="11">
        <f>VLOOKUP(A92,'TB-TFL-A-Jan,26'!$B$9:$C$151,2,0)</f>
        <v>16050</v>
      </c>
      <c r="T92" s="11">
        <f t="shared" si="128"/>
        <v>970</v>
      </c>
      <c r="U92" s="11">
        <f>VLOOKUP(A92,'TB-Feb,26-a'!$B$10:$C$153,2,0)</f>
        <v>22660</v>
      </c>
      <c r="V92" s="11">
        <f t="shared" si="129"/>
        <v>6610</v>
      </c>
      <c r="W92" s="83"/>
      <c r="X92" s="83"/>
      <c r="Y92" s="83"/>
      <c r="Z92" s="83"/>
      <c r="AD92" s="55"/>
      <c r="AE92" s="55"/>
      <c r="AF92" s="55"/>
    </row>
    <row r="93" spans="1:185" x14ac:dyDescent="0.3">
      <c r="A93" s="10" t="s">
        <v>67</v>
      </c>
      <c r="B93" s="11"/>
      <c r="C93" s="11"/>
      <c r="D93" s="11">
        <f t="shared" si="106"/>
        <v>0</v>
      </c>
      <c r="E93" s="11">
        <f>VLOOKUP(A93,'June,25-A'!$B$10:$C$123,2,0)-Prepaid!F8</f>
        <v>94474.5</v>
      </c>
      <c r="F93" s="11">
        <f t="shared" si="107"/>
        <v>94474.5</v>
      </c>
      <c r="G93" s="11">
        <f>VLOOKUP(A93,'July-A'!$B$10:$C$129,2,0)-Prepaid!G8</f>
        <v>117211.33333333334</v>
      </c>
      <c r="H93" s="11">
        <f t="shared" si="108"/>
        <v>22736.833333333343</v>
      </c>
      <c r="I93" s="11">
        <f>VLOOKUP(A93,'TB-A-Aug'!$B$10:$C$132,2,0)-Prepaid!H8</f>
        <v>179078.16666666669</v>
      </c>
      <c r="J93" s="11">
        <f t="shared" si="118"/>
        <v>61866.833333333343</v>
      </c>
      <c r="K93" s="11">
        <f>VLOOKUP(A93,'TFA-Sept,25'!$B$9:$C$136,2,0)-Prepaid!I8</f>
        <v>201815</v>
      </c>
      <c r="L93" s="11">
        <f t="shared" si="119"/>
        <v>22736.833333333314</v>
      </c>
      <c r="M93" s="11">
        <f>VLOOKUP(A93,'PL-TFA-Oct'!$B$9:$C$138,2,0)-Prepaid!J8</f>
        <v>224551.83333333334</v>
      </c>
      <c r="N93" s="11">
        <f t="shared" si="125"/>
        <v>22736.833333333343</v>
      </c>
      <c r="O93" s="11">
        <f>VLOOKUP(A93,'TFA-Nov,25'!$B$10:$C$144,2,0)-Prepaid!K8</f>
        <v>247288.66666666669</v>
      </c>
      <c r="P93" s="11">
        <f t="shared" si="126"/>
        <v>22736.833333333343</v>
      </c>
      <c r="Q93" s="11">
        <f>VLOOKUP(A93,'TB-TFL-A-Dec,25'!$B$10:$C$147,2,0)-Prepaid!L8</f>
        <v>270025.5</v>
      </c>
      <c r="R93" s="11">
        <f t="shared" si="127"/>
        <v>22736.833333333314</v>
      </c>
      <c r="S93" s="11">
        <f>VLOOKUP(A93,'TB-TFL-A-Jan,26'!$B$9:$C$151,2,0)-Prepaid!M8</f>
        <v>292762.33333333331</v>
      </c>
      <c r="T93" s="11">
        <f t="shared" si="128"/>
        <v>22736.833333333314</v>
      </c>
      <c r="U93" s="11">
        <f>VLOOKUP(A93,'TB-Feb,26-a'!$B$10:$C$153,2,0)-Prepaid!N8</f>
        <v>351373.16666666669</v>
      </c>
      <c r="V93" s="11">
        <f t="shared" si="129"/>
        <v>58610.833333333372</v>
      </c>
      <c r="W93" s="83"/>
      <c r="X93" s="83"/>
      <c r="Y93" s="83"/>
      <c r="Z93" s="83"/>
      <c r="AD93" s="55"/>
      <c r="AE93" s="55"/>
      <c r="AF93" s="55"/>
    </row>
    <row r="94" spans="1:185" x14ac:dyDescent="0.3">
      <c r="A94" s="10" t="s">
        <v>102</v>
      </c>
      <c r="B94" s="16">
        <f>VLOOKUP(A94,'TFL A-April,25'!$B$9:$C$95,2,0)</f>
        <v>39267</v>
      </c>
      <c r="C94" s="11">
        <f>VLOOKUP(A94,'May-A'!$B$10:$C$103,2,0)</f>
        <v>77880</v>
      </c>
      <c r="D94" s="11">
        <f t="shared" si="106"/>
        <v>38613</v>
      </c>
      <c r="E94" s="11">
        <f>VLOOKUP(A94,'June,25-A'!$B$10:$C$123,2,0)+46335</f>
        <v>124215</v>
      </c>
      <c r="F94" s="11">
        <f t="shared" si="107"/>
        <v>46335</v>
      </c>
      <c r="G94" s="11">
        <f>VLOOKUP(A94,'July-A'!$B$10:$C$129,2,0)+46335-46335</f>
        <v>107013</v>
      </c>
      <c r="H94" s="11">
        <f t="shared" si="108"/>
        <v>-17202</v>
      </c>
      <c r="I94" s="11">
        <f>VLOOKUP(A94,'TB-A-Aug'!$B$10:$C$132,2,0)</f>
        <v>121336</v>
      </c>
      <c r="J94" s="66">
        <f t="shared" si="118"/>
        <v>14323</v>
      </c>
      <c r="K94" s="11">
        <f>VLOOKUP(A94,'TFA-Sept,25'!$B$9:$C$136,2,0)</f>
        <v>121336</v>
      </c>
      <c r="L94" s="66">
        <f t="shared" si="119"/>
        <v>0</v>
      </c>
      <c r="M94" s="11">
        <f>VLOOKUP(A94,'PL-TFA-Oct'!$B$9:$C$138,2,0)</f>
        <v>121336</v>
      </c>
      <c r="N94" s="66">
        <f t="shared" si="125"/>
        <v>0</v>
      </c>
      <c r="O94" s="11">
        <f>VLOOKUP(A94,'TFA-Nov,25'!$B$10:$C$144,2,0)</f>
        <v>121336</v>
      </c>
      <c r="P94" s="66">
        <f t="shared" si="126"/>
        <v>0</v>
      </c>
      <c r="Q94" s="11">
        <f>VLOOKUP(A94,'TB-TFL-A-Dec,25'!$B$10:$C$147,2,0)</f>
        <v>121336</v>
      </c>
      <c r="R94" s="66">
        <f t="shared" si="127"/>
        <v>0</v>
      </c>
      <c r="S94" s="11">
        <f>VLOOKUP(A94,'TB-TFL-A-Jan,26'!$B$9:$C$151,2,0)</f>
        <v>121336</v>
      </c>
      <c r="T94" s="66">
        <f t="shared" si="128"/>
        <v>0</v>
      </c>
      <c r="U94" s="11">
        <f>VLOOKUP(A94,'TB-Feb,26-a'!$B$10:$C$153,2,0)</f>
        <v>121336</v>
      </c>
      <c r="V94" s="66">
        <f t="shared" si="129"/>
        <v>0</v>
      </c>
      <c r="W94" s="83"/>
      <c r="X94" s="83"/>
      <c r="Y94" s="83"/>
      <c r="Z94" s="83"/>
      <c r="AD94" s="55"/>
      <c r="AE94" s="55"/>
      <c r="AF94" s="55"/>
    </row>
    <row r="95" spans="1:185" x14ac:dyDescent="0.3">
      <c r="A95" s="10" t="s">
        <v>54</v>
      </c>
      <c r="B95" s="16">
        <f>VLOOKUP(A95,'TFL A-April,25'!$B$9:$C$95,2,0)+65486</f>
        <v>125618.86</v>
      </c>
      <c r="C95" s="11">
        <f>VLOOKUP(A95,'May-A'!$B$10:$C$103,2,0)+48391</f>
        <v>154895.41999999998</v>
      </c>
      <c r="D95" s="11">
        <f t="shared" si="106"/>
        <v>29276.559999999983</v>
      </c>
      <c r="E95" s="11">
        <f>VLOOKUP(A95,'June,25-A'!$B$10:$C$123,2,0)+65681</f>
        <v>181047.62</v>
      </c>
      <c r="F95" s="11">
        <f t="shared" si="107"/>
        <v>26152.200000000012</v>
      </c>
      <c r="G95" s="11">
        <f>VLOOKUP(A95,'July-A'!$B$10:$C$129,2,0)+45519</f>
        <v>290889.78000000003</v>
      </c>
      <c r="H95" s="11">
        <f t="shared" si="108"/>
        <v>109842.16000000003</v>
      </c>
      <c r="I95" s="11">
        <f>VLOOKUP(A95,'TB-A-Aug'!$B$10:$C$132,2,0)+10937</f>
        <v>326700.21999999997</v>
      </c>
      <c r="J95" s="11">
        <f t="shared" si="118"/>
        <v>35810.439999999944</v>
      </c>
      <c r="K95" s="11">
        <f>VLOOKUP(A95,'TFA-Sept,25'!$B$9:$C$136,2,0)+63015</f>
        <v>436283.26</v>
      </c>
      <c r="L95" s="11">
        <f t="shared" si="119"/>
        <v>109583.04000000004</v>
      </c>
      <c r="M95" s="11">
        <f>VLOOKUP(A95,'PL-TFA-Oct'!$B$9:$C$138,2,0)+29605</f>
        <v>486474.98</v>
      </c>
      <c r="N95" s="11">
        <f t="shared" si="125"/>
        <v>50191.719999999972</v>
      </c>
      <c r="O95" s="11">
        <f>VLOOKUP(A95,'TFA-Nov,25'!$B$10:$C$144,2,0)</f>
        <v>543738.74</v>
      </c>
      <c r="P95" s="11">
        <f t="shared" si="126"/>
        <v>57263.760000000009</v>
      </c>
      <c r="Q95" s="11">
        <f>VLOOKUP(A95,'TB-TFL-A-Dec,25'!$B$10:$C$147,2,0)+71447</f>
        <v>620555.74</v>
      </c>
      <c r="R95" s="11">
        <f t="shared" si="127"/>
        <v>76817</v>
      </c>
      <c r="S95" s="11">
        <f>VLOOKUP(A95,'TB-TFL-A-Jan,26'!$B$9:$C$151,2,0)+41743</f>
        <v>715918.44</v>
      </c>
      <c r="T95" s="11">
        <f t="shared" si="128"/>
        <v>95362.699999999953</v>
      </c>
      <c r="U95" s="11">
        <f>VLOOKUP(A95,'TB-Feb,26-a'!$B$10:$C$153,2,0)+99162</f>
        <v>781330.44</v>
      </c>
      <c r="V95" s="11">
        <f t="shared" si="129"/>
        <v>65412</v>
      </c>
      <c r="W95" s="83"/>
      <c r="X95" s="83"/>
      <c r="Y95" s="83"/>
      <c r="Z95" s="83"/>
      <c r="AD95" s="55"/>
      <c r="AE95" s="55"/>
      <c r="AF95" s="55"/>
    </row>
    <row r="96" spans="1:185" x14ac:dyDescent="0.3">
      <c r="A96" s="10" t="s">
        <v>205</v>
      </c>
      <c r="B96" s="16">
        <f>VLOOKUP(A96,'TFL A-April,25'!$B$9:$C$95,2,0)</f>
        <v>112531</v>
      </c>
      <c r="C96" s="11">
        <f>VLOOKUP(A96,'May-A'!$B$10:$C$103,2,0)</f>
        <v>314618</v>
      </c>
      <c r="D96" s="11">
        <f t="shared" si="106"/>
        <v>202087</v>
      </c>
      <c r="E96" s="11">
        <f>VLOOKUP(A96,'June,25-A'!$B$10:$C$123,2,0)</f>
        <v>436862</v>
      </c>
      <c r="F96" s="11">
        <f t="shared" si="107"/>
        <v>122244</v>
      </c>
      <c r="G96" s="11">
        <f>VLOOKUP(A96,'July-A'!$B$10:$C$129,2,0)</f>
        <v>594613</v>
      </c>
      <c r="H96" s="11">
        <f t="shared" si="108"/>
        <v>157751</v>
      </c>
      <c r="I96" s="11">
        <f>VLOOKUP(A96,'TB-A-Aug'!$B$10:$C$132,2,0)</f>
        <v>740747</v>
      </c>
      <c r="J96" s="11">
        <f t="shared" si="118"/>
        <v>146134</v>
      </c>
      <c r="K96" s="11">
        <f>VLOOKUP(A96,'TFA-Sept,25'!$B$9:$C$136,2,0)</f>
        <v>912109</v>
      </c>
      <c r="L96" s="11">
        <f t="shared" si="119"/>
        <v>171362</v>
      </c>
      <c r="M96" s="11">
        <f>VLOOKUP(A96,'PL-TFA-Oct'!$B$9:$C$138,2,0)</f>
        <v>1134569</v>
      </c>
      <c r="N96" s="11">
        <f t="shared" si="125"/>
        <v>222460</v>
      </c>
      <c r="O96" s="11">
        <f>VLOOKUP(A96,'TFA-Nov,25'!$B$10:$C$144,2,0)</f>
        <v>1388181</v>
      </c>
      <c r="P96" s="11">
        <f t="shared" si="126"/>
        <v>253612</v>
      </c>
      <c r="Q96" s="11">
        <f>VLOOKUP(A96,'TB-TFL-A-Dec,25'!$B$10:$C$147,2,0)</f>
        <v>1536321</v>
      </c>
      <c r="R96" s="11">
        <f t="shared" si="127"/>
        <v>148140</v>
      </c>
      <c r="S96" s="11">
        <f>VLOOKUP(A96,'TB-TFL-A-Jan,26'!$B$9:$C$151,2,0)</f>
        <v>1671868</v>
      </c>
      <c r="T96" s="11">
        <f t="shared" si="128"/>
        <v>135547</v>
      </c>
      <c r="U96" s="11">
        <f>VLOOKUP(A96,'TB-Feb,26-a'!$B$10:$C$153,2,0)</f>
        <v>1850082</v>
      </c>
      <c r="V96" s="11">
        <f t="shared" si="129"/>
        <v>178214</v>
      </c>
      <c r="W96" s="83"/>
      <c r="X96" s="83"/>
      <c r="Y96" s="83"/>
      <c r="Z96" s="83"/>
      <c r="AD96" s="55"/>
      <c r="AE96" s="55"/>
      <c r="AF96" s="55"/>
    </row>
    <row r="97" spans="1:32" x14ac:dyDescent="0.3">
      <c r="A97" s="10" t="s">
        <v>95</v>
      </c>
      <c r="B97" s="16">
        <f>VLOOKUP(A97,'TFL A-April,25'!$B$9:$C$95,2,0)</f>
        <v>202772.75</v>
      </c>
      <c r="C97" s="11">
        <f>VLOOKUP(A97,'May-A'!$B$10:$C$103,2,0)</f>
        <v>723256.55</v>
      </c>
      <c r="D97" s="11">
        <f t="shared" si="106"/>
        <v>520483.80000000005</v>
      </c>
      <c r="E97" s="11">
        <f>VLOOKUP(A97,'June,25-A'!$B$10:$C$123,2,0)-Prepaid!F10</f>
        <v>1015166.04</v>
      </c>
      <c r="F97" s="11">
        <f t="shared" si="107"/>
        <v>291909.49</v>
      </c>
      <c r="G97" s="11">
        <f>VLOOKUP(A97,'July-A'!$B$10:$C$129,2,0)-Prepaid!G10</f>
        <v>1400483.7233333332</v>
      </c>
      <c r="H97" s="11">
        <f t="shared" si="108"/>
        <v>385317.68333333312</v>
      </c>
      <c r="I97" s="11">
        <f>VLOOKUP(A97,'TB-A-Aug'!$B$10:$C$132,2,0)-Prepaid!H10</f>
        <v>1789059.5066666668</v>
      </c>
      <c r="J97" s="11">
        <f t="shared" si="118"/>
        <v>388575.78333333367</v>
      </c>
      <c r="K97" s="11">
        <f>VLOOKUP(A97,'TFA-Sept,25'!$B$9:$C$136,2,0)+5679-Prepaid!I10</f>
        <v>2154280.59</v>
      </c>
      <c r="L97" s="11">
        <f t="shared" si="119"/>
        <v>365221.08333333302</v>
      </c>
      <c r="M97" s="11">
        <f>VLOOKUP(A97,'PL-TFA-Oct'!$B$9:$C$138,2,0)-Prepaid!J10</f>
        <v>2585545.9933333336</v>
      </c>
      <c r="N97" s="11">
        <f t="shared" si="125"/>
        <v>431265.40333333379</v>
      </c>
      <c r="O97" s="11">
        <f>VLOOKUP(A97,'TFA-Nov,25'!$B$10:$C$144,2,0)-Prepaid!K10</f>
        <v>2823586.0766666667</v>
      </c>
      <c r="P97" s="11">
        <f t="shared" si="126"/>
        <v>238040.08333333302</v>
      </c>
      <c r="Q97" s="11">
        <f>VLOOKUP(A97,'TB-TFL-A-Dec,25'!$B$10:$C$147,2,0)-Prepaid!L10</f>
        <v>3243823.69</v>
      </c>
      <c r="R97" s="11">
        <f t="shared" si="127"/>
        <v>420237.61333333328</v>
      </c>
      <c r="S97" s="11">
        <f>VLOOKUP(A97,'TB-TFL-A-Jan,26'!$B$9:$C$151,2,0)-Prepaid!M10</f>
        <v>3589408.7733333334</v>
      </c>
      <c r="T97" s="11">
        <f t="shared" si="128"/>
        <v>345585.08333333349</v>
      </c>
      <c r="U97" s="11">
        <f>VLOOKUP(A97,'TB-Feb,26-a'!$B$10:$C$153,2,0)-Prepaid!N10</f>
        <v>3808571.6766666663</v>
      </c>
      <c r="V97" s="11">
        <f t="shared" si="129"/>
        <v>219162.90333333286</v>
      </c>
      <c r="W97" s="83"/>
      <c r="X97" s="83"/>
      <c r="Y97" s="83"/>
      <c r="Z97" s="83"/>
      <c r="AD97" s="55"/>
      <c r="AE97" s="55"/>
      <c r="AF97" s="55"/>
    </row>
    <row r="98" spans="1:32" x14ac:dyDescent="0.3">
      <c r="A98" s="10" t="s">
        <v>206</v>
      </c>
      <c r="B98" s="16">
        <f>VLOOKUP(A98,'TFL A-April,25'!$B$9:$C$95,2,0)</f>
        <v>43574.94</v>
      </c>
      <c r="C98" s="11">
        <f>VLOOKUP(A98,'May-A'!$B$10:$C$103,2,0)</f>
        <v>49108.94</v>
      </c>
      <c r="D98" s="11">
        <f t="shared" si="106"/>
        <v>5534</v>
      </c>
      <c r="E98" s="11">
        <f>VLOOKUP(A98,'June,25-A'!$B$10:$C$123,2,0)</f>
        <v>56205.16</v>
      </c>
      <c r="F98" s="11">
        <f t="shared" si="107"/>
        <v>7096.2200000000012</v>
      </c>
      <c r="G98" s="11">
        <f>VLOOKUP(A98,'July-A'!$B$10:$C$129,2,0)</f>
        <v>81359.399999999994</v>
      </c>
      <c r="H98" s="11">
        <f t="shared" si="108"/>
        <v>25154.239999999991</v>
      </c>
      <c r="I98" s="11">
        <f>VLOOKUP(A98,'TB-A-Aug'!$B$10:$C$132,2,0)</f>
        <v>105974.39999999999</v>
      </c>
      <c r="J98" s="11">
        <f t="shared" si="118"/>
        <v>24615</v>
      </c>
      <c r="K98" s="11">
        <f>VLOOKUP(A98,'TFA-Sept,25'!$B$9:$C$136,2,0)</f>
        <v>137299.04</v>
      </c>
      <c r="L98" s="11">
        <f t="shared" si="119"/>
        <v>31324.640000000014</v>
      </c>
      <c r="M98" s="11">
        <f>VLOOKUP(A98,'PL-TFA-Oct'!$B$9:$C$138,2,0)</f>
        <v>156392.99</v>
      </c>
      <c r="N98" s="11">
        <f t="shared" si="125"/>
        <v>19093.949999999983</v>
      </c>
      <c r="O98" s="11">
        <f>VLOOKUP(A98,'TFA-Nov,25'!$B$10:$C$144,2,0)</f>
        <v>181534.99</v>
      </c>
      <c r="P98" s="11">
        <f t="shared" si="126"/>
        <v>25142</v>
      </c>
      <c r="Q98" s="11">
        <f>VLOOKUP(A98,'TB-TFL-A-Dec,25'!$B$10:$C$147,2,0)</f>
        <v>193552.99</v>
      </c>
      <c r="R98" s="11">
        <f t="shared" si="127"/>
        <v>12018</v>
      </c>
      <c r="S98" s="11">
        <f>VLOOKUP(A98,'TB-TFL-A-Jan,26'!$B$9:$C$151,2,0)</f>
        <v>211784.23</v>
      </c>
      <c r="T98" s="11">
        <f t="shared" si="128"/>
        <v>18231.24000000002</v>
      </c>
      <c r="U98" s="11">
        <f>VLOOKUP(A98,'TB-Feb,26-a'!$B$10:$C$153,2,0)</f>
        <v>223845.87</v>
      </c>
      <c r="V98" s="11">
        <f t="shared" si="129"/>
        <v>12061.639999999985</v>
      </c>
      <c r="W98" s="83"/>
      <c r="X98" s="83"/>
      <c r="Y98" s="83"/>
      <c r="Z98" s="83"/>
      <c r="AD98" s="55"/>
      <c r="AE98" s="55"/>
      <c r="AF98" s="55"/>
    </row>
    <row r="99" spans="1:32" x14ac:dyDescent="0.3">
      <c r="A99" s="10" t="s">
        <v>207</v>
      </c>
      <c r="B99" s="16">
        <f>VLOOKUP(A99,'TFL A-April,25'!$B$9:$C$95,2,0)+48469</f>
        <v>230608.12</v>
      </c>
      <c r="C99" s="11">
        <f>VLOOKUP(A99,'May-A'!$B$10:$C$103,2,0)</f>
        <v>405140.26</v>
      </c>
      <c r="D99" s="11">
        <f t="shared" si="106"/>
        <v>174532.14</v>
      </c>
      <c r="E99" s="11">
        <f>VLOOKUP(A99,'June,25-A'!$B$10:$C$123,2,0)+33051</f>
        <v>635556.73</v>
      </c>
      <c r="F99" s="11">
        <f t="shared" si="107"/>
        <v>230416.46999999997</v>
      </c>
      <c r="G99" s="11">
        <f>VLOOKUP(A99,'July-A'!$B$10:$C$129,2,0)+82065</f>
        <v>888717.07</v>
      </c>
      <c r="H99" s="11">
        <f t="shared" si="108"/>
        <v>253160.33999999997</v>
      </c>
      <c r="I99" s="11">
        <f>VLOOKUP(A99,'TB-A-Aug'!$B$10:$C$132,2,0)+74878</f>
        <v>1266026.3500000001</v>
      </c>
      <c r="J99" s="11">
        <f t="shared" si="118"/>
        <v>377309.28000000014</v>
      </c>
      <c r="K99" s="11">
        <f>VLOOKUP(A99,'TFA-Sept,25'!$B$9:$C$136,2,0)+78242</f>
        <v>1832512.42</v>
      </c>
      <c r="L99" s="11">
        <f t="shared" si="119"/>
        <v>566486.06999999983</v>
      </c>
      <c r="M99" s="11">
        <f>VLOOKUP(A99,'PL-TFA-Oct'!$B$9:$C$138,2,0)+44068</f>
        <v>2022887.96</v>
      </c>
      <c r="N99" s="11">
        <f t="shared" si="125"/>
        <v>190375.54000000004</v>
      </c>
      <c r="O99" s="11">
        <f>VLOOKUP(A99,'TFA-Nov,25'!$B$10:$C$144,2,0)+63559.34+132215</f>
        <v>2576432.65</v>
      </c>
      <c r="P99" s="11">
        <f t="shared" si="126"/>
        <v>553544.68999999994</v>
      </c>
      <c r="Q99" s="11">
        <f>VLOOKUP(A99,'TB-TFL-A-Dec,25'!$B$10:$C$147,2,0)+127761</f>
        <v>2942534.52</v>
      </c>
      <c r="R99" s="11">
        <f t="shared" si="127"/>
        <v>366101.87000000011</v>
      </c>
      <c r="S99" s="11">
        <f>VLOOKUP(A99,'TB-TFL-A-Jan,26'!$B$9:$C$151,2,0)+116334+42343</f>
        <v>3298594.48</v>
      </c>
      <c r="T99" s="11">
        <f t="shared" si="128"/>
        <v>356059.95999999996</v>
      </c>
      <c r="U99" s="11">
        <f>VLOOKUP(A99,'TB-Feb,26-a'!$B$10:$C$153,2,0)+102273+371852</f>
        <v>3792426.43</v>
      </c>
      <c r="V99" s="11">
        <f t="shared" si="129"/>
        <v>493831.95000000019</v>
      </c>
      <c r="W99" s="83"/>
      <c r="X99" s="83"/>
      <c r="Y99" s="83"/>
      <c r="Z99" s="83"/>
      <c r="AD99" s="55"/>
      <c r="AE99" s="55"/>
      <c r="AF99" s="55"/>
    </row>
    <row r="100" spans="1:32" x14ac:dyDescent="0.3">
      <c r="A100" s="10" t="s">
        <v>103</v>
      </c>
      <c r="B100" s="16">
        <f>VLOOKUP(A100,'TFL A-April,25'!$B$9:$C$95,2,0)</f>
        <v>-8460.32</v>
      </c>
      <c r="C100" s="11">
        <f>VLOOKUP(A100,'May-A'!$B$10:$C$103,2,0)</f>
        <v>-17094.5</v>
      </c>
      <c r="D100" s="11">
        <f t="shared" si="106"/>
        <v>-8634.18</v>
      </c>
      <c r="E100" s="11">
        <f>VLOOKUP(A100,'June,25-A'!$B$10:$C$123,2,0)</f>
        <v>-25669.68</v>
      </c>
      <c r="F100" s="11">
        <f t="shared" si="107"/>
        <v>-8575.18</v>
      </c>
      <c r="G100" s="11">
        <f>VLOOKUP(A100,'July-A'!$B$10:$C$129,2,0)</f>
        <v>-33945.86</v>
      </c>
      <c r="H100" s="11">
        <f t="shared" si="108"/>
        <v>-8276.18</v>
      </c>
      <c r="I100" s="11">
        <f>VLOOKUP(A100,'TB-A-Aug'!$B$10:$C$132,2,0)</f>
        <v>-41411.599999999999</v>
      </c>
      <c r="J100" s="11">
        <f t="shared" si="118"/>
        <v>-7465.739999999998</v>
      </c>
      <c r="K100" s="11">
        <f>VLOOKUP(A100,'TFA-Sept,25'!$B$9:$C$136,2,0)</f>
        <v>-49680.88</v>
      </c>
      <c r="L100" s="11">
        <f t="shared" si="119"/>
        <v>-8269.2799999999988</v>
      </c>
      <c r="M100" s="11">
        <f>VLOOKUP(A100,'PL-TFA-Oct'!$B$9:$C$138,2,0)</f>
        <v>-50630.559999999998</v>
      </c>
      <c r="N100" s="11">
        <f t="shared" si="125"/>
        <v>-949.68000000000029</v>
      </c>
      <c r="O100" s="11">
        <f>VLOOKUP(A100,'TFA-Nov,25'!$B$10:$C$144,2,0)</f>
        <v>-58057.74</v>
      </c>
      <c r="P100" s="11">
        <f t="shared" si="126"/>
        <v>-7427.18</v>
      </c>
      <c r="Q100" s="11">
        <f>VLOOKUP(A100,'TB-TFL-A-Dec,25'!$B$10:$C$147,2,0)</f>
        <v>-61011.92</v>
      </c>
      <c r="R100" s="11">
        <f t="shared" si="127"/>
        <v>-2954.1800000000003</v>
      </c>
      <c r="S100" s="11">
        <f>VLOOKUP(A100,'TB-TFL-A-Jan,26'!$B$9:$C$151,2,0)</f>
        <v>-66367.100000000006</v>
      </c>
      <c r="T100" s="11">
        <f t="shared" si="128"/>
        <v>-5355.1800000000076</v>
      </c>
      <c r="U100" s="11">
        <f>VLOOKUP(A100,'TB-Feb,26-a'!$B$10:$C$153,2,0)</f>
        <v>-67246.28</v>
      </c>
      <c r="V100" s="11">
        <f t="shared" si="129"/>
        <v>-879.17999999999302</v>
      </c>
      <c r="W100" s="83"/>
      <c r="X100" s="83"/>
      <c r="Y100" s="83"/>
      <c r="Z100" s="83"/>
      <c r="AD100" s="55"/>
      <c r="AE100" s="55"/>
      <c r="AF100" s="55"/>
    </row>
    <row r="101" spans="1:32" x14ac:dyDescent="0.3">
      <c r="A101" t="s">
        <v>208</v>
      </c>
      <c r="B101" s="11"/>
      <c r="C101" s="11"/>
      <c r="D101" s="11">
        <f t="shared" si="106"/>
        <v>0</v>
      </c>
      <c r="E101" s="11"/>
      <c r="F101" s="11">
        <f t="shared" si="107"/>
        <v>0</v>
      </c>
      <c r="G101" s="11"/>
      <c r="H101" s="11">
        <f t="shared" si="108"/>
        <v>0</v>
      </c>
      <c r="I101" s="11"/>
      <c r="J101" s="11">
        <f t="shared" si="118"/>
        <v>0</v>
      </c>
      <c r="K101" s="11"/>
      <c r="L101" s="11">
        <f t="shared" si="119"/>
        <v>0</v>
      </c>
      <c r="M101" s="11"/>
      <c r="N101" s="11">
        <f t="shared" si="125"/>
        <v>0</v>
      </c>
      <c r="O101" s="11"/>
      <c r="P101" s="11">
        <f t="shared" si="126"/>
        <v>0</v>
      </c>
      <c r="Q101" s="11"/>
      <c r="R101" s="11">
        <f t="shared" si="127"/>
        <v>0</v>
      </c>
      <c r="S101" s="11"/>
      <c r="T101" s="11">
        <f t="shared" si="128"/>
        <v>0</v>
      </c>
      <c r="U101" s="11"/>
      <c r="V101" s="11">
        <f t="shared" si="129"/>
        <v>0</v>
      </c>
      <c r="W101" s="83"/>
      <c r="X101" s="83"/>
      <c r="Y101" s="83"/>
      <c r="Z101" s="83"/>
      <c r="AD101" s="55"/>
      <c r="AE101" s="55"/>
      <c r="AF101" s="55"/>
    </row>
    <row r="102" spans="1:32" x14ac:dyDescent="0.3">
      <c r="A102" s="10" t="s">
        <v>97</v>
      </c>
      <c r="B102" s="16">
        <f>VLOOKUP(A102,'TFL A-April,25'!$B$9:$C$95,2,0)</f>
        <v>13000</v>
      </c>
      <c r="C102" s="11">
        <f>VLOOKUP(A102,'May-A'!$B$10:$C$103,2,0)</f>
        <v>26300</v>
      </c>
      <c r="D102" s="11">
        <f t="shared" si="106"/>
        <v>13300</v>
      </c>
      <c r="E102" s="11">
        <f>VLOOKUP(A102,'June,25-A'!$B$10:$C$123,2,0)</f>
        <v>36670.400000000001</v>
      </c>
      <c r="F102" s="11">
        <f t="shared" si="107"/>
        <v>10370.400000000001</v>
      </c>
      <c r="G102" s="11">
        <f>VLOOKUP(A102,'July-A'!$B$10:$C$129,2,0)</f>
        <v>36670.400000000001</v>
      </c>
      <c r="H102" s="11">
        <f t="shared" si="108"/>
        <v>0</v>
      </c>
      <c r="I102" s="11">
        <f>VLOOKUP(A102,'TB-A-Aug'!$B$10:$C$132,2,0)</f>
        <v>36670.400000000001</v>
      </c>
      <c r="J102" s="11">
        <f t="shared" si="118"/>
        <v>0</v>
      </c>
      <c r="K102" s="11">
        <f>VLOOKUP(A102,'TFA-Sept,25'!$B$9:$C$136,2,0)-27150</f>
        <v>39120.399999999994</v>
      </c>
      <c r="L102" s="11">
        <f t="shared" si="119"/>
        <v>2449.9999999999927</v>
      </c>
      <c r="M102" s="11">
        <f>VLOOKUP(A102,'PL-TFA-Oct'!$B$9:$C$138,2,0)</f>
        <v>39120.6</v>
      </c>
      <c r="N102" s="66">
        <f t="shared" si="125"/>
        <v>0.20000000000436557</v>
      </c>
      <c r="O102" s="11">
        <f>VLOOKUP(A102,'TFA-Nov,25'!$B$10:$C$144,2,0)</f>
        <v>46806.04</v>
      </c>
      <c r="P102" s="11">
        <f t="shared" si="126"/>
        <v>7685.4400000000023</v>
      </c>
      <c r="Q102" s="11">
        <f>VLOOKUP(A102,'TB-TFL-A-Dec,25'!$B$10:$C$147,2,0)</f>
        <v>55606.04</v>
      </c>
      <c r="R102" s="11">
        <f t="shared" si="127"/>
        <v>8800</v>
      </c>
      <c r="S102" s="11">
        <f>VLOOKUP(A102,'TB-TFL-A-Jan,26'!$B$9:$C$151,2,0)</f>
        <v>55606.04</v>
      </c>
      <c r="T102" s="11">
        <f t="shared" si="128"/>
        <v>0</v>
      </c>
      <c r="U102" s="11">
        <f>VLOOKUP(A102,'TB-Feb,26-a'!$B$10:$C$153,2,0)</f>
        <v>130606.04</v>
      </c>
      <c r="V102" s="11">
        <f t="shared" si="129"/>
        <v>75000</v>
      </c>
      <c r="W102" s="83"/>
      <c r="X102" s="83"/>
      <c r="Y102" s="83"/>
      <c r="Z102" s="83"/>
      <c r="AD102" s="55"/>
      <c r="AE102" s="55"/>
      <c r="AF102" s="55"/>
    </row>
    <row r="103" spans="1:32" x14ac:dyDescent="0.3">
      <c r="A103" s="10" t="s">
        <v>153</v>
      </c>
      <c r="B103" s="11"/>
      <c r="C103" s="11">
        <f>VLOOKUP(A103,'May-A'!$B$10:$C$103,2,0)</f>
        <v>66675</v>
      </c>
      <c r="D103" s="11">
        <f t="shared" si="106"/>
        <v>66675</v>
      </c>
      <c r="E103" s="11">
        <f>VLOOKUP(A103,'June,25-A'!$B$10:$C$123,2,0)+40941</f>
        <v>107616</v>
      </c>
      <c r="F103" s="11">
        <f t="shared" si="107"/>
        <v>40941</v>
      </c>
      <c r="G103" s="11">
        <f>VLOOKUP(A103,'July-A'!$B$10:$C$129,2,0)+32886</f>
        <v>150822.1</v>
      </c>
      <c r="H103" s="11">
        <f t="shared" si="108"/>
        <v>43206.100000000006</v>
      </c>
      <c r="I103" s="11">
        <f>VLOOKUP(A103,'TB-A-Aug'!$B$10:$C$132,2,0)</f>
        <v>221331.08</v>
      </c>
      <c r="J103" s="11">
        <f t="shared" si="118"/>
        <v>70508.979999999981</v>
      </c>
      <c r="K103" s="11">
        <f>VLOOKUP(A103,'TFA-Sept,25'!$B$9:$C$136,2,0)+34200</f>
        <v>255531.08</v>
      </c>
      <c r="L103" s="11">
        <f t="shared" si="119"/>
        <v>34200</v>
      </c>
      <c r="M103" s="11">
        <f>VLOOKUP(A103,'PL-TFA-Oct'!$B$9:$C$138,2,0)+42041</f>
        <v>316287.76</v>
      </c>
      <c r="N103" s="11">
        <f t="shared" si="125"/>
        <v>60756.680000000022</v>
      </c>
      <c r="O103" s="11">
        <f>VLOOKUP(A103,'TFA-Nov,25'!$B$10:$C$144,2,0)+49746</f>
        <v>405666.32</v>
      </c>
      <c r="P103" s="11">
        <f t="shared" si="126"/>
        <v>89378.559999999998</v>
      </c>
      <c r="Q103" s="11">
        <f>VLOOKUP(A103,'TB-TFL-A-Dec,25'!$B$10:$C$147,2,0)+13000</f>
        <v>460533.32</v>
      </c>
      <c r="R103" s="11">
        <f t="shared" si="127"/>
        <v>54867</v>
      </c>
      <c r="S103" s="11">
        <f>VLOOKUP(A103,'TB-TFL-A-Jan,26'!$B$9:$C$151,2,0)</f>
        <v>499724.5</v>
      </c>
      <c r="T103" s="11">
        <f t="shared" si="128"/>
        <v>39191.179999999993</v>
      </c>
      <c r="U103" s="11">
        <f>VLOOKUP(A103,'TB-Feb,26-a'!$B$10:$C$153,2,0)+41942</f>
        <v>541666.5</v>
      </c>
      <c r="V103" s="11">
        <f t="shared" si="129"/>
        <v>41942</v>
      </c>
      <c r="W103" s="83"/>
      <c r="X103" s="83"/>
      <c r="Y103" s="83"/>
      <c r="Z103" s="83"/>
      <c r="AD103" s="55"/>
      <c r="AE103" s="55"/>
      <c r="AF103" s="55"/>
    </row>
    <row r="104" spans="1:32" x14ac:dyDescent="0.3">
      <c r="A104" s="10" t="s">
        <v>70</v>
      </c>
      <c r="B104" s="11"/>
      <c r="C104" s="11"/>
      <c r="D104" s="11">
        <f t="shared" si="106"/>
        <v>0</v>
      </c>
      <c r="E104" s="11">
        <f>VLOOKUP(A104,'June,25-A'!$B$10:$C$123,2,0)-Prepaid!F7</f>
        <v>19689</v>
      </c>
      <c r="F104" s="11">
        <f t="shared" si="107"/>
        <v>19689</v>
      </c>
      <c r="G104" s="11">
        <f>VLOOKUP(A104,'July-A'!$B$10:$C$129,2,0)-Prepaid!G7</f>
        <v>26252</v>
      </c>
      <c r="H104" s="11">
        <f t="shared" si="108"/>
        <v>6563</v>
      </c>
      <c r="I104" s="11">
        <f>VLOOKUP(A104,'TB-A-Aug'!$B$10:$C$132,2,0)-Prepaid!H7</f>
        <v>32815</v>
      </c>
      <c r="J104" s="11">
        <f t="shared" si="118"/>
        <v>6563</v>
      </c>
      <c r="K104" s="11">
        <f>VLOOKUP(A104,'TFA-Sept,25'!$B$9:$C$136,2,0)-Prepaid!I7</f>
        <v>39378</v>
      </c>
      <c r="L104" s="11">
        <f t="shared" si="119"/>
        <v>6563</v>
      </c>
      <c r="M104" s="11">
        <f>VLOOKUP(A104,'PL-TFA-Oct'!$B$9:$C$138,2,0)-Prepaid!J7</f>
        <v>45941</v>
      </c>
      <c r="N104" s="11">
        <f t="shared" si="125"/>
        <v>6563</v>
      </c>
      <c r="O104" s="11">
        <f>VLOOKUP(A104,'TFA-Nov,25'!$B$10:$C$144,2,0)-Prepaid!K7</f>
        <v>52504</v>
      </c>
      <c r="P104" s="11">
        <f t="shared" si="126"/>
        <v>6563</v>
      </c>
      <c r="Q104" s="11">
        <f>VLOOKUP(A104,'TB-TFL-A-Dec,25'!$B$10:$C$147,2,0)-Prepaid!L7</f>
        <v>59067</v>
      </c>
      <c r="R104" s="11">
        <f t="shared" si="127"/>
        <v>6563</v>
      </c>
      <c r="S104" s="11">
        <f>VLOOKUP(A104,'TB-TFL-A-Jan,26'!$B$9:$C$151,2,0)-Prepaid!M7</f>
        <v>65630</v>
      </c>
      <c r="T104" s="11">
        <f t="shared" si="128"/>
        <v>6563</v>
      </c>
      <c r="U104" s="11">
        <f>VLOOKUP(A104,'TB-Feb,26-a'!$B$10:$C$153,2,0)-Prepaid!N7</f>
        <v>72193</v>
      </c>
      <c r="V104" s="11">
        <f t="shared" si="129"/>
        <v>6563</v>
      </c>
      <c r="W104" s="83"/>
      <c r="X104" s="83"/>
      <c r="Y104" s="83"/>
      <c r="Z104" s="83"/>
      <c r="AD104" s="55"/>
      <c r="AE104" s="55"/>
      <c r="AF104" s="55"/>
    </row>
    <row r="105" spans="1:32" x14ac:dyDescent="0.3">
      <c r="A105" s="10" t="s">
        <v>72</v>
      </c>
      <c r="B105" s="16">
        <f>VLOOKUP(A105,'TFL A-April,25'!$B$9:$C$95,2,0)</f>
        <v>1147635</v>
      </c>
      <c r="C105" s="11">
        <f>VLOOKUP(A105,'May-A'!$B$10:$C$103,2,0)</f>
        <v>2215001</v>
      </c>
      <c r="D105" s="11">
        <f t="shared" si="106"/>
        <v>1067366</v>
      </c>
      <c r="E105" s="11">
        <f>VLOOKUP(A105,'June,25-A'!$B$10:$C$123,2,0)+324727</f>
        <v>2908032</v>
      </c>
      <c r="F105" s="11">
        <f t="shared" si="107"/>
        <v>693031</v>
      </c>
      <c r="G105" s="11">
        <f>VLOOKUP(A105,'July-A'!$B$10:$C$129,2,0)</f>
        <v>3584465</v>
      </c>
      <c r="H105" s="11">
        <f t="shared" si="108"/>
        <v>676433</v>
      </c>
      <c r="I105" s="11">
        <f>VLOOKUP(A105,'TB-A-Aug'!$B$10:$C$132,2,0)</f>
        <v>4264494</v>
      </c>
      <c r="J105" s="11">
        <f t="shared" si="118"/>
        <v>680029</v>
      </c>
      <c r="K105" s="11">
        <f>VLOOKUP(A105,'TFA-Sept,25'!$B$9:$C$136,2,0)+122+1312</f>
        <v>4970917</v>
      </c>
      <c r="L105" s="11">
        <f t="shared" si="119"/>
        <v>706423</v>
      </c>
      <c r="M105" s="11">
        <f>VLOOKUP(A105,'PL-TFA-Oct'!$B$9:$C$138,2,0)</f>
        <v>5630073</v>
      </c>
      <c r="N105" s="11">
        <f t="shared" si="125"/>
        <v>659156</v>
      </c>
      <c r="O105" s="11">
        <f>VLOOKUP(A105,'TFA-Nov,25'!$B$10:$C$144,2,0)</f>
        <v>6301018</v>
      </c>
      <c r="P105" s="11">
        <f t="shared" si="126"/>
        <v>670945</v>
      </c>
      <c r="Q105" s="11">
        <f>VLOOKUP(A105,'TB-TFL-A-Dec,25'!$B$10:$C$147,2,0)</f>
        <v>6988729</v>
      </c>
      <c r="R105" s="11">
        <f t="shared" si="127"/>
        <v>687711</v>
      </c>
      <c r="S105" s="11">
        <f>VLOOKUP(A105,'TB-TFL-A-Jan,26'!$B$9:$C$151,2,0)</f>
        <v>7689760</v>
      </c>
      <c r="T105" s="11">
        <f t="shared" si="128"/>
        <v>701031</v>
      </c>
      <c r="U105" s="11">
        <f>VLOOKUP(A105,'TB-Feb,26-a'!$B$10:$C$153,2,0)</f>
        <v>8326027</v>
      </c>
      <c r="V105" s="11">
        <f t="shared" si="129"/>
        <v>636267</v>
      </c>
      <c r="W105" s="83"/>
      <c r="X105" s="83"/>
      <c r="Y105" s="83"/>
      <c r="Z105" s="83"/>
      <c r="AD105" s="55"/>
      <c r="AE105" s="55"/>
      <c r="AF105" s="55"/>
    </row>
    <row r="106" spans="1:32" x14ac:dyDescent="0.3">
      <c r="A106" s="10" t="s">
        <v>73</v>
      </c>
      <c r="B106" s="16">
        <f>VLOOKUP(A106,'TFL A-April,25'!$B$9:$C$95,2,0)</f>
        <v>310042</v>
      </c>
      <c r="C106" s="11">
        <f>VLOOKUP(A106,'May-A'!$B$10:$C$103,2,0)</f>
        <v>647185</v>
      </c>
      <c r="D106" s="11">
        <f t="shared" si="106"/>
        <v>337143</v>
      </c>
      <c r="E106" s="11">
        <f>VLOOKUP(A106,'June,25-A'!$B$10:$C$123,2,0)+150417</f>
        <v>1015420</v>
      </c>
      <c r="F106" s="11">
        <f t="shared" si="107"/>
        <v>368235</v>
      </c>
      <c r="G106" s="11">
        <f>VLOOKUP(A106,'July-A'!$B$10:$C$129,2,0)</f>
        <v>1342690</v>
      </c>
      <c r="H106" s="11">
        <f t="shared" si="108"/>
        <v>327270</v>
      </c>
      <c r="I106" s="11">
        <f>VLOOKUP(A106,'TB-A-Aug'!$B$10:$C$132,2,0)</f>
        <v>1564214</v>
      </c>
      <c r="J106" s="11">
        <f t="shared" si="118"/>
        <v>221524</v>
      </c>
      <c r="K106" s="11">
        <f>VLOOKUP(A106,'TFA-Sept,25'!$B$9:$C$136,2,0)+890+1181</f>
        <v>1900113</v>
      </c>
      <c r="L106" s="11">
        <f t="shared" si="119"/>
        <v>335899</v>
      </c>
      <c r="M106" s="11">
        <f>VLOOKUP(A106,'PL-TFA-Oct'!$B$9:$C$138,2,0)</f>
        <v>2222889</v>
      </c>
      <c r="N106" s="11">
        <f t="shared" si="125"/>
        <v>322776</v>
      </c>
      <c r="O106" s="11">
        <f>VLOOKUP(A106,'TFA-Nov,25'!$B$10:$C$144,2,0)</f>
        <v>2561975</v>
      </c>
      <c r="P106" s="11">
        <f t="shared" si="126"/>
        <v>339086</v>
      </c>
      <c r="Q106" s="11">
        <f>VLOOKUP(A106,'TB-TFL-A-Dec,25'!$B$10:$C$147,2,0)</f>
        <v>2887079</v>
      </c>
      <c r="R106" s="11">
        <f t="shared" si="127"/>
        <v>325104</v>
      </c>
      <c r="S106" s="11">
        <f>VLOOKUP(A106,'TB-TFL-A-Jan,26'!$B$9:$C$151,2,0)</f>
        <v>3214630</v>
      </c>
      <c r="T106" s="11">
        <f t="shared" si="128"/>
        <v>327551</v>
      </c>
      <c r="U106" s="11">
        <f>VLOOKUP(A106,'TB-Feb,26-a'!$B$10:$C$153,2,0)</f>
        <v>3528747</v>
      </c>
      <c r="V106" s="11">
        <f t="shared" si="129"/>
        <v>314117</v>
      </c>
      <c r="W106" s="83"/>
      <c r="X106" s="83"/>
      <c r="Y106" s="83"/>
      <c r="Z106" s="83"/>
      <c r="AD106" s="55"/>
      <c r="AE106" s="55"/>
      <c r="AF106" s="55"/>
    </row>
    <row r="107" spans="1:32" x14ac:dyDescent="0.3">
      <c r="A107" s="10" t="s">
        <v>74</v>
      </c>
      <c r="B107" s="16">
        <f>VLOOKUP(A107,'TFL A-April,25'!$B$9:$C$95,2,0)</f>
        <v>1017166</v>
      </c>
      <c r="C107" s="11">
        <f>VLOOKUP(A107,'May-A'!$B$10:$C$103,2,0)</f>
        <v>2329648</v>
      </c>
      <c r="D107" s="11">
        <f t="shared" si="106"/>
        <v>1312482</v>
      </c>
      <c r="E107" s="11">
        <f>VLOOKUP(A107,'June,25-A'!$B$10:$C$123,2,0)+442991</f>
        <v>3311280</v>
      </c>
      <c r="F107" s="11">
        <f t="shared" si="107"/>
        <v>981632</v>
      </c>
      <c r="G107" s="11">
        <f>VLOOKUP(A107,'July-A'!$B$10:$C$129,2,0)</f>
        <v>4278229</v>
      </c>
      <c r="H107" s="11">
        <f t="shared" si="108"/>
        <v>966949</v>
      </c>
      <c r="I107" s="11">
        <f>VLOOKUP(A107,'TB-A-Aug'!$B$10:$C$132,2,0)</f>
        <v>5269316</v>
      </c>
      <c r="J107" s="11">
        <f t="shared" si="118"/>
        <v>991087</v>
      </c>
      <c r="K107" s="11">
        <f>VLOOKUP(A107,'TFA-Sept,25'!$B$9:$C$136,2,0)+390+1312</f>
        <v>6274208</v>
      </c>
      <c r="L107" s="11">
        <f t="shared" si="119"/>
        <v>1004892</v>
      </c>
      <c r="M107" s="11">
        <f>VLOOKUP(A107,'PL-TFA-Oct'!$B$9:$C$138,2,0)</f>
        <v>7166581</v>
      </c>
      <c r="N107" s="11">
        <f t="shared" si="125"/>
        <v>892373</v>
      </c>
      <c r="O107" s="11">
        <f>VLOOKUP(A107,'TFA-Nov,25'!$B$10:$C$144,2,0)</f>
        <v>8075385</v>
      </c>
      <c r="P107" s="11">
        <f t="shared" si="126"/>
        <v>908804</v>
      </c>
      <c r="Q107" s="11">
        <f>VLOOKUP(A107,'TB-TFL-A-Dec,25'!$B$10:$C$147,2,0)</f>
        <v>9010122</v>
      </c>
      <c r="R107" s="11">
        <f t="shared" si="127"/>
        <v>934737</v>
      </c>
      <c r="S107" s="11">
        <f>VLOOKUP(A107,'TB-TFL-A-Jan,26'!$B$9:$C$151,2,0)</f>
        <v>9964785</v>
      </c>
      <c r="T107" s="11">
        <f t="shared" si="128"/>
        <v>954663</v>
      </c>
      <c r="U107" s="11">
        <f>VLOOKUP(A107,'TB-Feb,26-a'!$B$10:$C$153,2,0)</f>
        <v>11084831</v>
      </c>
      <c r="V107" s="11">
        <f t="shared" si="129"/>
        <v>1120046</v>
      </c>
      <c r="W107" s="83"/>
      <c r="X107" s="83"/>
      <c r="Y107" s="83"/>
      <c r="Z107" s="83"/>
      <c r="AD107" s="55"/>
      <c r="AE107" s="55"/>
      <c r="AF107" s="55"/>
    </row>
    <row r="108" spans="1:32" x14ac:dyDescent="0.3">
      <c r="A108" s="10" t="s">
        <v>75</v>
      </c>
      <c r="B108" s="16">
        <f>VLOOKUP(A108,'TFL A-April,25'!$B$9:$C$95,2,0)</f>
        <v>101116</v>
      </c>
      <c r="C108" s="11">
        <f>VLOOKUP(A108,'May-A'!$B$10:$C$103,2,0)</f>
        <v>320170</v>
      </c>
      <c r="D108" s="11">
        <f t="shared" si="106"/>
        <v>219054</v>
      </c>
      <c r="E108" s="11">
        <f>VLOOKUP(A108,'June,25-A'!$B$10:$C$123,2,0)</f>
        <v>502880</v>
      </c>
      <c r="F108" s="11">
        <f t="shared" si="107"/>
        <v>182710</v>
      </c>
      <c r="G108" s="11">
        <f>VLOOKUP(A108,'July-A'!$B$10:$C$129,2,0)</f>
        <v>771346</v>
      </c>
      <c r="H108" s="11">
        <f t="shared" si="108"/>
        <v>268466</v>
      </c>
      <c r="I108" s="11">
        <f>VLOOKUP(A108,'TB-A-Aug'!$B$10:$C$132,2,0)</f>
        <v>991252</v>
      </c>
      <c r="J108" s="11">
        <f t="shared" si="118"/>
        <v>219906</v>
      </c>
      <c r="K108" s="11">
        <f>VLOOKUP(A108,'TFA-Sept,25'!$B$9:$C$136,2,0)</f>
        <v>1218902</v>
      </c>
      <c r="L108" s="11">
        <f t="shared" si="119"/>
        <v>227650</v>
      </c>
      <c r="M108" s="11">
        <f>VLOOKUP(A108,'PL-TFA-Oct'!$B$9:$C$138,2,0)</f>
        <v>1403969</v>
      </c>
      <c r="N108" s="11">
        <f t="shared" si="125"/>
        <v>185067</v>
      </c>
      <c r="O108" s="11">
        <f>VLOOKUP(A108,'TFA-Nov,25'!$B$10:$C$144,2,0)</f>
        <v>1586251</v>
      </c>
      <c r="P108" s="11">
        <f t="shared" si="126"/>
        <v>182282</v>
      </c>
      <c r="Q108" s="11">
        <f>VLOOKUP(A108,'TB-TFL-A-Dec,25'!$B$10:$C$147,2,0)</f>
        <v>1765214</v>
      </c>
      <c r="R108" s="11">
        <f t="shared" si="127"/>
        <v>178963</v>
      </c>
      <c r="S108" s="11">
        <f>VLOOKUP(A108,'TB-TFL-A-Jan,26'!$B$9:$C$151,2,0)</f>
        <v>1949475</v>
      </c>
      <c r="T108" s="11">
        <f t="shared" si="128"/>
        <v>184261</v>
      </c>
      <c r="U108" s="11">
        <f>VLOOKUP(A108,'TB-Feb,26-a'!$B$10:$C$153,2,0)</f>
        <v>2204405</v>
      </c>
      <c r="V108" s="11">
        <f t="shared" si="129"/>
        <v>254930</v>
      </c>
      <c r="W108" s="83"/>
      <c r="X108" s="83"/>
      <c r="Y108" s="83"/>
      <c r="Z108" s="83"/>
      <c r="AD108" s="55"/>
      <c r="AE108" s="55"/>
      <c r="AF108" s="55"/>
    </row>
    <row r="109" spans="1:32" x14ac:dyDescent="0.3">
      <c r="A109" s="10" t="s">
        <v>210</v>
      </c>
      <c r="B109" s="16">
        <f>VLOOKUP(A109,'TFL A-April,25'!$B$9:$C$95,2,0)</f>
        <v>212</v>
      </c>
      <c r="C109" s="11">
        <f>VLOOKUP(A109,'May-A'!$B$10:$C$103,2,0)</f>
        <v>424</v>
      </c>
      <c r="D109" s="11">
        <f t="shared" si="106"/>
        <v>212</v>
      </c>
      <c r="E109" s="11">
        <f>VLOOKUP(A109,'June,25-A'!$B$10:$C$123,2,0)</f>
        <v>636</v>
      </c>
      <c r="F109" s="11">
        <f t="shared" si="107"/>
        <v>212</v>
      </c>
      <c r="G109" s="11">
        <f>VLOOKUP(A109,'July-A'!$B$10:$C$129,2,0)</f>
        <v>848</v>
      </c>
      <c r="H109" s="11">
        <f t="shared" si="108"/>
        <v>212</v>
      </c>
      <c r="I109" s="11">
        <f>VLOOKUP(A109,'TB-A-Aug'!$B$10:$C$132,2,0)</f>
        <v>1060</v>
      </c>
      <c r="J109" s="11">
        <f t="shared" si="118"/>
        <v>212</v>
      </c>
      <c r="K109" s="11">
        <f>VLOOKUP(A109,'TFA-Sept,25'!$B$9:$C$136,2,0)</f>
        <v>1272</v>
      </c>
      <c r="L109" s="11">
        <f t="shared" si="119"/>
        <v>212</v>
      </c>
      <c r="M109" s="11">
        <f>VLOOKUP(A109,'PL-TFA-Oct'!$B$9:$C$138,2,0)</f>
        <v>1484</v>
      </c>
      <c r="N109" s="11">
        <f t="shared" si="125"/>
        <v>212</v>
      </c>
      <c r="O109" s="11">
        <f>VLOOKUP(A109,'TFA-Nov,25'!$B$10:$C$144,2,0)</f>
        <v>1696</v>
      </c>
      <c r="P109" s="11">
        <f t="shared" si="126"/>
        <v>212</v>
      </c>
      <c r="Q109" s="11">
        <f>VLOOKUP(A109,'TB-TFL-A-Dec,25'!$B$10:$C$147,2,0)</f>
        <v>1696</v>
      </c>
      <c r="R109" s="11">
        <f t="shared" si="127"/>
        <v>0</v>
      </c>
      <c r="S109" s="11">
        <f>VLOOKUP(A109,'TB-TFL-A-Jan,26'!$B$9:$C$151,2,0)</f>
        <v>1696</v>
      </c>
      <c r="T109" s="11">
        <f t="shared" si="128"/>
        <v>0</v>
      </c>
      <c r="U109" s="11">
        <f>VLOOKUP(A109,'TB-Feb,26-a'!$B$10:$C$153,2,0)</f>
        <v>1696</v>
      </c>
      <c r="V109" s="11">
        <f t="shared" si="129"/>
        <v>0</v>
      </c>
      <c r="W109" s="83"/>
      <c r="X109" s="83"/>
      <c r="Y109" s="83"/>
      <c r="Z109" s="83"/>
      <c r="AD109" s="55"/>
      <c r="AE109" s="55"/>
      <c r="AF109" s="55"/>
    </row>
    <row r="110" spans="1:32" x14ac:dyDescent="0.3">
      <c r="A110" s="10" t="s">
        <v>211</v>
      </c>
      <c r="B110" s="16">
        <f>VLOOKUP(A110,'TFL A-April,25'!$B$9:$C$95,2,0)</f>
        <v>150</v>
      </c>
      <c r="C110" s="11">
        <f>VLOOKUP(A110,'May-A'!$B$10:$C$103,2,0)</f>
        <v>300</v>
      </c>
      <c r="D110" s="11">
        <f t="shared" si="106"/>
        <v>150</v>
      </c>
      <c r="E110" s="11">
        <f>VLOOKUP(A110,'June,25-A'!$B$10:$C$123,2,0)</f>
        <v>450</v>
      </c>
      <c r="F110" s="11">
        <f t="shared" si="107"/>
        <v>150</v>
      </c>
      <c r="G110" s="11">
        <f>VLOOKUP(A110,'July-A'!$B$10:$C$129,2,0)</f>
        <v>1289</v>
      </c>
      <c r="H110" s="11">
        <f t="shared" si="108"/>
        <v>839</v>
      </c>
      <c r="I110" s="11">
        <f>VLOOKUP(A110,'TB-A-Aug'!$B$10:$C$132,2,0)</f>
        <v>1289</v>
      </c>
      <c r="J110" s="11">
        <f t="shared" si="118"/>
        <v>0</v>
      </c>
      <c r="K110" s="11">
        <f>VLOOKUP(A110,'TFA-Sept,25'!$B$9:$C$136,2,0)</f>
        <v>1289</v>
      </c>
      <c r="L110" s="11">
        <f t="shared" si="119"/>
        <v>0</v>
      </c>
      <c r="M110" s="11">
        <f>VLOOKUP(A110,'PL-TFA-Oct'!$B$9:$C$138,2,0)</f>
        <v>1289</v>
      </c>
      <c r="N110" s="11">
        <f t="shared" si="125"/>
        <v>0</v>
      </c>
      <c r="O110" s="11">
        <f>VLOOKUP(A110,'TFA-Nov,25'!$B$10:$C$144,2,0)</f>
        <v>1289</v>
      </c>
      <c r="P110" s="11">
        <f t="shared" si="126"/>
        <v>0</v>
      </c>
      <c r="Q110" s="11">
        <f>VLOOKUP(A110,'TB-TFL-A-Dec,25'!$B$10:$C$147,2,0)</f>
        <v>1289</v>
      </c>
      <c r="R110" s="11">
        <f t="shared" si="127"/>
        <v>0</v>
      </c>
      <c r="S110" s="11">
        <f>VLOOKUP(A110,'TB-TFL-A-Jan,26'!$B$9:$C$151,2,0)</f>
        <v>1289</v>
      </c>
      <c r="T110" s="11">
        <f t="shared" si="128"/>
        <v>0</v>
      </c>
      <c r="U110" s="11">
        <f>VLOOKUP(A110,'TB-Feb,26-a'!$B$10:$C$153,2,0)</f>
        <v>1289</v>
      </c>
      <c r="V110" s="11">
        <f t="shared" si="129"/>
        <v>0</v>
      </c>
      <c r="W110" s="83"/>
      <c r="X110" s="83"/>
      <c r="Y110" s="83"/>
      <c r="Z110" s="83"/>
      <c r="AD110" s="55"/>
      <c r="AE110" s="55"/>
      <c r="AF110" s="55"/>
    </row>
    <row r="111" spans="1:32" x14ac:dyDescent="0.3">
      <c r="A111" s="10" t="s">
        <v>77</v>
      </c>
      <c r="B111" s="16">
        <f>VLOOKUP(A111,'TFL A-April,25'!$B$9:$C$95,2,0)</f>
        <v>972</v>
      </c>
      <c r="C111" s="11">
        <f>VLOOKUP(A111,'May-A'!$B$10:$C$103,2,0)</f>
        <v>1990</v>
      </c>
      <c r="D111" s="11">
        <f t="shared" si="106"/>
        <v>1018</v>
      </c>
      <c r="E111" s="11">
        <f>VLOOKUP(A111,'June,25-A'!$B$10:$C$123,2,0)</f>
        <v>2926</v>
      </c>
      <c r="F111" s="11">
        <f t="shared" si="107"/>
        <v>936</v>
      </c>
      <c r="G111" s="11">
        <f>VLOOKUP(A111,'July-A'!$B$10:$C$129,2,0)</f>
        <v>3934</v>
      </c>
      <c r="H111" s="11">
        <f t="shared" si="108"/>
        <v>1008</v>
      </c>
      <c r="I111" s="11">
        <f>VLOOKUP(A111,'TB-A-Aug'!$B$10:$C$132,2,0)</f>
        <v>29196</v>
      </c>
      <c r="J111" s="11">
        <f t="shared" si="118"/>
        <v>25262</v>
      </c>
      <c r="K111" s="11">
        <f>VLOOKUP(A111,'TFA-Sept,25'!$B$9:$C$136,2,0)</f>
        <v>30168</v>
      </c>
      <c r="L111" s="11">
        <f t="shared" si="119"/>
        <v>972</v>
      </c>
      <c r="M111" s="11">
        <f>VLOOKUP(A111,'PL-TFA-Oct'!$B$9:$C$138,2,0)</f>
        <v>31176</v>
      </c>
      <c r="N111" s="11">
        <f t="shared" si="125"/>
        <v>1008</v>
      </c>
      <c r="O111" s="11">
        <f>VLOOKUP(A111,'TFA-Nov,25'!$B$10:$C$144,2,0)</f>
        <v>32112</v>
      </c>
      <c r="P111" s="11">
        <f t="shared" si="126"/>
        <v>936</v>
      </c>
      <c r="Q111" s="11">
        <f>VLOOKUP(A111,'TB-TFL-A-Dec,25'!$B$10:$C$147,2,0)</f>
        <v>32112</v>
      </c>
      <c r="R111" s="11">
        <f t="shared" si="127"/>
        <v>0</v>
      </c>
      <c r="S111" s="11">
        <f>VLOOKUP(A111,'TB-TFL-A-Jan,26'!$B$9:$C$151,2,0)</f>
        <v>32112</v>
      </c>
      <c r="T111" s="11">
        <f t="shared" si="128"/>
        <v>0</v>
      </c>
      <c r="U111" s="11">
        <f>VLOOKUP(A111,'TB-Feb,26-a'!$B$10:$C$153,2,0)</f>
        <v>32112</v>
      </c>
      <c r="V111" s="11">
        <f t="shared" si="129"/>
        <v>0</v>
      </c>
      <c r="W111" s="83"/>
      <c r="X111" s="83"/>
      <c r="Y111" s="83"/>
      <c r="Z111" s="83"/>
      <c r="AD111" s="55"/>
      <c r="AE111" s="55"/>
      <c r="AF111" s="55"/>
    </row>
    <row r="112" spans="1:32" x14ac:dyDescent="0.3">
      <c r="A112" s="10" t="s">
        <v>79</v>
      </c>
      <c r="B112" s="11">
        <f>+(7425318)*0.1</f>
        <v>742531.8</v>
      </c>
      <c r="C112" s="11">
        <f>VLOOKUP(A112,'May-A'!$B$10:$C$103,2,0)+(15205943)*0.1</f>
        <v>1533367.3</v>
      </c>
      <c r="D112" s="11">
        <f t="shared" si="106"/>
        <v>790835.5</v>
      </c>
      <c r="E112" s="11">
        <f>VLOOKUP(A112,'June,25-A'!$B$10:$C$123,2,0)+(23255788+900718)*0.1</f>
        <v>2428423.6</v>
      </c>
      <c r="F112" s="11">
        <f t="shared" si="107"/>
        <v>895056.3</v>
      </c>
      <c r="G112" s="11">
        <f>VLOOKUP(A112,'July-A'!$B$10:$C$129,2,0)+(33997312)*0.1</f>
        <v>3412771.2</v>
      </c>
      <c r="H112" s="11">
        <f t="shared" si="108"/>
        <v>984347.60000000009</v>
      </c>
      <c r="I112" s="11">
        <f>VLOOKUP(A112,'TB-A-Aug'!$B$10:$C$132,2,0)+(43384165)*0.1</f>
        <v>4351456.5</v>
      </c>
      <c r="J112" s="11">
        <f t="shared" si="118"/>
        <v>938685.29999999981</v>
      </c>
      <c r="K112" s="11">
        <f>VLOOKUP(A112,'TFA-Sept,25'!$B$9:$C$136,2,0)+(53031408+980+2624)*10/100</f>
        <v>5316541.2</v>
      </c>
      <c r="L112" s="11">
        <f t="shared" si="119"/>
        <v>965084.70000000019</v>
      </c>
      <c r="M112" s="11">
        <f>VLOOKUP(A112,'PL-TFA-Oct'!$B$9:$C$138,2,0)+(62018355)*10/100</f>
        <v>6248480.5</v>
      </c>
      <c r="N112" s="11">
        <f t="shared" si="125"/>
        <v>931939.29999999981</v>
      </c>
      <c r="O112" s="11">
        <f>VLOOKUP(A112,'TFA-Nov,25'!$B$10:$C$144,2,0)+71861389*0.1</f>
        <v>7244737.9000000004</v>
      </c>
      <c r="P112" s="11">
        <f t="shared" si="126"/>
        <v>996257.40000000037</v>
      </c>
      <c r="Q112" s="11">
        <f>VLOOKUP(A112,'TB-TFL-A-Dec,25'!$B$10:$C$147,2,0)+83359776*0.1</f>
        <v>8394576.6000000015</v>
      </c>
      <c r="R112" s="11">
        <f t="shared" si="127"/>
        <v>1149838.7000000011</v>
      </c>
      <c r="S112" s="11">
        <f>VLOOKUP(A112,'TB-TFL-A-Jan,26'!$B$9:$C$151,2,0)+94586620*0.1</f>
        <v>9517261</v>
      </c>
      <c r="T112" s="11">
        <f t="shared" si="128"/>
        <v>1122684.3999999985</v>
      </c>
      <c r="U112" s="11">
        <f>VLOOKUP(A112,'TB-Feb,26-a'!$B$10:$C$153,2,0)+106492400*0.1</f>
        <v>10707839</v>
      </c>
      <c r="V112" s="11">
        <f t="shared" si="129"/>
        <v>1190578</v>
      </c>
      <c r="W112" s="83"/>
      <c r="X112" s="83"/>
      <c r="Y112" s="83"/>
      <c r="Z112" s="83"/>
      <c r="AD112" s="55"/>
      <c r="AE112" s="55"/>
      <c r="AF112" s="55"/>
    </row>
    <row r="113" spans="1:33" x14ac:dyDescent="0.3">
      <c r="A113" s="10" t="s">
        <v>80</v>
      </c>
      <c r="B113" s="11">
        <f>+B112/2</f>
        <v>371265.9</v>
      </c>
      <c r="C113" s="11">
        <f>+((15205943)*0.1)/2</f>
        <v>760297.15</v>
      </c>
      <c r="D113" s="11">
        <f t="shared" si="106"/>
        <v>389031.25</v>
      </c>
      <c r="E113" s="11">
        <f>+((23255788+900718)*0.1)/2</f>
        <v>1207825.3</v>
      </c>
      <c r="F113" s="11">
        <f t="shared" si="107"/>
        <v>447528.15</v>
      </c>
      <c r="G113" s="11">
        <f>VLOOKUP(A113,'July-A'!$B$10:$C$129,2,0)+(33997312)*0.05</f>
        <v>1768033.6</v>
      </c>
      <c r="H113" s="11">
        <f t="shared" si="108"/>
        <v>560208.30000000005</v>
      </c>
      <c r="I113" s="11">
        <f>VLOOKUP(A113,'TB-A-Aug'!$B$10:$C$132,2,0)+(43384165)*0.05</f>
        <v>2237376.25</v>
      </c>
      <c r="J113" s="11">
        <f t="shared" si="118"/>
        <v>469342.64999999991</v>
      </c>
      <c r="K113" s="11">
        <f>VLOOKUP(A113,'TFA-Sept,25'!$B$9:$C$136,2,0)+(53031408+980+2624)*5/100</f>
        <v>2719918.6</v>
      </c>
      <c r="L113" s="11">
        <f t="shared" si="119"/>
        <v>482542.35000000009</v>
      </c>
      <c r="M113" s="11">
        <f>VLOOKUP(A113,'PL-TFA-Oct'!$B$9:$C$138,2,0)+(62018355)*5/100</f>
        <v>3254827.75</v>
      </c>
      <c r="N113" s="11">
        <f t="shared" si="125"/>
        <v>534909.14999999991</v>
      </c>
      <c r="O113" s="11">
        <f>VLOOKUP(A113,'TFA-Nov,25'!$B$10:$C$144,2,0)+71861389*0.05</f>
        <v>3769146.45</v>
      </c>
      <c r="P113" s="11">
        <f t="shared" si="126"/>
        <v>514318.70000000019</v>
      </c>
      <c r="Q113" s="11">
        <f>VLOOKUP(A113,'TB-TFL-A-Dec,25'!$B$10:$C$147,2,0)+83359776*0.05</f>
        <v>4383825.8000000007</v>
      </c>
      <c r="R113" s="11">
        <f t="shared" si="127"/>
        <v>614679.35000000056</v>
      </c>
      <c r="S113" s="11">
        <f>VLOOKUP(A113,'TB-TFL-A-Jan,26'!$B$9:$C$151,2,0)+94586620*0.05</f>
        <v>4945168</v>
      </c>
      <c r="T113" s="11">
        <f t="shared" si="128"/>
        <v>561342.19999999925</v>
      </c>
      <c r="U113" s="11">
        <f>VLOOKUP(A113,'TB-Feb,26-a'!$B$10:$C$153,2,0)+106492400*0.05</f>
        <v>5606352</v>
      </c>
      <c r="V113" s="11">
        <f t="shared" si="129"/>
        <v>661184</v>
      </c>
      <c r="W113" s="83"/>
      <c r="X113" s="83"/>
      <c r="Y113" s="83"/>
      <c r="Z113" s="83"/>
      <c r="AD113" s="55"/>
      <c r="AE113" s="55"/>
      <c r="AF113" s="55"/>
    </row>
    <row r="114" spans="1:33" x14ac:dyDescent="0.3">
      <c r="A114" s="10" t="s">
        <v>78</v>
      </c>
      <c r="B114" s="16">
        <f>VLOOKUP(A114,'TFL A-April,25'!$B$9:$C$95,2,0)</f>
        <v>88009</v>
      </c>
      <c r="C114" s="11">
        <f>VLOOKUP(A114,'May-A'!$B$10:$C$103,2,0)</f>
        <v>179757</v>
      </c>
      <c r="D114" s="11">
        <f t="shared" si="106"/>
        <v>91748</v>
      </c>
      <c r="E114" s="11">
        <f>VLOOKUP(A114,'June,25-A'!$B$10:$C$123,2,0)+7293</f>
        <v>272935</v>
      </c>
      <c r="F114" s="11">
        <f t="shared" si="107"/>
        <v>93178</v>
      </c>
      <c r="G114" s="11">
        <f>VLOOKUP(A114,'July-A'!$B$10:$C$129,2,0)</f>
        <v>354351</v>
      </c>
      <c r="H114" s="11">
        <f t="shared" si="108"/>
        <v>81416</v>
      </c>
      <c r="I114" s="11">
        <f>VLOOKUP(A114,'TB-A-Aug'!$B$10:$C$132,2,0)</f>
        <v>444499</v>
      </c>
      <c r="J114" s="11">
        <f t="shared" si="118"/>
        <v>90148</v>
      </c>
      <c r="K114" s="11">
        <f>VLOOKUP(A114,'TFA-Sept,25'!$B$9:$C$136,2,0)+3867</f>
        <v>555580</v>
      </c>
      <c r="L114" s="11">
        <f t="shared" si="119"/>
        <v>111081</v>
      </c>
      <c r="M114" s="11">
        <f>VLOOKUP(A114,'PL-TFA-Oct'!$B$9:$C$138,2,0)</f>
        <v>656263</v>
      </c>
      <c r="N114" s="11">
        <f t="shared" si="125"/>
        <v>100683</v>
      </c>
      <c r="O114" s="11">
        <f>VLOOKUP(A114,'TFA-Nov,25'!$B$10:$C$144,2,0)</f>
        <v>759125</v>
      </c>
      <c r="P114" s="11">
        <f t="shared" si="126"/>
        <v>102862</v>
      </c>
      <c r="Q114" s="11">
        <f>VLOOKUP(A114,'TB-TFL-A-Dec,25'!$B$10:$C$147,2,0)</f>
        <v>861491</v>
      </c>
      <c r="R114" s="11">
        <f t="shared" si="127"/>
        <v>102366</v>
      </c>
      <c r="S114" s="11">
        <f>VLOOKUP(A114,'TB-TFL-A-Jan,26'!$B$9:$C$151,2,0)</f>
        <v>963444</v>
      </c>
      <c r="T114" s="11">
        <f t="shared" si="128"/>
        <v>101953</v>
      </c>
      <c r="U114" s="11">
        <f>VLOOKUP(A114,'TB-Feb,26-a'!$B$10:$C$153,2,0)</f>
        <v>1070523</v>
      </c>
      <c r="V114" s="11">
        <f t="shared" si="129"/>
        <v>107079</v>
      </c>
      <c r="W114" s="83"/>
      <c r="X114" s="83"/>
      <c r="Y114" s="83"/>
      <c r="Z114" s="83"/>
      <c r="AD114" s="55"/>
      <c r="AE114" s="55"/>
      <c r="AF114" s="55"/>
    </row>
    <row r="115" spans="1:33" x14ac:dyDescent="0.3">
      <c r="A115" s="10" t="s">
        <v>214</v>
      </c>
      <c r="B115" s="66">
        <f>250000</f>
        <v>250000</v>
      </c>
      <c r="C115" s="66">
        <f>250000*2</f>
        <v>500000</v>
      </c>
      <c r="D115" s="11">
        <f t="shared" si="106"/>
        <v>250000</v>
      </c>
      <c r="E115" s="11">
        <f>250000*3</f>
        <v>750000</v>
      </c>
      <c r="F115" s="11">
        <f t="shared" si="107"/>
        <v>250000</v>
      </c>
      <c r="G115" s="11">
        <f>250000*4</f>
        <v>1000000</v>
      </c>
      <c r="H115" s="11">
        <f t="shared" si="108"/>
        <v>250000</v>
      </c>
      <c r="I115" s="11">
        <f>250000*5</f>
        <v>1250000</v>
      </c>
      <c r="J115" s="11">
        <f t="shared" si="118"/>
        <v>250000</v>
      </c>
      <c r="K115" s="11">
        <f>250000*6</f>
        <v>1500000</v>
      </c>
      <c r="L115" s="11">
        <f t="shared" si="119"/>
        <v>250000</v>
      </c>
      <c r="M115" s="11">
        <f>250000*7</f>
        <v>1750000</v>
      </c>
      <c r="N115" s="11">
        <f t="shared" si="125"/>
        <v>250000</v>
      </c>
      <c r="O115" s="11">
        <f>250000*8</f>
        <v>2000000</v>
      </c>
      <c r="P115" s="11">
        <f t="shared" si="126"/>
        <v>250000</v>
      </c>
      <c r="Q115" s="11">
        <f>250000*9</f>
        <v>2250000</v>
      </c>
      <c r="R115" s="11">
        <f t="shared" si="127"/>
        <v>250000</v>
      </c>
      <c r="S115" s="11">
        <f>250000*10</f>
        <v>2500000</v>
      </c>
      <c r="T115" s="11">
        <f t="shared" si="128"/>
        <v>250000</v>
      </c>
      <c r="U115" s="11">
        <f>250000*11</f>
        <v>2750000</v>
      </c>
      <c r="V115" s="11">
        <f t="shared" si="129"/>
        <v>250000</v>
      </c>
      <c r="W115" s="83"/>
      <c r="X115" s="83"/>
      <c r="Y115" s="83"/>
      <c r="Z115" s="83"/>
      <c r="AD115" s="55"/>
      <c r="AE115" s="55"/>
      <c r="AF115" s="55"/>
    </row>
    <row r="116" spans="1:33" x14ac:dyDescent="0.3">
      <c r="A116" s="10" t="s">
        <v>105</v>
      </c>
      <c r="B116" s="11"/>
      <c r="C116" s="11">
        <f>VLOOKUP(A116,'May-A'!$B$10:$C$103,2,0)</f>
        <v>49530</v>
      </c>
      <c r="D116" s="11">
        <f t="shared" si="106"/>
        <v>49530</v>
      </c>
      <c r="E116" s="11">
        <f>VLOOKUP(A116,'June,25-A'!$B$10:$C$123,2,0)</f>
        <v>71810</v>
      </c>
      <c r="F116" s="11">
        <f t="shared" si="107"/>
        <v>22280</v>
      </c>
      <c r="G116" s="11">
        <f>VLOOKUP(A116,'July-A'!$B$10:$C$129,2,0)</f>
        <v>103899</v>
      </c>
      <c r="H116" s="11">
        <f t="shared" si="108"/>
        <v>32089</v>
      </c>
      <c r="I116" s="11">
        <f>VLOOKUP(A116,'TB-A-Aug'!$B$10:$C$132,2,0)</f>
        <v>130771</v>
      </c>
      <c r="J116" s="11">
        <f t="shared" si="118"/>
        <v>26872</v>
      </c>
      <c r="K116" s="11">
        <f>VLOOKUP(A116,'TFA-Sept,25'!$B$9:$C$136,2,0)</f>
        <v>145272</v>
      </c>
      <c r="L116" s="11">
        <f t="shared" si="119"/>
        <v>14501</v>
      </c>
      <c r="M116" s="11">
        <f>VLOOKUP(A116,'PL-TFA-Oct'!$B$9:$C$138,2,0)</f>
        <v>163563</v>
      </c>
      <c r="N116" s="11">
        <f t="shared" si="125"/>
        <v>18291</v>
      </c>
      <c r="O116" s="11">
        <f>VLOOKUP(A116,'TFA-Nov,25'!$B$10:$C$144,2,0)</f>
        <v>182119</v>
      </c>
      <c r="P116" s="11">
        <f t="shared" si="126"/>
        <v>18556</v>
      </c>
      <c r="Q116" s="11">
        <f>VLOOKUP(A116,'TB-TFL-A-Dec,25'!$B$10:$C$147,2,0)</f>
        <v>194119</v>
      </c>
      <c r="R116" s="11">
        <f t="shared" si="127"/>
        <v>12000</v>
      </c>
      <c r="S116" s="11">
        <f>VLOOKUP(A116,'TB-TFL-A-Jan,26'!$B$9:$C$151,2,0)</f>
        <v>232119</v>
      </c>
      <c r="T116" s="11">
        <f t="shared" si="128"/>
        <v>38000</v>
      </c>
      <c r="U116" s="11">
        <f>VLOOKUP(A116,'TB-Feb,26-a'!$B$10:$C$153,2,0)</f>
        <v>254419</v>
      </c>
      <c r="V116" s="11">
        <f t="shared" si="129"/>
        <v>22300</v>
      </c>
      <c r="W116" s="83"/>
      <c r="X116" s="83"/>
      <c r="Y116" s="83"/>
      <c r="Z116" s="83"/>
      <c r="AD116" s="55"/>
      <c r="AE116" s="55"/>
      <c r="AF116" s="55"/>
    </row>
    <row r="117" spans="1:33" x14ac:dyDescent="0.3">
      <c r="A117" s="10" t="s">
        <v>81</v>
      </c>
      <c r="B117" s="16">
        <f>VLOOKUP(A117,'TFL A-April,25'!$B$9:$C$95,2,0)</f>
        <v>7425318</v>
      </c>
      <c r="C117" s="11">
        <f>VLOOKUP(A117,'May-A'!$B$10:$C$103,2,0)</f>
        <v>15205943</v>
      </c>
      <c r="D117" s="11">
        <f t="shared" si="106"/>
        <v>7780625</v>
      </c>
      <c r="E117" s="11">
        <f>VLOOKUP(A117,'June,25-A'!$B$10:$C$123,2,0)+900718</f>
        <v>24156506</v>
      </c>
      <c r="F117" s="11">
        <f t="shared" si="107"/>
        <v>8950563</v>
      </c>
      <c r="G117" s="11">
        <f>VLOOKUP(A117,'July-A'!$B$10:$C$129,2,0)</f>
        <v>33997312</v>
      </c>
      <c r="H117" s="11">
        <f t="shared" si="108"/>
        <v>9840806</v>
      </c>
      <c r="I117" s="11">
        <f>VLOOKUP(A117,'TB-A-Aug'!$B$10:$C$132,2,0)</f>
        <v>43384165</v>
      </c>
      <c r="J117" s="11">
        <f t="shared" si="118"/>
        <v>9386853</v>
      </c>
      <c r="K117" s="11">
        <f>VLOOKUP(A117,'TFA-Sept,25'!$B$9:$C$136,2,0)+980+2624</f>
        <v>53035012</v>
      </c>
      <c r="L117" s="11">
        <f t="shared" si="119"/>
        <v>9650847</v>
      </c>
      <c r="M117" s="11">
        <f>VLOOKUP(A117,'PL-TFA-Oct'!$B$9:$C$138,2,0)</f>
        <v>62018355</v>
      </c>
      <c r="N117" s="11">
        <f t="shared" si="125"/>
        <v>8983343</v>
      </c>
      <c r="O117" s="11">
        <f>VLOOKUP(A117,'TFA-Nov,25'!$B$10:$C$144,2,0)</f>
        <v>71861389</v>
      </c>
      <c r="P117" s="11">
        <f t="shared" si="126"/>
        <v>9843034</v>
      </c>
      <c r="Q117" s="11">
        <f>VLOOKUP(A117,'TB-TFL-A-Dec,25'!$B$10:$C$147,2,0)</f>
        <v>83359776</v>
      </c>
      <c r="R117" s="11">
        <f t="shared" si="127"/>
        <v>11498387</v>
      </c>
      <c r="S117" s="11">
        <f>VLOOKUP(A117,'TB-TFL-A-Jan,26'!$B$9:$C$151,2,0)+4132+2068+538+3926</f>
        <v>94597284</v>
      </c>
      <c r="T117" s="11">
        <f t="shared" si="128"/>
        <v>11237508</v>
      </c>
      <c r="U117" s="11">
        <f>VLOOKUP(A117,'TB-Feb,26-a'!$B$10:$C$153,2,0)</f>
        <v>106492400</v>
      </c>
      <c r="V117" s="11">
        <f t="shared" si="129"/>
        <v>11895116</v>
      </c>
      <c r="W117" s="83"/>
      <c r="X117" s="83"/>
      <c r="Y117" s="83"/>
      <c r="Z117" s="83"/>
      <c r="AD117" s="55"/>
      <c r="AE117" s="55"/>
      <c r="AF117" s="55"/>
    </row>
    <row r="118" spans="1:33" x14ac:dyDescent="0.3">
      <c r="A118" s="10" t="s">
        <v>215</v>
      </c>
      <c r="B118" s="16">
        <f>VLOOKUP(A118,'TFL A-April,25'!$B$9:$C$95,2,0)</f>
        <v>256361</v>
      </c>
      <c r="C118" s="11">
        <f>VLOOKUP(A118,'May-A'!$B$10:$C$103,2,0)</f>
        <v>312704</v>
      </c>
      <c r="D118" s="11">
        <f t="shared" si="106"/>
        <v>56343</v>
      </c>
      <c r="E118" s="11">
        <f>VLOOKUP(A118,'June,25-A'!$B$10:$C$123,2,0)</f>
        <v>312704</v>
      </c>
      <c r="F118" s="11">
        <f t="shared" si="107"/>
        <v>0</v>
      </c>
      <c r="G118" s="11">
        <f>VLOOKUP(A118,'July-A'!$B$10:$C$129,2,0)</f>
        <v>312704</v>
      </c>
      <c r="H118" s="11">
        <f t="shared" si="108"/>
        <v>0</v>
      </c>
      <c r="I118" s="11">
        <f>VLOOKUP(A118,'TB-A-Aug'!$B$10:$C$132,2,0)</f>
        <v>312704</v>
      </c>
      <c r="J118" s="11">
        <f t="shared" si="118"/>
        <v>0</v>
      </c>
      <c r="K118" s="11">
        <f>VLOOKUP(A118,'TFA-Sept,25'!$B$9:$C$136,2,0)</f>
        <v>312704</v>
      </c>
      <c r="L118" s="11">
        <f t="shared" si="119"/>
        <v>0</v>
      </c>
      <c r="M118" s="11">
        <f>VLOOKUP(A118,'PL-TFA-Oct'!$B$9:$C$138,2,0)</f>
        <v>312704</v>
      </c>
      <c r="N118" s="11">
        <f t="shared" si="125"/>
        <v>0</v>
      </c>
      <c r="O118" s="11">
        <f>VLOOKUP(A118,'TFA-Nov,25'!$B$10:$C$144,2,0)</f>
        <v>312704</v>
      </c>
      <c r="P118" s="11">
        <f t="shared" si="126"/>
        <v>0</v>
      </c>
      <c r="Q118" s="11">
        <f>VLOOKUP(A118,'TB-TFL-A-Dec,25'!$B$10:$C$147,2,0)</f>
        <v>312704</v>
      </c>
      <c r="R118" s="11">
        <f t="shared" si="127"/>
        <v>0</v>
      </c>
      <c r="S118" s="11">
        <f>VLOOKUP(A118,'TB-TFL-A-Jan,26'!$B$9:$C$151,2,0)</f>
        <v>312704</v>
      </c>
      <c r="T118" s="11">
        <f t="shared" si="128"/>
        <v>0</v>
      </c>
      <c r="U118" s="11">
        <f>VLOOKUP(A118,'TB-Feb,26-a'!$B$10:$C$153,2,0)</f>
        <v>312704</v>
      </c>
      <c r="V118" s="11">
        <f t="shared" si="129"/>
        <v>0</v>
      </c>
      <c r="W118" s="83"/>
      <c r="X118" s="83"/>
      <c r="Y118" s="83"/>
      <c r="Z118" s="83"/>
      <c r="AD118" s="55"/>
      <c r="AE118" s="55"/>
      <c r="AF118" s="55"/>
    </row>
    <row r="119" spans="1:33" x14ac:dyDescent="0.3">
      <c r="A119" s="10" t="s">
        <v>98</v>
      </c>
      <c r="B119" s="16">
        <f>VLOOKUP(A119,'TFL A-April,25'!$B$9:$C$95,2,0)</f>
        <v>2589728</v>
      </c>
      <c r="C119" s="11">
        <f>VLOOKUP(A119,'May-A'!$B$10:$C$103,2,0)</f>
        <v>5012103</v>
      </c>
      <c r="D119" s="11">
        <f t="shared" si="106"/>
        <v>2422375</v>
      </c>
      <c r="E119" s="11">
        <f>VLOOKUP(A119,'June,25-A'!$B$10:$C$123,2,0)</f>
        <v>8157988</v>
      </c>
      <c r="F119" s="11">
        <f t="shared" si="107"/>
        <v>3145885</v>
      </c>
      <c r="G119" s="11">
        <f>VLOOKUP(A119,'July-A'!$B$10:$C$129,2,0)</f>
        <v>11969291</v>
      </c>
      <c r="H119" s="11">
        <f t="shared" si="108"/>
        <v>3811303</v>
      </c>
      <c r="I119" s="11">
        <f>VLOOKUP(A119,'TB-A-Aug'!$B$10:$C$132,2,0)+130000</f>
        <v>15903965</v>
      </c>
      <c r="J119" s="11">
        <f t="shared" si="118"/>
        <v>3934674</v>
      </c>
      <c r="K119" s="11">
        <f>VLOOKUP(A119,'TFA-Sept,25'!$B$9:$C$136,2,0)</f>
        <v>20349312</v>
      </c>
      <c r="L119" s="11">
        <f t="shared" si="119"/>
        <v>4445347</v>
      </c>
      <c r="M119" s="11">
        <f>VLOOKUP(A119,'PL-TFA-Oct'!$B$9:$C$138,2,0)</f>
        <v>23919677</v>
      </c>
      <c r="N119" s="11">
        <f t="shared" si="125"/>
        <v>3570365</v>
      </c>
      <c r="O119" s="11">
        <f>VLOOKUP(A119,'TFA-Nov,25'!$B$10:$C$144,2,0)</f>
        <v>27132713</v>
      </c>
      <c r="P119" s="11">
        <f t="shared" si="126"/>
        <v>3213036</v>
      </c>
      <c r="Q119" s="11">
        <f>VLOOKUP(A119,'TB-TFL-A-Dec,25'!$B$10:$C$147,2,0)+378165</f>
        <v>29775298</v>
      </c>
      <c r="R119" s="11">
        <f t="shared" si="127"/>
        <v>2642585</v>
      </c>
      <c r="S119" s="11">
        <f>VLOOKUP(A119,'TB-TFL-A-Jan,26'!$B$9:$C$151,2,0)</f>
        <v>31972949</v>
      </c>
      <c r="T119" s="11">
        <f t="shared" si="128"/>
        <v>2197651</v>
      </c>
      <c r="U119" s="11">
        <f>VLOOKUP(A119,'TB-Feb,26-a'!$B$10:$C$153,2,0)</f>
        <v>33623577</v>
      </c>
      <c r="V119" s="11">
        <f t="shared" si="129"/>
        <v>1650628</v>
      </c>
      <c r="W119" s="83"/>
      <c r="X119" s="83"/>
      <c r="Y119" s="83"/>
      <c r="Z119" s="83"/>
      <c r="AD119" s="55"/>
      <c r="AE119" s="55"/>
      <c r="AF119" s="55"/>
      <c r="AG119" s="2"/>
    </row>
    <row r="120" spans="1:33" x14ac:dyDescent="0.3">
      <c r="A120" s="10" t="s">
        <v>216</v>
      </c>
      <c r="B120" s="16">
        <f>VLOOKUP(A120,'TFL A-April,25'!$B$9:$C$95,2,0)</f>
        <v>275802</v>
      </c>
      <c r="C120" s="11">
        <f>VLOOKUP(A120,'May-A'!$B$10:$C$103,2,0)</f>
        <v>474354</v>
      </c>
      <c r="D120" s="11">
        <f t="shared" si="106"/>
        <v>198552</v>
      </c>
      <c r="E120" s="11">
        <f>VLOOKUP(A120,'June,25-A'!$B$10:$C$123,2,0)</f>
        <v>474566</v>
      </c>
      <c r="F120" s="11">
        <f t="shared" si="107"/>
        <v>212</v>
      </c>
      <c r="G120" s="11">
        <f>VLOOKUP(A120,'July-A'!$B$10:$C$129,2,0)</f>
        <v>474778</v>
      </c>
      <c r="H120" s="11">
        <f t="shared" si="108"/>
        <v>212</v>
      </c>
      <c r="I120" s="11">
        <f>VLOOKUP(A120,'TB-A-Aug'!$B$10:$C$132,2,0)</f>
        <v>474990</v>
      </c>
      <c r="J120" s="11">
        <f t="shared" si="118"/>
        <v>212</v>
      </c>
      <c r="K120" s="11">
        <f>VLOOKUP(A120,'TFA-Sept,25'!$B$9:$C$136,2,0)</f>
        <v>475202</v>
      </c>
      <c r="L120" s="11">
        <f t="shared" si="119"/>
        <v>212</v>
      </c>
      <c r="M120" s="11">
        <f>VLOOKUP(A120,'PL-TFA-Oct'!$B$9:$C$138,2,0)</f>
        <v>475414</v>
      </c>
      <c r="N120" s="11">
        <f t="shared" si="125"/>
        <v>212</v>
      </c>
      <c r="O120" s="11">
        <f>VLOOKUP(A120,'TFA-Nov,25'!$B$10:$C$144,2,0)</f>
        <v>475626</v>
      </c>
      <c r="P120" s="11">
        <f t="shared" si="126"/>
        <v>212</v>
      </c>
      <c r="Q120" s="11">
        <f>VLOOKUP(A120,'TB-TFL-A-Dec,25'!$B$10:$C$147,2,0)</f>
        <v>475626</v>
      </c>
      <c r="R120" s="11">
        <f t="shared" si="127"/>
        <v>0</v>
      </c>
      <c r="S120" s="11">
        <f>VLOOKUP(A120,'TB-TFL-A-Jan,26'!$B$9:$C$151,2,0)</f>
        <v>475626</v>
      </c>
      <c r="T120" s="11">
        <f t="shared" si="128"/>
        <v>0</v>
      </c>
      <c r="U120" s="11">
        <f>VLOOKUP(A120,'TB-Feb,26-a'!$B$10:$C$153,2,0)</f>
        <v>475626</v>
      </c>
      <c r="V120" s="11">
        <f t="shared" si="129"/>
        <v>0</v>
      </c>
      <c r="W120" s="83"/>
      <c r="X120" s="83"/>
      <c r="Y120" s="83"/>
      <c r="Z120" s="83"/>
      <c r="AD120" s="55"/>
      <c r="AE120" s="55"/>
      <c r="AF120" s="55"/>
    </row>
    <row r="121" spans="1:33" x14ac:dyDescent="0.3">
      <c r="A121" s="10" t="s">
        <v>217</v>
      </c>
      <c r="B121" s="16">
        <f>VLOOKUP(A121,'TFL A-April,25'!$B$9:$C$95,2,0)</f>
        <v>311536</v>
      </c>
      <c r="C121" s="11">
        <f>VLOOKUP(A121,'May-A'!$B$10:$C$103,2,0)</f>
        <v>617993</v>
      </c>
      <c r="D121" s="11">
        <f t="shared" si="106"/>
        <v>306457</v>
      </c>
      <c r="E121" s="11">
        <f>VLOOKUP(A121,'June,25-A'!$B$10:$C$123,2,0)</f>
        <v>646710</v>
      </c>
      <c r="F121" s="11">
        <f t="shared" si="107"/>
        <v>28717</v>
      </c>
      <c r="G121" s="11">
        <f>VLOOKUP(A121,'July-A'!$B$10:$C$129,2,0)</f>
        <v>677724</v>
      </c>
      <c r="H121" s="11">
        <f t="shared" si="108"/>
        <v>31014</v>
      </c>
      <c r="I121" s="11">
        <f>VLOOKUP(A121,'TB-A-Aug'!$B$10:$C$132,2,0)</f>
        <v>730378</v>
      </c>
      <c r="J121" s="11">
        <f t="shared" si="118"/>
        <v>52654</v>
      </c>
      <c r="K121" s="11">
        <f>VLOOKUP(A121,'TFA-Sept,25'!$B$9:$C$136,2,0)</f>
        <v>789465</v>
      </c>
      <c r="L121" s="11">
        <f t="shared" si="119"/>
        <v>59087</v>
      </c>
      <c r="M121" s="11">
        <f>VLOOKUP(A121,'PL-TFA-Oct'!$B$9:$C$138,2,0)</f>
        <v>848669</v>
      </c>
      <c r="N121" s="11">
        <f t="shared" si="125"/>
        <v>59204</v>
      </c>
      <c r="O121" s="11">
        <f>VLOOKUP(A121,'TFA-Nov,25'!$B$10:$C$144,2,0)</f>
        <v>904623</v>
      </c>
      <c r="P121" s="11">
        <f t="shared" si="126"/>
        <v>55954</v>
      </c>
      <c r="Q121" s="11">
        <f>VLOOKUP(A121,'TB-TFL-A-Dec,25'!$B$10:$C$147,2,0)</f>
        <v>935731</v>
      </c>
      <c r="R121" s="11">
        <f t="shared" si="127"/>
        <v>31108</v>
      </c>
      <c r="S121" s="11">
        <f>VLOOKUP(A121,'TB-TFL-A-Jan,26'!$B$9:$C$151,2,0)</f>
        <v>954018</v>
      </c>
      <c r="T121" s="11">
        <f t="shared" si="128"/>
        <v>18287</v>
      </c>
      <c r="U121" s="11">
        <f>VLOOKUP(A121,'TB-Feb,26-a'!$B$10:$C$153,2,0)</f>
        <v>966465</v>
      </c>
      <c r="V121" s="11">
        <f t="shared" si="129"/>
        <v>12447</v>
      </c>
      <c r="W121" s="83"/>
      <c r="X121" s="83"/>
      <c r="Y121" s="83"/>
      <c r="Z121" s="83"/>
      <c r="AD121" s="55"/>
      <c r="AE121" s="55"/>
      <c r="AF121" s="55"/>
    </row>
    <row r="122" spans="1:33" x14ac:dyDescent="0.3">
      <c r="A122" s="10" t="s">
        <v>218</v>
      </c>
      <c r="B122" s="11"/>
      <c r="C122" s="11"/>
      <c r="D122" s="11">
        <f t="shared" si="106"/>
        <v>0</v>
      </c>
      <c r="E122" s="11">
        <f>VLOOKUP(A122,'June,25-A'!$B$10:$C$123,2,0)</f>
        <v>-1371</v>
      </c>
      <c r="F122" s="11">
        <f t="shared" si="107"/>
        <v>-1371</v>
      </c>
      <c r="G122" s="11">
        <f>VLOOKUP(A122,'July-A'!$B$10:$C$129,2,0)</f>
        <v>-1371</v>
      </c>
      <c r="H122" s="11">
        <f t="shared" si="108"/>
        <v>0</v>
      </c>
      <c r="I122" s="11">
        <f>VLOOKUP(A122,'TB-A-Aug'!$B$10:$C$132,2,0)</f>
        <v>-1371</v>
      </c>
      <c r="J122" s="11">
        <f t="shared" si="118"/>
        <v>0</v>
      </c>
      <c r="K122" s="11">
        <f>VLOOKUP(A122,'TFA-Sept,25'!$B$9:$C$136,2,0)</f>
        <v>-1371</v>
      </c>
      <c r="L122" s="11">
        <f t="shared" si="119"/>
        <v>0</v>
      </c>
      <c r="M122" s="11">
        <f>VLOOKUP(A122,'PL-TFA-Oct'!$B$9:$C$138,2,0)</f>
        <v>-1371</v>
      </c>
      <c r="N122" s="11">
        <f t="shared" si="125"/>
        <v>0</v>
      </c>
      <c r="O122" s="11">
        <f>VLOOKUP(A122,'TFA-Nov,25'!$B$10:$C$144,2,0)</f>
        <v>-1371</v>
      </c>
      <c r="P122" s="11">
        <f t="shared" si="126"/>
        <v>0</v>
      </c>
      <c r="Q122" s="11">
        <f>VLOOKUP(A122,'TB-TFL-A-Dec,25'!$B$10:$C$147,2,0)</f>
        <v>-1371</v>
      </c>
      <c r="R122" s="11">
        <f t="shared" si="127"/>
        <v>0</v>
      </c>
      <c r="S122" s="11">
        <f>VLOOKUP(A122,'TB-TFL-A-Jan,26'!$B$9:$C$151,2,0)</f>
        <v>-1371</v>
      </c>
      <c r="T122" s="11">
        <f t="shared" si="128"/>
        <v>0</v>
      </c>
      <c r="U122" s="11">
        <f>VLOOKUP(A122,'TB-Feb,26-a'!$B$10:$C$153,2,0)</f>
        <v>-1371</v>
      </c>
      <c r="V122" s="11">
        <f t="shared" si="129"/>
        <v>0</v>
      </c>
      <c r="W122" s="83"/>
      <c r="X122" s="83"/>
      <c r="Y122" s="83"/>
      <c r="Z122" s="83"/>
      <c r="AD122" s="55"/>
      <c r="AE122" s="55"/>
      <c r="AF122" s="55"/>
    </row>
    <row r="123" spans="1:33" x14ac:dyDescent="0.3">
      <c r="A123" s="10" t="s">
        <v>86</v>
      </c>
      <c r="B123" s="16">
        <f>VLOOKUP(A123,'TFL A-April,25'!$B$9:$C$95,2,0)+840800</f>
        <v>0</v>
      </c>
      <c r="C123" s="11">
        <f>VLOOKUP(A123,'May-A'!$B$10:$C$103,2,0)+905466</f>
        <v>0</v>
      </c>
      <c r="D123" s="11">
        <f t="shared" si="106"/>
        <v>0</v>
      </c>
      <c r="E123" s="11">
        <f>VLOOKUP(A123,'June,25-A'!$B$10:$C$123,2,0)+831277</f>
        <v>0</v>
      </c>
      <c r="F123" s="11">
        <f t="shared" si="107"/>
        <v>0</v>
      </c>
      <c r="G123" s="11">
        <f>VLOOKUP(A123,'July-A'!$B$10:$C$129,2,0)+963039</f>
        <v>0</v>
      </c>
      <c r="H123" s="11">
        <f t="shared" si="108"/>
        <v>0</v>
      </c>
      <c r="I123" s="11">
        <f>VLOOKUP(A123,'TB-A-Aug'!$B$10:$C$132,2,0)+920297</f>
        <v>0</v>
      </c>
      <c r="J123" s="11">
        <f t="shared" si="118"/>
        <v>0</v>
      </c>
      <c r="K123" s="11">
        <f>VLOOKUP(A123,'TFA-Sept,25'!$B$9:$C$136,2,0)+922612</f>
        <v>0</v>
      </c>
      <c r="L123" s="11">
        <f t="shared" si="119"/>
        <v>0</v>
      </c>
      <c r="M123" s="11">
        <f>VLOOKUP(A123,'PL-TFA-Oct'!$B$9:$C$138,2,0)+900812</f>
        <v>0</v>
      </c>
      <c r="N123" s="11">
        <f t="shared" si="125"/>
        <v>0</v>
      </c>
      <c r="O123" s="11">
        <f>VLOOKUP(A123,'TFA-Nov,25'!$B$10:$C$144,2,0)+922858</f>
        <v>0</v>
      </c>
      <c r="P123" s="11">
        <f t="shared" si="126"/>
        <v>0</v>
      </c>
      <c r="Q123" s="11">
        <f>VLOOKUP(A123,'TB-TFL-A-Dec,25'!$B$10:$C$147,2,0)+1067318</f>
        <v>0</v>
      </c>
      <c r="R123" s="11">
        <f t="shared" si="127"/>
        <v>0</v>
      </c>
      <c r="S123" s="11">
        <f>VLOOKUP(A123,'TB-TFL-A-Jan,26'!$B$9:$C$151,2,0)+1088773</f>
        <v>0</v>
      </c>
      <c r="T123" s="11">
        <f t="shared" si="128"/>
        <v>0</v>
      </c>
      <c r="U123" s="11">
        <f>VLOOKUP(A123,'TB-Feb,26-a'!$B$10:$C$153,2,0)+1125804</f>
        <v>0</v>
      </c>
      <c r="V123" s="11">
        <f t="shared" si="129"/>
        <v>0</v>
      </c>
      <c r="W123" s="83"/>
      <c r="X123" s="83"/>
      <c r="Y123" s="83"/>
      <c r="Z123" s="83"/>
      <c r="AD123" s="55"/>
      <c r="AE123" s="55"/>
      <c r="AF123" s="55"/>
    </row>
    <row r="124" spans="1:33" x14ac:dyDescent="0.3">
      <c r="A124" s="10" t="s">
        <v>83</v>
      </c>
      <c r="B124" s="16">
        <v>212889</v>
      </c>
      <c r="C124" s="11">
        <f>VLOOKUP(A124,'May-A'!$B$10:$C$103,2,0)+223252</f>
        <v>436141</v>
      </c>
      <c r="D124" s="11">
        <f t="shared" si="106"/>
        <v>223252</v>
      </c>
      <c r="E124" s="11">
        <f>VLOOKUP(A124,'June,25-A'!$B$10:$C$123,2,0)+227516</f>
        <v>663657</v>
      </c>
      <c r="F124" s="11">
        <f t="shared" si="107"/>
        <v>227516</v>
      </c>
      <c r="G124" s="11">
        <f>VLOOKUP(A124,'July-A'!$B$10:$C$129,2,0)+255899</f>
        <v>900353</v>
      </c>
      <c r="H124" s="11">
        <f t="shared" si="108"/>
        <v>236696</v>
      </c>
      <c r="I124" s="11">
        <f>VLOOKUP(A124,'TB-A-Aug'!$B$10:$C$132,2,0)+239501</f>
        <v>1139854</v>
      </c>
      <c r="J124" s="11">
        <f t="shared" si="118"/>
        <v>239501</v>
      </c>
      <c r="K124" s="11">
        <f>VLOOKUP(A124,'TFA-Sept,25'!$B$9:$C$136,2,0)+244385</f>
        <v>1384239</v>
      </c>
      <c r="L124" s="11">
        <f t="shared" si="119"/>
        <v>244385</v>
      </c>
      <c r="M124" s="11">
        <f>VLOOKUP(A124,'PL-TFA-Oct'!$B$9:$C$138,2,0)+233311</f>
        <v>1617550</v>
      </c>
      <c r="N124" s="11">
        <f t="shared" si="125"/>
        <v>233311</v>
      </c>
      <c r="O124" s="11">
        <f>VLOOKUP(A124,'TFA-Nov,25'!$B$10:$C$144,2,0)+260168</f>
        <v>1877718</v>
      </c>
      <c r="P124" s="11">
        <f t="shared" si="126"/>
        <v>260168</v>
      </c>
      <c r="Q124" s="11">
        <f>VLOOKUP(A124,'TB-TFL-A-Dec,25'!$B$10:$C$147,2,0)+290000</f>
        <v>2167718</v>
      </c>
      <c r="R124" s="11">
        <f t="shared" si="127"/>
        <v>290000</v>
      </c>
      <c r="S124" s="11">
        <f>VLOOKUP(A124,'TB-TFL-A-Jan,26'!$B$9:$C$151,2,0)+270781</f>
        <v>2425153</v>
      </c>
      <c r="T124" s="11">
        <f t="shared" si="128"/>
        <v>257435</v>
      </c>
      <c r="U124" s="11">
        <f>VLOOKUP(A124,'TB-Feb,26-a'!$B$10:$C$153,2,0)+287416</f>
        <v>2712569</v>
      </c>
      <c r="V124" s="11">
        <f t="shared" si="129"/>
        <v>287416</v>
      </c>
      <c r="W124" s="83"/>
      <c r="X124" s="83"/>
      <c r="Y124" s="83"/>
      <c r="Z124" s="83"/>
      <c r="AD124" s="55"/>
      <c r="AE124" s="55"/>
      <c r="AF124" s="55"/>
    </row>
    <row r="125" spans="1:33" x14ac:dyDescent="0.3">
      <c r="A125" s="10" t="s">
        <v>82</v>
      </c>
      <c r="B125" s="16">
        <v>831633</v>
      </c>
      <c r="C125" s="11">
        <f>VLOOKUP(A125,'May-A'!$B$10:$C$103,2,0)+866071</f>
        <v>1697704</v>
      </c>
      <c r="D125" s="11">
        <f t="shared" si="106"/>
        <v>866071</v>
      </c>
      <c r="E125" s="11">
        <f>VLOOKUP(A125,'June,25-A'!$B$10:$C$123,2,0)+831277+63888</f>
        <v>2594196</v>
      </c>
      <c r="F125" s="11">
        <f t="shared" si="107"/>
        <v>896492</v>
      </c>
      <c r="G125" s="11">
        <f>VLOOKUP(A125,'July-A'!$B$10:$C$129,2,0)+928294</f>
        <v>3483783</v>
      </c>
      <c r="H125" s="11">
        <f t="shared" si="108"/>
        <v>889587</v>
      </c>
      <c r="I125" s="11">
        <f>VLOOKUP(A125,'TB-A-Aug'!$B$10:$C$132,2,0)+891493</f>
        <v>4375276</v>
      </c>
      <c r="J125" s="11">
        <f t="shared" si="118"/>
        <v>891493</v>
      </c>
      <c r="K125" s="11">
        <f>VLOOKUP(A125,'TFA-Sept,25'!$B$9:$C$136,2,0)+889677</f>
        <v>5264953</v>
      </c>
      <c r="L125" s="11">
        <f t="shared" si="119"/>
        <v>889677</v>
      </c>
      <c r="M125" s="11">
        <f>VLOOKUP(A125,'PL-TFA-Oct'!$B$9:$C$138,2,0)+868470</f>
        <v>6133423</v>
      </c>
      <c r="N125" s="11">
        <f t="shared" si="125"/>
        <v>868470</v>
      </c>
      <c r="O125" s="11">
        <f>VLOOKUP(A125,'TFA-Nov,25'!$B$10:$C$144,2,0)+888878</f>
        <v>7022301</v>
      </c>
      <c r="P125" s="11">
        <f t="shared" si="126"/>
        <v>888878</v>
      </c>
      <c r="Q125" s="11">
        <f>VLOOKUP(A125,'TB-TFL-A-Dec,25'!$B$10:$C$147,2,0)+1033337</f>
        <v>8055638</v>
      </c>
      <c r="R125" s="11">
        <f t="shared" si="127"/>
        <v>1033337</v>
      </c>
      <c r="S125" s="11">
        <f>VLOOKUP(A125,'TB-TFL-A-Jan,26'!$B$9:$C$151,2,0)+1054738</f>
        <v>9110376</v>
      </c>
      <c r="T125" s="11">
        <f t="shared" si="128"/>
        <v>1054738</v>
      </c>
      <c r="U125" s="11">
        <f>VLOOKUP(A125,'TB-Feb,26-a'!$B$10:$C$153,2,0)+1125804</f>
        <v>10236180</v>
      </c>
      <c r="V125" s="11">
        <f t="shared" si="129"/>
        <v>1125804</v>
      </c>
      <c r="W125" s="83"/>
      <c r="X125" s="83"/>
      <c r="Y125" s="83"/>
      <c r="Z125" s="83"/>
      <c r="AD125" s="55"/>
      <c r="AE125" s="55"/>
      <c r="AF125" s="55"/>
    </row>
    <row r="126" spans="1:33" x14ac:dyDescent="0.3">
      <c r="A126" s="10" t="s">
        <v>85</v>
      </c>
      <c r="B126" s="16">
        <f>VLOOKUP(A126,'TFL A-April,25'!$B$9:$C$95,2,0)+49292</f>
        <v>0</v>
      </c>
      <c r="C126" s="11">
        <f>VLOOKUP(A126,'May-A'!$B$10:$C$103,2,0)+51407</f>
        <v>0</v>
      </c>
      <c r="D126" s="11">
        <f t="shared" si="106"/>
        <v>0</v>
      </c>
      <c r="E126" s="11">
        <f>VLOOKUP(A126,'June,25-A'!$B$10:$C$123,2,0)+52788</f>
        <v>0</v>
      </c>
      <c r="F126" s="11">
        <f t="shared" si="107"/>
        <v>0</v>
      </c>
      <c r="G126" s="11">
        <f>VLOOKUP(A126,'July-A'!$B$10:$C$129,2,0)+63947</f>
        <v>0</v>
      </c>
      <c r="H126" s="11">
        <f t="shared" si="108"/>
        <v>0</v>
      </c>
      <c r="I126" s="11">
        <f>VLOOKUP(A126,'TB-A-Aug'!$B$10:$C$132,2,0)+59480</f>
        <v>0</v>
      </c>
      <c r="J126" s="11">
        <f t="shared" si="118"/>
        <v>0</v>
      </c>
      <c r="K126" s="11">
        <f>VLOOKUP(A126,'TFA-Sept,25'!$B$9:$C$136,2,0)+60783</f>
        <v>0</v>
      </c>
      <c r="L126" s="11">
        <f t="shared" si="119"/>
        <v>0</v>
      </c>
      <c r="M126" s="11">
        <f>VLOOKUP(A126,'PL-TFA-Oct'!$B$9:$C$138,2,0)+57876</f>
        <v>0</v>
      </c>
      <c r="N126" s="11">
        <f t="shared" si="125"/>
        <v>0</v>
      </c>
      <c r="O126" s="11">
        <f>VLOOKUP(A126,'TFA-Nov,25'!$B$10:$C$144,2,0)+63842</f>
        <v>0</v>
      </c>
      <c r="P126" s="11">
        <f t="shared" si="126"/>
        <v>0</v>
      </c>
      <c r="Q126" s="11">
        <f>VLOOKUP(A126,'TB-TFL-A-Dec,25'!$B$10:$C$147,2,0)+67495</f>
        <v>0</v>
      </c>
      <c r="R126" s="11">
        <f t="shared" si="127"/>
        <v>0</v>
      </c>
      <c r="S126" s="11">
        <f>VLOOKUP(A126,'TB-TFL-A-Jan,26'!$B$9:$C$151,2,0)+65875</f>
        <v>0</v>
      </c>
      <c r="T126" s="11">
        <f t="shared" si="128"/>
        <v>0</v>
      </c>
      <c r="U126" s="11">
        <f>VLOOKUP(A126,'TB-Feb,26-a'!$B$10:$C$153,2,0)+71854</f>
        <v>0</v>
      </c>
      <c r="V126" s="11">
        <f t="shared" si="129"/>
        <v>0</v>
      </c>
      <c r="W126" s="83"/>
      <c r="X126" s="83"/>
      <c r="Y126" s="83"/>
      <c r="Z126" s="83"/>
      <c r="AD126" s="55"/>
      <c r="AE126" s="55"/>
      <c r="AF126" s="55"/>
    </row>
    <row r="127" spans="1:33" x14ac:dyDescent="0.3">
      <c r="A127" s="10" t="s">
        <v>87</v>
      </c>
      <c r="B127" s="16"/>
      <c r="C127" s="11"/>
      <c r="D127" s="11">
        <f t="shared" si="106"/>
        <v>0</v>
      </c>
      <c r="E127" s="11">
        <f>VLOOKUP(A127,'June,25-A'!$B$10:$C$123,2,0)+22800+22800*4-21525</f>
        <v>69675</v>
      </c>
      <c r="F127" s="11">
        <f t="shared" si="107"/>
        <v>69675</v>
      </c>
      <c r="G127" s="11">
        <f>VLOOKUP(A127,'July-A'!$B$10:$C$129,2,0)+21525*0</f>
        <v>69675</v>
      </c>
      <c r="H127" s="11">
        <f t="shared" si="108"/>
        <v>0</v>
      </c>
      <c r="I127" s="11">
        <f>VLOOKUP(A127,'TB-A-Aug'!$B$10:$C$132,2,0)</f>
        <v>69675</v>
      </c>
      <c r="J127" s="11">
        <f t="shared" si="118"/>
        <v>0</v>
      </c>
      <c r="K127" s="11">
        <f>VLOOKUP(A127,'TFA-Sept,25'!$B$9:$C$136,2,0)</f>
        <v>69675</v>
      </c>
      <c r="L127" s="11">
        <f t="shared" si="119"/>
        <v>0</v>
      </c>
      <c r="M127" s="11">
        <f>VLOOKUP(A127,'PL-TFA-Oct'!$B$9:$C$138,2,0)</f>
        <v>69675</v>
      </c>
      <c r="N127" s="11">
        <f t="shared" si="125"/>
        <v>0</v>
      </c>
      <c r="O127" s="11">
        <f>VLOOKUP(A127,'TFA-Nov,25'!$B$10:$C$144,2,0)+72005</f>
        <v>141680</v>
      </c>
      <c r="P127" s="11">
        <f t="shared" si="126"/>
        <v>72005</v>
      </c>
      <c r="Q127" s="11">
        <f>VLOOKUP(A127,'TB-TFL-A-Dec,25'!$B$10:$C$147,2,0)+103900</f>
        <v>148950</v>
      </c>
      <c r="R127" s="11">
        <f t="shared" si="127"/>
        <v>7270</v>
      </c>
      <c r="S127" s="11">
        <f>VLOOKUP(A127,'TB-TFL-A-Jan,26'!$B$9:$C$151,2,0)</f>
        <v>147625</v>
      </c>
      <c r="T127" s="66">
        <f t="shared" si="128"/>
        <v>-1325</v>
      </c>
      <c r="U127" s="11">
        <f>VLOOKUP(A127,'TB-Feb,26-a'!$B$10:$C$153,2,0)</f>
        <v>147625</v>
      </c>
      <c r="V127" s="66">
        <f t="shared" si="129"/>
        <v>0</v>
      </c>
      <c r="W127" s="83"/>
      <c r="X127" s="83"/>
      <c r="Y127" s="83"/>
      <c r="Z127" s="83"/>
      <c r="AD127" s="55"/>
      <c r="AE127" s="55"/>
      <c r="AF127" s="55"/>
    </row>
    <row r="128" spans="1:33" x14ac:dyDescent="0.3">
      <c r="A128" s="10" t="s">
        <v>88</v>
      </c>
      <c r="B128" s="11">
        <v>66297</v>
      </c>
      <c r="C128" s="11">
        <f>VLOOKUP(A128,'May-A'!$B$10:$C$103,2,0)+69551</f>
        <v>135848</v>
      </c>
      <c r="D128" s="11">
        <f t="shared" si="106"/>
        <v>69551</v>
      </c>
      <c r="E128" s="11">
        <f>VLOOKUP(A128,'June,25-A'!$B$10:$C$123,2,0)+66000</f>
        <v>202348</v>
      </c>
      <c r="F128" s="11">
        <f t="shared" si="107"/>
        <v>66500</v>
      </c>
      <c r="G128" s="11">
        <f>VLOOKUP(A128,'July-A'!$B$10:$C$129,2,0)+74787</f>
        <v>280149</v>
      </c>
      <c r="H128" s="11">
        <f t="shared" si="108"/>
        <v>77801</v>
      </c>
      <c r="I128" s="11">
        <f>VLOOKUP(A128,'TB-A-Aug'!$B$10:$C$132,2,0)+71814</f>
        <v>351963</v>
      </c>
      <c r="J128" s="11">
        <f t="shared" si="118"/>
        <v>71814</v>
      </c>
      <c r="K128" s="11">
        <f>VLOOKUP(A128,'TFA-Sept,25'!$B$9:$C$136,2,0)+71669</f>
        <v>423632</v>
      </c>
      <c r="L128" s="11">
        <f t="shared" si="119"/>
        <v>71669</v>
      </c>
      <c r="M128" s="11">
        <f>VLOOKUP(A128,'PL-TFA-Oct'!$B$9:$C$138,2,0)+70293</f>
        <v>493925</v>
      </c>
      <c r="N128" s="11">
        <f t="shared" si="125"/>
        <v>70293</v>
      </c>
      <c r="O128" s="11">
        <f>VLOOKUP(A128,'TFA-Nov,25'!$B$10:$C$144,2,0)</f>
        <v>493925</v>
      </c>
      <c r="P128" s="11">
        <f t="shared" si="126"/>
        <v>0</v>
      </c>
      <c r="Q128" s="11">
        <f>VLOOKUP(A128,'TB-TFL-A-Dec,25'!$B$10:$C$147,2,0)+84113</f>
        <v>650043</v>
      </c>
      <c r="R128" s="11">
        <f t="shared" si="127"/>
        <v>156118</v>
      </c>
      <c r="S128" s="11">
        <f>VLOOKUP(A128,'TB-TFL-A-Jan,26'!$B$9:$C$151,2,0)+85867</f>
        <v>735910</v>
      </c>
      <c r="T128" s="11">
        <f t="shared" si="128"/>
        <v>85867</v>
      </c>
      <c r="U128" s="11">
        <f>VLOOKUP(A128,'TB-Feb,26-a'!$B$10:$C$153,2,0)+95000</f>
        <v>830910</v>
      </c>
      <c r="V128" s="11">
        <f t="shared" si="129"/>
        <v>95000</v>
      </c>
      <c r="W128" s="83"/>
      <c r="X128" s="83"/>
      <c r="Y128" s="83"/>
      <c r="Z128" s="83"/>
      <c r="AD128" s="55"/>
      <c r="AE128" s="55"/>
      <c r="AF128" s="55"/>
    </row>
    <row r="129" spans="1:32" x14ac:dyDescent="0.3">
      <c r="A129" s="10" t="s">
        <v>220</v>
      </c>
      <c r="B129" s="11">
        <f>VLOOKUP(A129,'TFL A-April,25'!$B$9:$C$95,2,0)</f>
        <v>6056</v>
      </c>
      <c r="C129" s="11">
        <f>VLOOKUP(A129,'May-A'!$B$10:$C$103,2,0)</f>
        <v>25048</v>
      </c>
      <c r="D129" s="11">
        <f t="shared" si="106"/>
        <v>18992</v>
      </c>
      <c r="E129" s="11">
        <f>VLOOKUP(A129,'June,25-A'!$B$10:$C$123,2,0)+9165</f>
        <v>34213</v>
      </c>
      <c r="F129" s="11">
        <f t="shared" si="107"/>
        <v>9165</v>
      </c>
      <c r="G129" s="11">
        <f>VLOOKUP(A129,'July-A'!$B$10:$C$129,2,0)+10250</f>
        <v>54512</v>
      </c>
      <c r="H129" s="11">
        <f t="shared" si="108"/>
        <v>20299</v>
      </c>
      <c r="I129" s="11">
        <f>VLOOKUP(A129,'TB-A-Aug'!$B$10:$C$132,2,0)</f>
        <v>60366</v>
      </c>
      <c r="J129" s="11">
        <f t="shared" si="118"/>
        <v>5854</v>
      </c>
      <c r="K129" s="11">
        <f>VLOOKUP(A129,'TFA-Sept,25'!$B$9:$C$136,2,0)+9530</f>
        <v>74907</v>
      </c>
      <c r="L129" s="11">
        <f t="shared" si="119"/>
        <v>14541</v>
      </c>
      <c r="M129" s="11">
        <f>VLOOKUP(A129,'PL-TFA-Oct'!$B$9:$C$138,2,0)</f>
        <v>79843</v>
      </c>
      <c r="N129" s="11">
        <f t="shared" si="125"/>
        <v>4936</v>
      </c>
      <c r="O129" s="11">
        <f>VLOOKUP(A129,'TFA-Nov,25'!$B$10:$C$144,2,0)</f>
        <v>114699</v>
      </c>
      <c r="P129" s="11">
        <f t="shared" si="126"/>
        <v>34856</v>
      </c>
      <c r="Q129" s="11">
        <f>VLOOKUP(A129,'TB-TFL-A-Dec,25'!$B$10:$C$147,2,0)+11940</f>
        <v>127002</v>
      </c>
      <c r="R129" s="11">
        <f t="shared" si="127"/>
        <v>12303</v>
      </c>
      <c r="S129" s="11">
        <f>VLOOKUP(A129,'TB-TFL-A-Jan,26'!$B$9:$C$151,2,0)+11940</f>
        <v>131805</v>
      </c>
      <c r="T129" s="11">
        <f t="shared" si="128"/>
        <v>4803</v>
      </c>
      <c r="U129" s="11">
        <f>VLOOKUP(A129,'TB-Feb,26-a'!$B$10:$C$153,2,0)+11940</f>
        <v>133589</v>
      </c>
      <c r="V129" s="11">
        <f t="shared" si="129"/>
        <v>1784</v>
      </c>
      <c r="W129" s="83"/>
      <c r="X129" s="83"/>
      <c r="Y129" s="83"/>
      <c r="Z129" s="83"/>
      <c r="AD129" s="55"/>
      <c r="AE129" s="55"/>
      <c r="AF129" s="55"/>
    </row>
    <row r="130" spans="1:32" x14ac:dyDescent="0.3">
      <c r="A130" s="10" t="s">
        <v>89</v>
      </c>
      <c r="B130" s="11">
        <f>VLOOKUP(A130,'TFL A-April,25'!$B$9:$C$95,2,0)</f>
        <v>-36277</v>
      </c>
      <c r="C130" s="11">
        <f>VLOOKUP(A130,'May-A'!$B$10:$C$103,2,0)</f>
        <v>136820</v>
      </c>
      <c r="D130" s="11">
        <f t="shared" si="106"/>
        <v>173097</v>
      </c>
      <c r="E130" s="11">
        <f>VLOOKUP(A130,'June,25-A'!$B$10:$C$123,2,0)+63559</f>
        <v>245619</v>
      </c>
      <c r="F130" s="11">
        <f t="shared" si="107"/>
        <v>108799</v>
      </c>
      <c r="G130" s="11">
        <f>VLOOKUP(A130,'July-A'!$B$10:$C$129,2,0)+121882</f>
        <v>464734.36</v>
      </c>
      <c r="H130" s="11">
        <f t="shared" si="108"/>
        <v>219115.36</v>
      </c>
      <c r="I130" s="11">
        <f>VLOOKUP(A130,'TB-A-Aug'!$B$10:$C$132,2,0)+84268</f>
        <v>560033.36</v>
      </c>
      <c r="J130" s="11">
        <f t="shared" si="118"/>
        <v>95299</v>
      </c>
      <c r="K130" s="11">
        <f>VLOOKUP(A130,'TFA-Sept,25'!$B$9:$C$136,2,0)+66668</f>
        <v>679179.36</v>
      </c>
      <c r="L130" s="11">
        <f t="shared" si="119"/>
        <v>119146</v>
      </c>
      <c r="M130" s="11">
        <f>VLOOKUP(A130,'PL-TFA-Oct'!$B$9:$C$138,2,0)+57685</f>
        <v>1109381.3600000001</v>
      </c>
      <c r="N130" s="11">
        <f t="shared" si="125"/>
        <v>430202.00000000012</v>
      </c>
      <c r="O130" s="11">
        <f>VLOOKUP(A130,'TFA-Nov,25'!$B$10:$C$144,2,0)</f>
        <v>1237717.3600000001</v>
      </c>
      <c r="P130" s="11">
        <f t="shared" si="126"/>
        <v>128336</v>
      </c>
      <c r="Q130" s="11">
        <f>VLOOKUP(A130,'TB-TFL-A-Dec,25'!$B$10:$C$147,2,0)+54779</f>
        <v>1385306.36</v>
      </c>
      <c r="R130" s="11">
        <f t="shared" si="127"/>
        <v>147589</v>
      </c>
      <c r="S130" s="11">
        <f>VLOOKUP(A130,'TB-TFL-A-Jan,26'!$B$9:$C$151,2,0)+126955</f>
        <v>1560608.36</v>
      </c>
      <c r="T130" s="11">
        <f t="shared" si="128"/>
        <v>175302</v>
      </c>
      <c r="U130" s="11">
        <f>VLOOKUP(A130,'TB-Feb,26-a'!$B$10:$C$153,2,0)+74481</f>
        <v>1588814.36</v>
      </c>
      <c r="V130" s="11">
        <f t="shared" si="129"/>
        <v>28206</v>
      </c>
      <c r="W130" s="83"/>
      <c r="X130" s="83"/>
      <c r="Y130" s="83"/>
      <c r="Z130" s="83"/>
      <c r="AD130" s="55"/>
      <c r="AE130" s="55"/>
      <c r="AF130" s="55"/>
    </row>
    <row r="131" spans="1:32" x14ac:dyDescent="0.3">
      <c r="A131" s="10" t="s">
        <v>221</v>
      </c>
      <c r="B131" s="11"/>
      <c r="C131" s="11"/>
      <c r="D131" s="11">
        <f t="shared" si="106"/>
        <v>0</v>
      </c>
      <c r="E131" s="11">
        <f>VLOOKUP(A131,'June,25-A'!$B$10:$C$123,2,0)-Prepaid!F6</f>
        <v>96435.62</v>
      </c>
      <c r="F131" s="11">
        <f t="shared" si="107"/>
        <v>96435.62</v>
      </c>
      <c r="G131" s="11">
        <f>VLOOKUP(A131,'July-A'!$B$10:$C$129,2,0)-Prepaid!G6</f>
        <v>116766.78666666665</v>
      </c>
      <c r="H131" s="11">
        <f t="shared" si="108"/>
        <v>20331.166666666657</v>
      </c>
      <c r="I131" s="11">
        <f>VLOOKUP(A131,'TB-A-Aug'!$B$10:$C$132,2,0)-Prepaid!H6</f>
        <v>137097.95333333331</v>
      </c>
      <c r="J131" s="11">
        <f t="shared" si="118"/>
        <v>20331.166666666657</v>
      </c>
      <c r="K131" s="11">
        <f>VLOOKUP(A131,'TFA-Sept,25'!$B$9:$C$136,2,0)-Prepaid!I6</f>
        <v>157429.12</v>
      </c>
      <c r="L131" s="11">
        <f t="shared" si="119"/>
        <v>20331.166666666686</v>
      </c>
      <c r="M131" s="11">
        <f>VLOOKUP(A131,'PL-TFA-Oct'!$B$9:$C$138,2,0)-Prepaid!J6</f>
        <v>177760.28666666665</v>
      </c>
      <c r="N131" s="11">
        <f t="shared" si="125"/>
        <v>20331.166666666657</v>
      </c>
      <c r="O131" s="11">
        <f>VLOOKUP(A131,'TFA-Nov,25'!$B$10:$C$144,2,0)-Prepaid!K6</f>
        <v>198091.45333333331</v>
      </c>
      <c r="P131" s="11">
        <f t="shared" si="126"/>
        <v>20331.166666666657</v>
      </c>
      <c r="Q131" s="11">
        <f>VLOOKUP(A131,'TB-TFL-A-Dec,25'!$B$10:$C$147,2,0)-Prepaid!L6</f>
        <v>218422.62</v>
      </c>
      <c r="R131" s="11">
        <f t="shared" si="127"/>
        <v>20331.166666666686</v>
      </c>
      <c r="S131" s="11">
        <f>VLOOKUP(A131,'TB-TFL-A-Jan,26'!$B$9:$C$151,2,0)-Prepaid!M6</f>
        <v>256101.96666666665</v>
      </c>
      <c r="T131" s="11">
        <f t="shared" si="128"/>
        <v>37679.34666666665</v>
      </c>
      <c r="U131" s="11">
        <f>VLOOKUP(A131,'TB-Feb,26-a'!$B$10:$C$153,2,0)-Prepaid!N6</f>
        <v>276433.1333333333</v>
      </c>
      <c r="V131" s="11">
        <f t="shared" si="129"/>
        <v>20331.166666666657</v>
      </c>
      <c r="W131" s="83"/>
      <c r="X131" s="83"/>
      <c r="Y131" s="83"/>
      <c r="Z131" s="83"/>
      <c r="AD131" s="55"/>
      <c r="AE131" s="55"/>
      <c r="AF131" s="55"/>
    </row>
    <row r="132" spans="1:32" x14ac:dyDescent="0.3">
      <c r="A132" t="s">
        <v>56</v>
      </c>
      <c r="B132" s="11"/>
      <c r="C132" s="11"/>
      <c r="D132" s="11">
        <f t="shared" si="106"/>
        <v>0</v>
      </c>
      <c r="E132" s="11"/>
      <c r="F132" s="11">
        <f t="shared" si="107"/>
        <v>0</v>
      </c>
      <c r="G132" s="11"/>
      <c r="H132" s="11">
        <f t="shared" si="108"/>
        <v>0</v>
      </c>
      <c r="I132" s="11"/>
      <c r="J132" s="11">
        <f t="shared" si="118"/>
        <v>0</v>
      </c>
      <c r="K132" s="11"/>
      <c r="L132" s="11">
        <f t="shared" si="119"/>
        <v>0</v>
      </c>
      <c r="M132" s="11"/>
      <c r="N132" s="11">
        <f t="shared" si="125"/>
        <v>0</v>
      </c>
      <c r="O132" s="11">
        <f>VLOOKUP(A132,'TFA-Nov,25'!$B$10:$C$144,2,0)</f>
        <v>17490</v>
      </c>
      <c r="P132" s="11">
        <f t="shared" si="126"/>
        <v>17490</v>
      </c>
      <c r="Q132" s="11">
        <f>VLOOKUP(A132,'TB-TFL-A-Dec,25'!$B$10:$C$147,2,0)</f>
        <v>17490</v>
      </c>
      <c r="R132" s="11">
        <f t="shared" si="127"/>
        <v>0</v>
      </c>
      <c r="S132" s="11">
        <f>VLOOKUP(A132,'TB-TFL-A-Jan,26'!$B$9:$C$151,2,0)</f>
        <v>17490</v>
      </c>
      <c r="T132" s="11">
        <f t="shared" si="128"/>
        <v>0</v>
      </c>
      <c r="U132" s="11">
        <f>VLOOKUP(A132,'TB-Feb,26-a'!$B$10:$C$153,2,0)</f>
        <v>17490</v>
      </c>
      <c r="V132" s="11">
        <f t="shared" si="129"/>
        <v>0</v>
      </c>
      <c r="W132" s="83"/>
      <c r="X132" s="83"/>
      <c r="Y132" s="83"/>
      <c r="Z132" s="83"/>
      <c r="AD132" s="55"/>
      <c r="AE132" s="55"/>
      <c r="AF132" s="55"/>
    </row>
    <row r="133" spans="1:32" x14ac:dyDescent="0.3">
      <c r="A133" s="10" t="s">
        <v>76</v>
      </c>
      <c r="B133" s="11"/>
      <c r="C133" s="11"/>
      <c r="D133" s="11">
        <f t="shared" si="106"/>
        <v>0</v>
      </c>
      <c r="E133" s="11"/>
      <c r="F133" s="11">
        <f t="shared" si="107"/>
        <v>0</v>
      </c>
      <c r="G133" s="11"/>
      <c r="H133" s="11">
        <f t="shared" si="108"/>
        <v>0</v>
      </c>
      <c r="I133" s="11">
        <f>VLOOKUP(A133,'TB-A-Aug'!$B$10:$C$132,2,0)</f>
        <v>24290</v>
      </c>
      <c r="J133" s="11">
        <f t="shared" si="118"/>
        <v>24290</v>
      </c>
      <c r="K133" s="11">
        <f>VLOOKUP(A133,'TFA-Sept,25'!$B$9:$C$136,2,0)</f>
        <v>24290</v>
      </c>
      <c r="L133" s="11">
        <f t="shared" si="119"/>
        <v>0</v>
      </c>
      <c r="M133" s="11">
        <f>VLOOKUP(A133,'PL-TFA-Oct'!$B$9:$C$138,2,0)</f>
        <v>24290</v>
      </c>
      <c r="N133" s="11">
        <f t="shared" si="125"/>
        <v>0</v>
      </c>
      <c r="O133" s="11">
        <f>VLOOKUP(A133,'TFA-Nov,25'!$B$10:$C$144,2,0)</f>
        <v>24290</v>
      </c>
      <c r="P133" s="11">
        <f t="shared" si="126"/>
        <v>0</v>
      </c>
      <c r="Q133" s="11">
        <f>VLOOKUP(A133,'TB-TFL-A-Dec,25'!$B$10:$C$147,2,0)</f>
        <v>24290</v>
      </c>
      <c r="R133" s="11">
        <f t="shared" si="127"/>
        <v>0</v>
      </c>
      <c r="S133" s="11">
        <f>VLOOKUP(A133,'TB-TFL-A-Jan,26'!$B$9:$C$151,2,0)</f>
        <v>24290</v>
      </c>
      <c r="T133" s="11">
        <f t="shared" si="128"/>
        <v>0</v>
      </c>
      <c r="U133" s="11">
        <f>VLOOKUP(A133,'TB-Feb,26-a'!$B$10:$C$153,2,0)</f>
        <v>24290</v>
      </c>
      <c r="V133" s="11">
        <f t="shared" si="129"/>
        <v>0</v>
      </c>
      <c r="W133" s="83"/>
      <c r="X133" s="83"/>
      <c r="Y133" s="83"/>
      <c r="Z133" s="83"/>
      <c r="AD133" s="55"/>
      <c r="AE133" s="55"/>
      <c r="AF133" s="55"/>
    </row>
    <row r="134" spans="1:32" x14ac:dyDescent="0.3">
      <c r="A134" t="s">
        <v>222</v>
      </c>
      <c r="B134" s="11"/>
      <c r="C134" s="11"/>
      <c r="D134" s="11">
        <f t="shared" si="106"/>
        <v>0</v>
      </c>
      <c r="E134" s="11">
        <v>166800</v>
      </c>
      <c r="F134" s="11">
        <f t="shared" si="107"/>
        <v>166800</v>
      </c>
      <c r="G134" s="11"/>
      <c r="H134" s="11">
        <f t="shared" si="108"/>
        <v>-166800</v>
      </c>
      <c r="I134" s="11"/>
      <c r="J134" s="11">
        <f t="shared" si="118"/>
        <v>0</v>
      </c>
      <c r="K134" s="11"/>
      <c r="L134" s="11">
        <f t="shared" si="119"/>
        <v>0</v>
      </c>
      <c r="M134" s="11"/>
      <c r="N134" s="11">
        <f t="shared" si="125"/>
        <v>0</v>
      </c>
      <c r="O134" s="11"/>
      <c r="P134" s="11">
        <f t="shared" si="126"/>
        <v>0</v>
      </c>
      <c r="Q134" s="11"/>
      <c r="R134" s="11">
        <f t="shared" si="127"/>
        <v>0</v>
      </c>
      <c r="S134" s="11"/>
      <c r="T134" s="11">
        <f t="shared" si="128"/>
        <v>0</v>
      </c>
      <c r="U134" s="11"/>
      <c r="V134" s="11">
        <f t="shared" si="129"/>
        <v>0</v>
      </c>
      <c r="W134" s="83"/>
      <c r="X134" s="83"/>
      <c r="Y134" s="83"/>
      <c r="Z134" s="83"/>
      <c r="AD134" s="55"/>
      <c r="AE134" s="55"/>
      <c r="AF134" s="55"/>
    </row>
    <row r="135" spans="1:32" x14ac:dyDescent="0.3">
      <c r="A135" s="10" t="s">
        <v>223</v>
      </c>
      <c r="B135" s="11">
        <f>VLOOKUP(A135,'TFL A-April,25'!$B$9:$C$95,2,0)</f>
        <v>7275</v>
      </c>
      <c r="C135" s="11">
        <f>VLOOKUP(A135,'May-A'!$B$10:$C$103,2,0)+56970</f>
        <v>64245</v>
      </c>
      <c r="D135" s="11">
        <f t="shared" si="106"/>
        <v>56970</v>
      </c>
      <c r="E135" s="11">
        <f>VLOOKUP(A135,'June,25-A'!$B$10:$C$123,2,0)-Prepaid!F3</f>
        <v>65100.25</v>
      </c>
      <c r="F135" s="11">
        <f t="shared" si="107"/>
        <v>855.25</v>
      </c>
      <c r="G135" s="11">
        <f>VLOOKUP(A135,'July-A'!$B$10:$C$129,2,0)-Prepaid!G3</f>
        <v>232185.33333333334</v>
      </c>
      <c r="H135" s="11">
        <f t="shared" si="108"/>
        <v>167085.08333333334</v>
      </c>
      <c r="I135" s="11">
        <f>VLOOKUP(A135,'TB-A-Aug'!$B$10:$C$132,2,0)-Prepaid!H3</f>
        <v>237969.41666666666</v>
      </c>
      <c r="J135" s="11">
        <f t="shared" si="118"/>
        <v>5784.0833333333139</v>
      </c>
      <c r="K135" s="11">
        <f>VLOOKUP(A135,'TFA-Sept,25'!$B$9:$C$136,2,0)+15900-Prepaid!I3</f>
        <v>304538.5</v>
      </c>
      <c r="L135" s="11">
        <f t="shared" si="119"/>
        <v>66569.083333333343</v>
      </c>
      <c r="M135" s="11">
        <f>VLOOKUP(A135,'PL-TFA-Oct'!$B$9:$C$138,2,0)+15900-Prepaid!J3</f>
        <v>304823.58333333331</v>
      </c>
      <c r="N135" s="11">
        <f t="shared" si="125"/>
        <v>285.08333333331393</v>
      </c>
      <c r="O135" s="11">
        <f>VLOOKUP(A135,'TFA-Nov,25'!$B$10:$C$144,2,0)-Prepaid!K3</f>
        <v>319462.66666666669</v>
      </c>
      <c r="P135" s="11">
        <f t="shared" si="126"/>
        <v>14639.083333333372</v>
      </c>
      <c r="Q135" s="11">
        <f>VLOOKUP(A135,'TB-TFL-A-Dec,25'!$B$10:$C$147,2,0)-Prepaid!L3</f>
        <v>325396.75</v>
      </c>
      <c r="R135" s="11">
        <f t="shared" si="127"/>
        <v>5934.0833333333139</v>
      </c>
      <c r="S135" s="11">
        <f>VLOOKUP(A135,'TB-TFL-A-Jan,26'!$B$9:$C$151,2,0)-Prepaid!M3</f>
        <v>325681.83333333331</v>
      </c>
      <c r="T135" s="11">
        <f t="shared" si="128"/>
        <v>285.08333333331393</v>
      </c>
      <c r="U135" s="11">
        <f>VLOOKUP(A135,'TB-Feb,26-a'!$B$10:$C$153,2,0)-Prepaid!N3+812839</f>
        <v>1138805.9166666667</v>
      </c>
      <c r="V135" s="11">
        <f t="shared" si="129"/>
        <v>813124.08333333349</v>
      </c>
      <c r="W135" s="83"/>
      <c r="X135" s="83"/>
      <c r="Y135" s="83"/>
      <c r="Z135" s="83"/>
      <c r="AD135" s="55"/>
      <c r="AE135" s="55"/>
      <c r="AF135" s="55"/>
    </row>
    <row r="136" spans="1:32" x14ac:dyDescent="0.3">
      <c r="A136" s="10" t="s">
        <v>224</v>
      </c>
      <c r="B136" s="11"/>
      <c r="C136" s="11">
        <f>VLOOKUP(A136,'May-A'!$B$10:$C$103,2,0)</f>
        <v>3930</v>
      </c>
      <c r="D136" s="11">
        <f t="shared" si="106"/>
        <v>3930</v>
      </c>
      <c r="E136" s="11">
        <f>VLOOKUP(A136,'June,25-A'!$B$10:$C$123,2,0)</f>
        <v>3930</v>
      </c>
      <c r="F136" s="11">
        <f t="shared" si="107"/>
        <v>0</v>
      </c>
      <c r="G136" s="11">
        <f>VLOOKUP(A136,'July-A'!$B$10:$C$129,2,0)-3930</f>
        <v>0</v>
      </c>
      <c r="H136" s="11">
        <f t="shared" si="108"/>
        <v>-3930</v>
      </c>
      <c r="I136" s="11">
        <f>VLOOKUP(A136,'TB-A-Aug'!$B$10:$C$132,2,0)</f>
        <v>4520</v>
      </c>
      <c r="J136" s="11">
        <f t="shared" si="118"/>
        <v>4520</v>
      </c>
      <c r="K136" s="11">
        <f>VLOOKUP(A136,'TFA-Sept,25'!$B$9:$C$136,2,0)</f>
        <v>4520</v>
      </c>
      <c r="L136" s="11">
        <f t="shared" si="119"/>
        <v>0</v>
      </c>
      <c r="M136" s="11">
        <f>VLOOKUP(A136,'PL-TFA-Oct'!$B$9:$C$138,2,0)</f>
        <v>4520</v>
      </c>
      <c r="N136" s="11">
        <f t="shared" si="125"/>
        <v>0</v>
      </c>
      <c r="O136" s="11">
        <f>VLOOKUP(A136,'TFA-Nov,25'!$B$10:$C$144,2,0)</f>
        <v>4520</v>
      </c>
      <c r="P136" s="11">
        <f t="shared" si="126"/>
        <v>0</v>
      </c>
      <c r="Q136" s="11">
        <f>VLOOKUP(A136,'TB-TFL-A-Dec,25'!$B$10:$C$147,2,0)</f>
        <v>4520</v>
      </c>
      <c r="R136" s="11">
        <f t="shared" si="127"/>
        <v>0</v>
      </c>
      <c r="S136" s="11">
        <f>VLOOKUP(A136,'TB-TFL-A-Jan,26'!$B$9:$C$151,2,0)</f>
        <v>4520</v>
      </c>
      <c r="T136" s="11">
        <f t="shared" si="128"/>
        <v>0</v>
      </c>
      <c r="U136" s="11">
        <f>VLOOKUP(A136,'TB-Feb,26-a'!$B$10:$C$153,2,0)</f>
        <v>4520</v>
      </c>
      <c r="V136" s="11">
        <f t="shared" si="129"/>
        <v>0</v>
      </c>
      <c r="W136" s="83"/>
      <c r="X136" s="83"/>
      <c r="Y136" s="83"/>
      <c r="Z136" s="83"/>
      <c r="AB136" s="31"/>
      <c r="AD136" s="55"/>
      <c r="AE136" s="55"/>
      <c r="AF136" s="55"/>
    </row>
    <row r="137" spans="1:32" x14ac:dyDescent="0.3">
      <c r="A137" s="10" t="s">
        <v>225</v>
      </c>
      <c r="B137" s="11">
        <f>VLOOKUP(A137,'TFL A-April,25'!$B$9:$C$95,2,0)</f>
        <v>14791.24</v>
      </c>
      <c r="C137" s="11">
        <f>VLOOKUP(A137,'May-A'!$B$10:$C$103,2,0)</f>
        <v>16247.98</v>
      </c>
      <c r="D137" s="11">
        <f t="shared" si="106"/>
        <v>1456.7399999999998</v>
      </c>
      <c r="E137" s="11">
        <f>VLOOKUP(A137,'June,25-A'!$B$10:$C$123,2,0)</f>
        <v>34038.1</v>
      </c>
      <c r="F137" s="11">
        <f t="shared" si="107"/>
        <v>17790.12</v>
      </c>
      <c r="G137" s="11">
        <f>VLOOKUP(A137,'July-A'!$B$10:$C$129,2,0)+3930</f>
        <v>37968.1</v>
      </c>
      <c r="H137" s="11">
        <f t="shared" si="108"/>
        <v>3930</v>
      </c>
      <c r="I137" s="11">
        <f>VLOOKUP(A137,'TB-A-Aug'!$B$10:$C$132,2,0)</f>
        <v>34038.1</v>
      </c>
      <c r="J137" s="11">
        <f t="shared" si="118"/>
        <v>-3930</v>
      </c>
      <c r="K137" s="11">
        <f>VLOOKUP(A137,'TFA-Sept,25'!$B$9:$C$136,2,0)</f>
        <v>34038.1</v>
      </c>
      <c r="L137" s="11">
        <f t="shared" si="119"/>
        <v>0</v>
      </c>
      <c r="M137" s="11">
        <f>VLOOKUP(A137,'PL-TFA-Oct'!$B$9:$C$138,2,0)</f>
        <v>34038.1</v>
      </c>
      <c r="N137" s="11">
        <f t="shared" si="125"/>
        <v>0</v>
      </c>
      <c r="O137" s="11">
        <f>VLOOKUP(A137,'TFA-Nov,25'!$B$10:$C$144,2,0)</f>
        <v>34038.1</v>
      </c>
      <c r="P137" s="11">
        <f t="shared" si="126"/>
        <v>0</v>
      </c>
      <c r="Q137" s="11">
        <f>VLOOKUP(A137,'TB-TFL-A-Dec,25'!$B$10:$C$147,2,0)</f>
        <v>34038.1</v>
      </c>
      <c r="R137" s="11">
        <f t="shared" si="127"/>
        <v>0</v>
      </c>
      <c r="S137" s="11">
        <f>VLOOKUP(A137,'TB-TFL-A-Jan,26'!$B$9:$C$151,2,0)+2765</f>
        <v>44803.1</v>
      </c>
      <c r="T137" s="11">
        <f t="shared" si="128"/>
        <v>10765</v>
      </c>
      <c r="U137" s="11">
        <f>VLOOKUP(A137,'TB-Feb,26-a'!$B$10:$C$153,2,0)</f>
        <v>57162.1</v>
      </c>
      <c r="V137" s="11">
        <f t="shared" si="129"/>
        <v>12359</v>
      </c>
      <c r="W137" s="83"/>
      <c r="X137" s="83"/>
      <c r="Y137" s="83"/>
      <c r="Z137" s="83"/>
      <c r="AD137" s="55"/>
      <c r="AE137" s="55"/>
      <c r="AF137" s="55"/>
    </row>
    <row r="138" spans="1:32" x14ac:dyDescent="0.3">
      <c r="A138" s="10" t="s">
        <v>226</v>
      </c>
      <c r="B138" s="11"/>
      <c r="C138" s="11"/>
      <c r="D138" s="11">
        <f t="shared" si="106"/>
        <v>0</v>
      </c>
      <c r="E138" s="11"/>
      <c r="F138" s="11">
        <f t="shared" si="107"/>
        <v>0</v>
      </c>
      <c r="G138" s="11"/>
      <c r="H138" s="11">
        <f t="shared" si="108"/>
        <v>0</v>
      </c>
      <c r="I138" s="11"/>
      <c r="J138" s="11">
        <f t="shared" si="118"/>
        <v>0</v>
      </c>
      <c r="K138" s="11"/>
      <c r="L138" s="11">
        <f t="shared" si="119"/>
        <v>0</v>
      </c>
      <c r="M138" s="11"/>
      <c r="N138" s="11">
        <f t="shared" si="125"/>
        <v>0</v>
      </c>
      <c r="O138" s="11"/>
      <c r="P138" s="11">
        <f t="shared" si="126"/>
        <v>0</v>
      </c>
      <c r="Q138" s="11"/>
      <c r="R138" s="11">
        <f t="shared" si="127"/>
        <v>0</v>
      </c>
      <c r="S138" s="11"/>
      <c r="T138" s="11">
        <f t="shared" si="128"/>
        <v>0</v>
      </c>
      <c r="U138" s="11"/>
      <c r="V138" s="11">
        <f t="shared" si="129"/>
        <v>0</v>
      </c>
      <c r="W138" s="83"/>
      <c r="X138" s="83"/>
      <c r="Y138" s="83"/>
      <c r="Z138" s="83"/>
      <c r="AD138" s="55"/>
      <c r="AE138" s="55"/>
      <c r="AF138" s="55"/>
    </row>
    <row r="139" spans="1:32" x14ac:dyDescent="0.3">
      <c r="A139" s="10" t="s">
        <v>227</v>
      </c>
      <c r="B139" s="11">
        <f>VLOOKUP(A139,'TFL A-April,25'!$B$9:$C$95,2,0)</f>
        <v>-1293</v>
      </c>
      <c r="C139" s="11">
        <f>VLOOKUP(A139,'May-A'!$B$10:$C$103,2,0)</f>
        <v>-1293</v>
      </c>
      <c r="D139" s="11">
        <f t="shared" si="106"/>
        <v>0</v>
      </c>
      <c r="E139" s="11">
        <f>VLOOKUP(A139,'June,25-A'!$B$10:$C$123,2,0)</f>
        <v>-1293</v>
      </c>
      <c r="F139" s="11">
        <f t="shared" si="107"/>
        <v>0</v>
      </c>
      <c r="G139" s="11">
        <f>VLOOKUP(A139,'July-A'!$B$10:$C$129,2,0)</f>
        <v>-1293</v>
      </c>
      <c r="H139" s="11">
        <f t="shared" ref="H139:H174" si="130">+G139-E139</f>
        <v>0</v>
      </c>
      <c r="I139" s="11">
        <f>VLOOKUP(A139,'TB-A-Aug'!$B$10:$C$132,2,0)</f>
        <v>-550823</v>
      </c>
      <c r="J139" s="66">
        <f t="shared" si="118"/>
        <v>-549530</v>
      </c>
      <c r="K139" s="11">
        <f>VLOOKUP(A139,'TFA-Sept,25'!$B$9:$C$136,2,0)</f>
        <v>-2590</v>
      </c>
      <c r="L139" s="66">
        <f t="shared" si="119"/>
        <v>548233</v>
      </c>
      <c r="M139" s="11">
        <f>VLOOKUP(A139,'PL-TFA-Oct'!$B$9:$C$138,2,0)</f>
        <v>-2590</v>
      </c>
      <c r="N139" s="66">
        <f t="shared" si="125"/>
        <v>0</v>
      </c>
      <c r="O139" s="11">
        <f>VLOOKUP(A139,'TFA-Nov,25'!$B$10:$C$144,2,0)</f>
        <v>-2590</v>
      </c>
      <c r="P139" s="66">
        <f t="shared" si="126"/>
        <v>0</v>
      </c>
      <c r="Q139" s="11">
        <f>VLOOKUP(A139,'TB-TFL-A-Dec,25'!$B$10:$C$147,2,0)</f>
        <v>-2590</v>
      </c>
      <c r="R139" s="66">
        <f t="shared" si="127"/>
        <v>0</v>
      </c>
      <c r="S139" s="11">
        <f>VLOOKUP(A139,'TB-TFL-A-Jan,26'!$B$9:$C$151,2,0)</f>
        <v>-2590</v>
      </c>
      <c r="T139" s="66">
        <f t="shared" si="128"/>
        <v>0</v>
      </c>
      <c r="U139" s="11">
        <f>VLOOKUP(A139,'TB-Feb,26-a'!$B$10:$C$153,2,0)</f>
        <v>-2590</v>
      </c>
      <c r="V139" s="66">
        <f t="shared" si="129"/>
        <v>0</v>
      </c>
      <c r="W139" s="83"/>
      <c r="X139" s="83"/>
      <c r="Y139" s="83"/>
      <c r="Z139" s="83"/>
      <c r="AD139" s="55"/>
      <c r="AE139" s="55"/>
      <c r="AF139" s="55"/>
    </row>
    <row r="140" spans="1:32" x14ac:dyDescent="0.3">
      <c r="A140" s="10" t="s">
        <v>90</v>
      </c>
      <c r="B140" s="11">
        <f>VLOOKUP(A140,'TFL A-April,25'!$B$9:$C$95,2,0)+8488</f>
        <v>27088</v>
      </c>
      <c r="C140" s="11">
        <f>VLOOKUP(A140,'May-A'!$B$10:$C$103,2,0)+8275</f>
        <v>85273</v>
      </c>
      <c r="D140" s="11">
        <f t="shared" si="106"/>
        <v>58185</v>
      </c>
      <c r="E140" s="11">
        <f>VLOOKUP(A140,'June,25-A'!$B$10:$C$123,2,0)+14580-Prepaid!F5</f>
        <v>466962.75</v>
      </c>
      <c r="F140" s="11">
        <f t="shared" si="107"/>
        <v>381689.75</v>
      </c>
      <c r="G140" s="11">
        <f>VLOOKUP(A140,'July-A'!$B$10:$C$129,2,0)-Prepaid!G5</f>
        <v>511860.68666666665</v>
      </c>
      <c r="H140" s="11">
        <f t="shared" si="130"/>
        <v>44897.936666666646</v>
      </c>
      <c r="I140" s="11">
        <f>VLOOKUP(A140,'TB-A-Aug'!$B$10:$C$132,2,0)-Prepaid!H5+43031.5+29600</f>
        <v>657547.12333333329</v>
      </c>
      <c r="J140" s="11">
        <f t="shared" si="118"/>
        <v>145686.43666666665</v>
      </c>
      <c r="K140" s="11">
        <f>VLOOKUP(A140,'TFA-Sept,25'!$B$9:$C$136,2,0)+21752-Prepaid!I5</f>
        <v>721923.86</v>
      </c>
      <c r="L140" s="11">
        <f t="shared" si="119"/>
        <v>64376.736666666693</v>
      </c>
      <c r="M140" s="11">
        <f>VLOOKUP(A140,'PL-TFA-Oct'!$B$9:$C$138,2,0)+376877-Prepaid!J5-274440</f>
        <v>866323.77666666661</v>
      </c>
      <c r="N140" s="11">
        <f t="shared" si="125"/>
        <v>144399.91666666663</v>
      </c>
      <c r="O140" s="11">
        <f>VLOOKUP(A140,'TFA-Nov,25'!$B$10:$C$144,2,0)+67042-Prepaid!K5</f>
        <v>866323.69333333336</v>
      </c>
      <c r="P140" s="66">
        <f t="shared" si="126"/>
        <v>-8.3333333255723119E-2</v>
      </c>
      <c r="Q140" s="11">
        <f>VLOOKUP(A140,'TB-TFL-A-Dec,25'!$B$10:$C$147,2,0)+12560-Prepaid!L5</f>
        <v>884595.79</v>
      </c>
      <c r="R140" s="11">
        <f t="shared" si="127"/>
        <v>18272.096666666679</v>
      </c>
      <c r="S140" s="11">
        <f>VLOOKUP(A140,'TB-TFL-A-Jan,26'!$B$9:$C$151,2,0)+64250-Prepaid!M5-2765</f>
        <v>984859.94666666666</v>
      </c>
      <c r="T140" s="11">
        <f t="shared" si="128"/>
        <v>100264.15666666662</v>
      </c>
      <c r="U140" s="11">
        <f>VLOOKUP(A140,'TB-Feb,26-a'!$B$10:$C$153,2,0)-Prepaid!N5+16900</f>
        <v>984859.8633333334</v>
      </c>
      <c r="V140" s="122">
        <f t="shared" si="129"/>
        <v>-8.3333333255723119E-2</v>
      </c>
      <c r="W140" s="83"/>
      <c r="X140" s="83"/>
      <c r="Y140" s="83"/>
      <c r="Z140" s="83"/>
      <c r="AD140" s="55"/>
      <c r="AE140" s="55"/>
      <c r="AF140" s="55"/>
    </row>
    <row r="141" spans="1:32" x14ac:dyDescent="0.3">
      <c r="A141" s="10" t="s">
        <v>62</v>
      </c>
      <c r="B141" s="11"/>
      <c r="C141" s="11"/>
      <c r="D141" s="11">
        <f t="shared" si="106"/>
        <v>0</v>
      </c>
      <c r="E141" s="11">
        <f>VLOOKUP(A141,'June,25-A'!$B$10:$C$123,2,0)-Prepaid!F4</f>
        <v>6250</v>
      </c>
      <c r="F141" s="11">
        <f t="shared" si="107"/>
        <v>6250</v>
      </c>
      <c r="G141" s="11">
        <f>VLOOKUP(A141,'July-A'!$B$10:$C$129,2,0)-Prepaid!G4</f>
        <v>13356.933333333331</v>
      </c>
      <c r="H141" s="11">
        <f t="shared" si="130"/>
        <v>7106.9333333333307</v>
      </c>
      <c r="I141" s="11">
        <f>VLOOKUP(A141,'TB-A-Aug'!$B$10:$C$132,2,0)-Prepaid!H4</f>
        <v>21300.266666666663</v>
      </c>
      <c r="J141" s="11">
        <f t="shared" si="118"/>
        <v>7943.3333333333321</v>
      </c>
      <c r="K141" s="11">
        <f>VLOOKUP(A141,'TFA-Sept,25'!$B$9:$C$136,2,0)-Prepaid!I4</f>
        <v>23383.599999999999</v>
      </c>
      <c r="L141" s="11">
        <f t="shared" si="119"/>
        <v>2083.3333333333358</v>
      </c>
      <c r="M141" s="11">
        <f>VLOOKUP(A141,'PL-TFA-Oct'!$B$9:$C$138,2,0)-Prepaid!J4</f>
        <v>25466.933333333331</v>
      </c>
      <c r="N141" s="11">
        <f t="shared" si="125"/>
        <v>2083.3333333333321</v>
      </c>
      <c r="O141" s="11">
        <f>VLOOKUP(A141,'TFA-Nov,25'!$B$10:$C$144,2,0)-Prepaid!K4</f>
        <v>27550.266666666663</v>
      </c>
      <c r="P141" s="11">
        <f t="shared" si="126"/>
        <v>2083.3333333333321</v>
      </c>
      <c r="Q141" s="11">
        <f>VLOOKUP(A141,'TB-TFL-A-Dec,25'!$B$10:$C$147,2,0)-Prepaid!L4</f>
        <v>29633.599999999999</v>
      </c>
      <c r="R141" s="11">
        <f t="shared" si="127"/>
        <v>2083.3333333333358</v>
      </c>
      <c r="S141" s="11">
        <f>VLOOKUP(A141,'TB-TFL-A-Jan,26'!$B$9:$C$151,2,0)-Prepaid!M4</f>
        <v>31716.933333333331</v>
      </c>
      <c r="T141" s="11">
        <f t="shared" si="128"/>
        <v>2083.3333333333321</v>
      </c>
      <c r="U141" s="11">
        <f>VLOOKUP(A141,'TB-Feb,26-a'!$B$10:$C$153,2,0)-Prepaid!N4</f>
        <v>33800.266666666663</v>
      </c>
      <c r="V141" s="11">
        <f t="shared" si="129"/>
        <v>2083.3333333333321</v>
      </c>
      <c r="W141" s="83"/>
      <c r="X141" s="83"/>
      <c r="Y141" s="83"/>
      <c r="Z141" s="83"/>
      <c r="AD141" s="55"/>
      <c r="AE141" s="55"/>
      <c r="AF141" s="55"/>
    </row>
    <row r="142" spans="1:32" x14ac:dyDescent="0.3">
      <c r="A142" s="10" t="s">
        <v>228</v>
      </c>
      <c r="B142" s="11"/>
      <c r="C142" s="11">
        <f>VLOOKUP(A142,'May-A'!$B$10:$C$103,2,0)</f>
        <v>5163</v>
      </c>
      <c r="D142" s="11">
        <f t="shared" si="106"/>
        <v>5163</v>
      </c>
      <c r="E142" s="11">
        <f>VLOOKUP(A142,'June,25-A'!$B$10:$C$123,2,0)</f>
        <v>5163</v>
      </c>
      <c r="F142" s="11">
        <f t="shared" si="107"/>
        <v>0</v>
      </c>
      <c r="G142" s="11">
        <f>VLOOKUP(A142,'July-A'!$B$10:$C$129,2,0)</f>
        <v>7120</v>
      </c>
      <c r="H142" s="11">
        <f t="shared" si="130"/>
        <v>1957</v>
      </c>
      <c r="I142" s="11">
        <f>VLOOKUP(A142,'TB-A-Aug'!$B$10:$C$132,2,0)</f>
        <v>10097</v>
      </c>
      <c r="J142" s="11">
        <f t="shared" si="118"/>
        <v>2977</v>
      </c>
      <c r="K142" s="11">
        <f>VLOOKUP(A142,'TFA-Sept,25'!$B$9:$C$136,2,0)</f>
        <v>12822</v>
      </c>
      <c r="L142" s="11">
        <f t="shared" si="119"/>
        <v>2725</v>
      </c>
      <c r="M142" s="11">
        <f>VLOOKUP(A142,'PL-TFA-Oct'!$B$9:$C$138,2,0)</f>
        <v>16205</v>
      </c>
      <c r="N142" s="11">
        <f t="shared" si="125"/>
        <v>3383</v>
      </c>
      <c r="O142" s="11">
        <f>VLOOKUP(A142,'TFA-Nov,25'!$B$10:$C$144,2,0)</f>
        <v>27206</v>
      </c>
      <c r="P142" s="11">
        <f t="shared" si="126"/>
        <v>11001</v>
      </c>
      <c r="Q142" s="11">
        <f>VLOOKUP(A142,'TB-TFL-A-Dec,25'!$B$10:$C$147,2,0)</f>
        <v>30986</v>
      </c>
      <c r="R142" s="11">
        <f t="shared" si="127"/>
        <v>3780</v>
      </c>
      <c r="S142" s="11">
        <f>VLOOKUP(A142,'TB-TFL-A-Jan,26'!$B$9:$C$151,2,0)</f>
        <v>33116</v>
      </c>
      <c r="T142" s="11">
        <f t="shared" si="128"/>
        <v>2130</v>
      </c>
      <c r="U142" s="11">
        <f>VLOOKUP(A142,'TB-Feb,26-a'!$B$10:$C$153,2,0)</f>
        <v>33606</v>
      </c>
      <c r="V142" s="11">
        <f t="shared" si="129"/>
        <v>490</v>
      </c>
      <c r="W142" s="83"/>
      <c r="X142" s="83"/>
      <c r="Y142" s="83"/>
      <c r="Z142" s="83"/>
      <c r="AB142" s="31"/>
      <c r="AD142" s="55"/>
      <c r="AE142" s="55"/>
      <c r="AF142" s="55"/>
    </row>
    <row r="143" spans="1:32" x14ac:dyDescent="0.3">
      <c r="A143" s="10" t="s">
        <v>229</v>
      </c>
      <c r="B143" s="11"/>
      <c r="C143" s="11"/>
      <c r="D143" s="11">
        <f t="shared" si="106"/>
        <v>0</v>
      </c>
      <c r="E143" s="11"/>
      <c r="F143" s="11">
        <f t="shared" si="107"/>
        <v>0</v>
      </c>
      <c r="G143" s="11"/>
      <c r="H143" s="11">
        <f t="shared" si="130"/>
        <v>0</v>
      </c>
      <c r="I143" s="11"/>
      <c r="J143" s="11">
        <f t="shared" si="118"/>
        <v>0</v>
      </c>
      <c r="K143" s="11"/>
      <c r="L143" s="11">
        <f t="shared" si="119"/>
        <v>0</v>
      </c>
      <c r="M143" s="11"/>
      <c r="N143" s="11">
        <f t="shared" si="125"/>
        <v>0</v>
      </c>
      <c r="O143" s="11">
        <f>VLOOKUP(A143,'TFA-Nov,25'!$B$10:$C$144,2,0)</f>
        <v>12100</v>
      </c>
      <c r="P143" s="11">
        <f t="shared" si="126"/>
        <v>12100</v>
      </c>
      <c r="Q143" s="11">
        <f>VLOOKUP(A143,'TB-TFL-A-Dec,25'!$B$10:$C$147,2,0)</f>
        <v>12100</v>
      </c>
      <c r="R143" s="11">
        <f t="shared" si="127"/>
        <v>0</v>
      </c>
      <c r="S143" s="11">
        <f>VLOOKUP(A143,'TB-TFL-A-Jan,26'!$B$9:$C$151,2,0)</f>
        <v>12100</v>
      </c>
      <c r="T143" s="11">
        <f t="shared" si="128"/>
        <v>0</v>
      </c>
      <c r="U143" s="11">
        <f>VLOOKUP(A143,'TB-Feb,26-a'!$B$10:$C$153,2,0)</f>
        <v>12100</v>
      </c>
      <c r="V143" s="11">
        <f t="shared" si="129"/>
        <v>0</v>
      </c>
      <c r="W143" s="83"/>
      <c r="X143" s="83"/>
      <c r="Y143" s="83"/>
      <c r="Z143" s="83"/>
      <c r="AD143" s="55"/>
      <c r="AE143" s="55"/>
      <c r="AF143" s="55"/>
    </row>
    <row r="144" spans="1:32" x14ac:dyDescent="0.3">
      <c r="A144" t="s">
        <v>393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>
        <f>VLOOKUP(A144,'PL-TFA-Oct'!$B$9:$C$138,2,0)</f>
        <v>15604</v>
      </c>
      <c r="N144" s="11">
        <f t="shared" si="125"/>
        <v>15604</v>
      </c>
      <c r="O144" s="11">
        <f>VLOOKUP(A144,'TFA-Nov,25'!$B$10:$C$144,2,0)</f>
        <v>15604</v>
      </c>
      <c r="P144" s="11">
        <f t="shared" si="126"/>
        <v>0</v>
      </c>
      <c r="Q144" s="11">
        <f>VLOOKUP(A144,'TB-TFL-A-Dec,25'!$B$10:$C$147,2,0)</f>
        <v>15604</v>
      </c>
      <c r="R144" s="11">
        <f t="shared" si="127"/>
        <v>0</v>
      </c>
      <c r="S144" s="11">
        <f>VLOOKUP(A144,'TB-TFL-A-Jan,26'!$B$9:$C$151,2,0)</f>
        <v>15604</v>
      </c>
      <c r="T144" s="11">
        <f t="shared" si="128"/>
        <v>0</v>
      </c>
      <c r="U144" s="11">
        <f>VLOOKUP(A144,'TB-Feb,26-a'!$B$10:$C$153,2,0)</f>
        <v>15604</v>
      </c>
      <c r="V144" s="11">
        <f t="shared" si="129"/>
        <v>0</v>
      </c>
      <c r="W144" s="83"/>
      <c r="X144" s="83"/>
      <c r="Y144" s="83"/>
      <c r="Z144" s="83"/>
      <c r="AD144" s="55"/>
      <c r="AE144" s="55"/>
      <c r="AF144" s="55"/>
    </row>
    <row r="145" spans="1:32" x14ac:dyDescent="0.3">
      <c r="A145" s="10" t="s">
        <v>94</v>
      </c>
      <c r="B145" s="11"/>
      <c r="C145" s="11"/>
      <c r="D145" s="11">
        <f t="shared" si="106"/>
        <v>0</v>
      </c>
      <c r="E145" s="11">
        <f>VLOOKUP(A145,'June,25-A'!$B$10:$C$123,2,0)-Prepaid!F9</f>
        <v>174.75</v>
      </c>
      <c r="F145" s="11">
        <f t="shared" si="107"/>
        <v>174.75</v>
      </c>
      <c r="G145" s="11">
        <f>VLOOKUP(A145,'July-A'!$B$10:$C$129,2,0)-Prepaid!G9</f>
        <v>233</v>
      </c>
      <c r="H145" s="11">
        <f t="shared" si="130"/>
        <v>58.25</v>
      </c>
      <c r="I145" s="11">
        <f>VLOOKUP(A145,'TB-A-Aug'!$B$10:$C$132,2,0)-Prepaid!H9</f>
        <v>291.25</v>
      </c>
      <c r="J145" s="11">
        <f t="shared" si="118"/>
        <v>58.25</v>
      </c>
      <c r="K145" s="11">
        <f>VLOOKUP(A145,'TFA-Sept,25'!$B$9:$C$136,2,0)-Prepaid!I9</f>
        <v>349.5</v>
      </c>
      <c r="L145" s="11">
        <f t="shared" si="119"/>
        <v>58.25</v>
      </c>
      <c r="M145" s="11">
        <f>VLOOKUP(A145,'PL-TFA-Oct'!$B$9:$C$138,2,0)-Prepaid!J9</f>
        <v>407.75</v>
      </c>
      <c r="N145" s="11">
        <f t="shared" si="125"/>
        <v>58.25</v>
      </c>
      <c r="O145" s="11">
        <f>VLOOKUP(A145,'TFA-Nov,25'!$B$10:$C$144,2,0)-Prepaid!K9</f>
        <v>466</v>
      </c>
      <c r="P145" s="11">
        <f t="shared" si="126"/>
        <v>58.25</v>
      </c>
      <c r="Q145" s="11">
        <f>VLOOKUP(A145,'TB-TFL-A-Dec,25'!$B$10:$C$147,2,0)-Prepaid!L9</f>
        <v>524.25</v>
      </c>
      <c r="R145" s="11">
        <f t="shared" si="127"/>
        <v>58.25</v>
      </c>
      <c r="S145" s="11">
        <f>VLOOKUP(A145,'TB-TFL-A-Jan,26'!$B$9:$C$151,2,0)-Prepaid!M9</f>
        <v>582.5</v>
      </c>
      <c r="T145" s="11">
        <f t="shared" si="128"/>
        <v>58.25</v>
      </c>
      <c r="U145" s="11">
        <f>VLOOKUP(A145,'TB-Feb,26-a'!$B$10:$C$153,2,0)-Prepaid!N9</f>
        <v>640.75</v>
      </c>
      <c r="V145" s="11">
        <f t="shared" si="129"/>
        <v>58.25</v>
      </c>
      <c r="W145" s="83"/>
      <c r="X145" s="83"/>
      <c r="Y145" s="83"/>
      <c r="Z145" s="83"/>
      <c r="AD145" s="55"/>
      <c r="AE145" s="55"/>
      <c r="AF145" s="55"/>
    </row>
    <row r="146" spans="1:32" x14ac:dyDescent="0.3">
      <c r="A146" s="10" t="s">
        <v>61</v>
      </c>
      <c r="B146" s="11">
        <f>VLOOKUP(A146,'TFL A-April,25'!$B$9:$C$95,2,0)+64457+63772+50000</f>
        <v>350841</v>
      </c>
      <c r="C146" s="11">
        <f>VLOOKUP(A146,'May-A'!$B$10:$C$103,2,0)</f>
        <v>704695</v>
      </c>
      <c r="D146" s="11">
        <f t="shared" si="106"/>
        <v>353854</v>
      </c>
      <c r="E146" s="11">
        <f>VLOOKUP(A146,'June,25-A'!$B$10:$C$123,2,0)</f>
        <v>1041517</v>
      </c>
      <c r="F146" s="11">
        <f t="shared" si="107"/>
        <v>336822</v>
      </c>
      <c r="G146" s="11">
        <f>VLOOKUP(A146,'July-A'!$B$10:$C$129,2,0)+64349+98919</f>
        <v>1274785</v>
      </c>
      <c r="H146" s="11">
        <f t="shared" si="130"/>
        <v>233268</v>
      </c>
      <c r="I146" s="11">
        <f>VLOOKUP(A146,'TB-A-Aug'!$B$10:$C$132,2,0)+64399+98919</f>
        <v>1611903</v>
      </c>
      <c r="J146" s="11">
        <f t="shared" si="118"/>
        <v>337118</v>
      </c>
      <c r="K146" s="11">
        <f>VLOOKUP(A146,'TFA-Sept,25'!$B$9:$C$136,2,0)+170330</f>
        <v>2061177</v>
      </c>
      <c r="L146" s="11">
        <f t="shared" si="119"/>
        <v>449274</v>
      </c>
      <c r="M146" s="11">
        <f>VLOOKUP(A146,'PL-TFA-Oct'!$B$9:$C$138,2,0)+340246</f>
        <v>3013914</v>
      </c>
      <c r="N146" s="11">
        <f t="shared" si="125"/>
        <v>952737</v>
      </c>
      <c r="O146" s="11">
        <f>VLOOKUP(A146,'TFA-Nov,25'!$B$10:$C$144,2,0)+94759+191476</f>
        <v>3667981.55</v>
      </c>
      <c r="P146" s="11">
        <f t="shared" si="126"/>
        <v>654067.54999999981</v>
      </c>
      <c r="Q146" s="11">
        <f>VLOOKUP(A146,'TB-TFL-A-Dec,25'!$B$10:$C$147,2,0)+154621+100000</f>
        <v>4092603.13</v>
      </c>
      <c r="R146" s="11">
        <f t="shared" si="127"/>
        <v>424621.58000000007</v>
      </c>
      <c r="S146" s="11">
        <f>VLOOKUP(A146,'TB-TFL-A-Jan,26'!$B$9:$C$151,2,0)+151352+79659</f>
        <v>4501551.46</v>
      </c>
      <c r="T146" s="11">
        <f t="shared" si="128"/>
        <v>408948.33000000007</v>
      </c>
      <c r="U146" s="11">
        <f>VLOOKUP(A146,'TB-Feb,26-a'!$B$10:$C$153,2,0)+230000+214010</f>
        <v>5160162.76</v>
      </c>
      <c r="V146" s="11">
        <f t="shared" si="129"/>
        <v>658611.29999999981</v>
      </c>
      <c r="W146" s="83"/>
      <c r="X146" s="83"/>
      <c r="Y146" s="83"/>
      <c r="Z146" s="83"/>
      <c r="AD146" s="55"/>
      <c r="AE146" s="55"/>
      <c r="AF146" s="55"/>
    </row>
    <row r="147" spans="1:32" x14ac:dyDescent="0.3">
      <c r="A147" s="10" t="s">
        <v>91</v>
      </c>
      <c r="B147" s="11">
        <f>VLOOKUP(A147,'TFL A-April,25'!$B$9:$C$95,2,0)</f>
        <v>1800</v>
      </c>
      <c r="C147" s="11">
        <f>VLOOKUP(A147,'May-A'!$B$10:$C$103,2,0)</f>
        <v>520307.44</v>
      </c>
      <c r="D147" s="11">
        <f t="shared" si="106"/>
        <v>518507.44</v>
      </c>
      <c r="E147" s="11">
        <f>VLOOKUP(A147,'June,25-A'!$B$10:$C$123,2,0)+153500</f>
        <v>1251323.3500000001</v>
      </c>
      <c r="F147" s="11">
        <f t="shared" si="107"/>
        <v>731015.91000000015</v>
      </c>
      <c r="G147" s="11">
        <f>VLOOKUP(A147,'July-A'!$B$10:$C$129,2,0)+130619</f>
        <v>1452013.29</v>
      </c>
      <c r="H147" s="11">
        <f t="shared" si="130"/>
        <v>200689.93999999994</v>
      </c>
      <c r="I147" s="11">
        <f>VLOOKUP(A147,'TB-A-Aug'!$B$10:$C$132,2,0)+3500</f>
        <v>1821309.68</v>
      </c>
      <c r="J147" s="11">
        <f t="shared" si="118"/>
        <v>369296.3899999999</v>
      </c>
      <c r="K147" s="11">
        <f>VLOOKUP(A147,'TFA-Sept,25'!$B$9:$C$136,2,0)</f>
        <v>2047322.48</v>
      </c>
      <c r="L147" s="11">
        <f t="shared" si="119"/>
        <v>226012.80000000005</v>
      </c>
      <c r="M147" s="11">
        <f>VLOOKUP(A147,'PL-TFA-Oct'!$B$9:$C$138,2,0)+3500+479768</f>
        <v>2977190.48</v>
      </c>
      <c r="N147" s="11">
        <f t="shared" si="125"/>
        <v>929868</v>
      </c>
      <c r="O147" s="11">
        <f>VLOOKUP(A147,'TFA-Nov,25'!$B$10:$C$144,2,0)+3500</f>
        <v>3193286.48</v>
      </c>
      <c r="P147" s="11">
        <f t="shared" si="126"/>
        <v>216096</v>
      </c>
      <c r="Q147" s="11">
        <f>VLOOKUP(A147,'TB-TFL-A-Dec,25'!$B$10:$C$147,2,0)+3500</f>
        <v>3421098.68</v>
      </c>
      <c r="R147" s="11">
        <f t="shared" si="127"/>
        <v>227812.20000000019</v>
      </c>
      <c r="S147" s="11">
        <f>VLOOKUP(A147,'TB-TFL-A-Jan,26'!$B$9:$C$151,2,0)+3500+253</f>
        <v>3910982.49</v>
      </c>
      <c r="T147" s="11">
        <f t="shared" si="128"/>
        <v>489883.81000000006</v>
      </c>
      <c r="U147" s="11">
        <f>VLOOKUP(A147,'TB-Feb,26-a'!$B$10:$C$153,2,0)+3500</f>
        <v>4187805.09</v>
      </c>
      <c r="V147" s="11">
        <f t="shared" si="129"/>
        <v>276822.59999999963</v>
      </c>
      <c r="W147" s="83"/>
      <c r="X147" s="83"/>
      <c r="Y147" s="83"/>
      <c r="Z147" s="83"/>
      <c r="AD147" s="55"/>
      <c r="AE147" s="55"/>
      <c r="AF147" s="55"/>
    </row>
    <row r="148" spans="1:32" x14ac:dyDescent="0.3">
      <c r="A148" t="s">
        <v>311</v>
      </c>
      <c r="B148" s="11">
        <v>22000</v>
      </c>
      <c r="C148" s="11">
        <v>44000</v>
      </c>
      <c r="D148" s="11">
        <v>22000</v>
      </c>
      <c r="E148" s="11">
        <v>66000</v>
      </c>
      <c r="F148" s="11">
        <f>+E148-C148</f>
        <v>22000</v>
      </c>
      <c r="G148" s="11">
        <f>VLOOKUP(A148,'July-A'!$B$10:$C$129,2,0)</f>
        <v>88000</v>
      </c>
      <c r="H148" s="11">
        <f t="shared" si="130"/>
        <v>22000</v>
      </c>
      <c r="I148" s="11">
        <f>VLOOKUP(A148,'TB-A-Aug'!$B$10:$C$132,2,0)</f>
        <v>110000</v>
      </c>
      <c r="J148" s="11">
        <f t="shared" si="118"/>
        <v>22000</v>
      </c>
      <c r="K148" s="11">
        <f>VLOOKUP(A148,'TFA-Sept,25'!$B$9:$C$136,2,0)</f>
        <v>132000</v>
      </c>
      <c r="L148" s="11">
        <f t="shared" si="119"/>
        <v>22000</v>
      </c>
      <c r="M148" s="11">
        <f>VLOOKUP(A148,'PL-TFA-Oct'!$B$9:$C$138,2,0)</f>
        <v>154000</v>
      </c>
      <c r="N148" s="11">
        <f t="shared" si="125"/>
        <v>22000</v>
      </c>
      <c r="O148" s="11">
        <f>VLOOKUP(A148,'TFA-Nov,25'!$B$10:$C$144,2,0)</f>
        <v>176000</v>
      </c>
      <c r="P148" s="11">
        <f t="shared" si="126"/>
        <v>22000</v>
      </c>
      <c r="Q148" s="11">
        <f>VLOOKUP(A148,'TB-TFL-A-Dec,25'!$B$10:$C$147,2,0)</f>
        <v>198000</v>
      </c>
      <c r="R148" s="11">
        <f t="shared" si="127"/>
        <v>22000</v>
      </c>
      <c r="S148" s="11">
        <f>VLOOKUP(A148,'TB-TFL-A-Jan,26'!$B$9:$C$151,2,0)</f>
        <v>220000</v>
      </c>
      <c r="T148" s="11">
        <f t="shared" si="128"/>
        <v>22000</v>
      </c>
      <c r="U148" s="11">
        <f>VLOOKUP(A148,'TB-Feb,26-a'!$B$10:$C$153,2,0)</f>
        <v>220000</v>
      </c>
      <c r="V148" s="11">
        <f t="shared" si="129"/>
        <v>0</v>
      </c>
      <c r="W148" s="83"/>
      <c r="X148" s="83"/>
      <c r="Y148" s="83"/>
      <c r="Z148" s="83"/>
      <c r="AD148" s="55"/>
      <c r="AE148" s="55"/>
      <c r="AF148" s="55"/>
    </row>
    <row r="149" spans="1:32" x14ac:dyDescent="0.3">
      <c r="A149" s="10" t="s">
        <v>92</v>
      </c>
      <c r="B149" s="11"/>
      <c r="C149" s="11">
        <f>VLOOKUP(A149,'May-A'!$B$10:$C$103,2,0)</f>
        <v>13094</v>
      </c>
      <c r="D149" s="11">
        <f t="shared" ref="D149:D175" si="131">+C149-B149</f>
        <v>13094</v>
      </c>
      <c r="E149" s="11">
        <f>VLOOKUP(A149,'June,25-A'!$B$10:$C$123,2,0)-Prepaid!F12</f>
        <v>11243.8</v>
      </c>
      <c r="F149" s="11">
        <f t="shared" ref="F149:F175" si="132">+E149-C149</f>
        <v>-1850.2000000000007</v>
      </c>
      <c r="G149" s="11">
        <f>VLOOKUP(A149,'July-A'!$B$10:$C$129,2,0)-Prepaid!G12</f>
        <v>12323.066666666666</v>
      </c>
      <c r="H149" s="11">
        <f t="shared" si="130"/>
        <v>1079.2666666666664</v>
      </c>
      <c r="I149" s="11">
        <f>VLOOKUP(A149,'TB-A-Aug'!$B$10:$C$132,2,0)-Prepaid!H12</f>
        <v>14919.333333333332</v>
      </c>
      <c r="J149" s="11">
        <f t="shared" ref="J149:J175" si="133">+I149-G149</f>
        <v>2596.2666666666664</v>
      </c>
      <c r="K149" s="11">
        <f>VLOOKUP(A149,'TFA-Sept,25'!$B$9:$C$136,2,0)-Prepaid!I12</f>
        <v>16390.599999999999</v>
      </c>
      <c r="L149" s="11">
        <f t="shared" ref="L149:L168" si="134">+K149-I149</f>
        <v>1471.2666666666664</v>
      </c>
      <c r="M149" s="11">
        <f>VLOOKUP(A149,'PL-TFA-Oct'!$B$9:$C$138,2,0)-Prepaid!J12</f>
        <v>34595.866666666669</v>
      </c>
      <c r="N149" s="11">
        <f t="shared" si="125"/>
        <v>18205.26666666667</v>
      </c>
      <c r="O149" s="11">
        <f>VLOOKUP(A149,'TFA-Nov,25'!$B$10:$C$144,2,0)-Prepaid!K12</f>
        <v>80357.133333333331</v>
      </c>
      <c r="P149" s="11">
        <f t="shared" si="126"/>
        <v>45761.266666666663</v>
      </c>
      <c r="Q149" s="11">
        <f>VLOOKUP(A149,'TB-TFL-A-Dec,25'!$B$10:$C$147,2,0)-Prepaid!L12</f>
        <v>81812.66</v>
      </c>
      <c r="R149" s="11">
        <f t="shared" si="127"/>
        <v>1455.5266666666721</v>
      </c>
      <c r="S149" s="11">
        <f>VLOOKUP(A149,'TB-TFL-A-Jan,26'!$B$9:$C$151,2,0)-Prepaid!M12-253</f>
        <v>81665.926666666666</v>
      </c>
      <c r="T149" s="11">
        <f t="shared" si="128"/>
        <v>-146.73333333333721</v>
      </c>
      <c r="U149" s="11">
        <f>VLOOKUP(A149,'TB-Feb,26-a'!$B$10:$C$153,2,0)-Prepaid!N12</f>
        <v>81666.193333333344</v>
      </c>
      <c r="V149" s="11">
        <f t="shared" si="129"/>
        <v>0.26666666667733807</v>
      </c>
      <c r="W149" s="83"/>
      <c r="X149" s="83"/>
      <c r="Y149" s="83"/>
      <c r="Z149" s="83"/>
      <c r="AD149" s="55"/>
      <c r="AE149" s="55"/>
      <c r="AF149" s="55"/>
    </row>
    <row r="150" spans="1:32" x14ac:dyDescent="0.3">
      <c r="A150" s="10" t="s">
        <v>57</v>
      </c>
      <c r="B150" s="11">
        <f>VLOOKUP(A150,'TFL A-April,25'!$B$9:$C$95,2,0)</f>
        <v>-3.63</v>
      </c>
      <c r="C150" s="11">
        <f>VLOOKUP(A150,'May-A'!$B$10:$C$103,2,0)</f>
        <v>1.37</v>
      </c>
      <c r="D150" s="11">
        <f t="shared" si="131"/>
        <v>5</v>
      </c>
      <c r="E150" s="11">
        <f>VLOOKUP(A150,'June,25-A'!$B$10:$C$123,2,0)-83</f>
        <v>-80.95</v>
      </c>
      <c r="F150" s="11">
        <f t="shared" si="132"/>
        <v>-82.320000000000007</v>
      </c>
      <c r="G150" s="11">
        <f>VLOOKUP(A150,'July-A'!$B$10:$C$129,2,0)</f>
        <v>2.0499999999999998</v>
      </c>
      <c r="H150" s="11">
        <f t="shared" si="130"/>
        <v>83</v>
      </c>
      <c r="I150" s="11">
        <f>VLOOKUP(A150,'TB-A-Aug'!$B$10:$C$132,2,0)</f>
        <v>4.05</v>
      </c>
      <c r="J150" s="11">
        <f t="shared" si="133"/>
        <v>2</v>
      </c>
      <c r="K150" s="11">
        <f>VLOOKUP(A150,'TFA-Sept,25'!$B$9:$C$136,2,0)</f>
        <v>9.99</v>
      </c>
      <c r="L150" s="11">
        <f t="shared" si="134"/>
        <v>5.94</v>
      </c>
      <c r="M150" s="11">
        <f>VLOOKUP(A150,'PL-TFA-Oct'!$B$9:$C$138,2,0)</f>
        <v>9.99</v>
      </c>
      <c r="N150" s="11">
        <f t="shared" si="125"/>
        <v>0</v>
      </c>
      <c r="O150" s="11">
        <f>VLOOKUP(A150,'TFA-Nov,25'!$B$10:$C$144,2,0)</f>
        <v>10.25</v>
      </c>
      <c r="P150" s="11">
        <f t="shared" si="126"/>
        <v>0.25999999999999979</v>
      </c>
      <c r="Q150" s="11">
        <f>VLOOKUP(A150,'TB-TFL-A-Dec,25'!$B$10:$C$147,2,0)</f>
        <v>10.45</v>
      </c>
      <c r="R150" s="11">
        <f t="shared" si="127"/>
        <v>0.19999999999999929</v>
      </c>
      <c r="S150" s="11">
        <f>VLOOKUP(A150,'TB-TFL-A-Jan,26'!$B$9:$C$151,2,0)</f>
        <v>10.23</v>
      </c>
      <c r="T150" s="11">
        <f t="shared" si="128"/>
        <v>-0.21999999999999886</v>
      </c>
      <c r="U150" s="11">
        <f>VLOOKUP(A150,'TB-Feb,26-a'!$B$10:$C$153,2,0)</f>
        <v>10.67</v>
      </c>
      <c r="V150" s="11">
        <f t="shared" si="129"/>
        <v>0.4399999999999995</v>
      </c>
      <c r="W150" s="83"/>
      <c r="X150" s="83"/>
      <c r="Y150" s="83"/>
      <c r="Z150" s="83"/>
      <c r="AD150" s="55"/>
      <c r="AE150" s="55"/>
      <c r="AF150" s="55"/>
    </row>
    <row r="151" spans="1:32" x14ac:dyDescent="0.3">
      <c r="A151" s="10" t="s">
        <v>63</v>
      </c>
      <c r="B151" s="11">
        <f>VLOOKUP(A151,'TFL A-April,25'!$B$9:$C$95,2,0)</f>
        <v>10500</v>
      </c>
      <c r="C151" s="11">
        <f>VLOOKUP(A151,'May-A'!$B$10:$C$103,2,0)</f>
        <v>10500</v>
      </c>
      <c r="D151" s="11">
        <f t="shared" si="131"/>
        <v>0</v>
      </c>
      <c r="E151" s="11">
        <f>VLOOKUP(A151,'June,25-A'!$B$10:$C$123,2,0)</f>
        <v>10500</v>
      </c>
      <c r="F151" s="11">
        <f t="shared" si="132"/>
        <v>0</v>
      </c>
      <c r="G151" s="11">
        <f>VLOOKUP(A151,'July-A'!$B$10:$C$129,2,0)</f>
        <v>10500</v>
      </c>
      <c r="H151" s="11">
        <f t="shared" si="130"/>
        <v>0</v>
      </c>
      <c r="I151" s="11">
        <f>VLOOKUP(A151,'TB-A-Aug'!$B$10:$C$132,2,0)</f>
        <v>10500</v>
      </c>
      <c r="J151" s="11">
        <f t="shared" si="133"/>
        <v>0</v>
      </c>
      <c r="K151" s="11">
        <f>VLOOKUP(A151,'TFA-Sept,25'!$B$9:$C$136,2,0)</f>
        <v>21500</v>
      </c>
      <c r="L151" s="11">
        <f t="shared" si="134"/>
        <v>11000</v>
      </c>
      <c r="M151" s="11">
        <f>VLOOKUP(A151,'PL-TFA-Oct'!$B$9:$C$138,2,0)</f>
        <v>21500</v>
      </c>
      <c r="N151" s="11">
        <f t="shared" si="125"/>
        <v>0</v>
      </c>
      <c r="O151" s="11">
        <f>VLOOKUP(A151,'TFA-Nov,25'!$B$10:$C$144,2,0)</f>
        <v>21500</v>
      </c>
      <c r="P151" s="11">
        <f t="shared" si="126"/>
        <v>0</v>
      </c>
      <c r="Q151" s="11">
        <f>VLOOKUP(A151,'TB-TFL-A-Dec,25'!$B$10:$C$147,2,0)</f>
        <v>21500</v>
      </c>
      <c r="R151" s="11">
        <f t="shared" si="127"/>
        <v>0</v>
      </c>
      <c r="S151" s="11">
        <f>VLOOKUP(A151,'TB-TFL-A-Jan,26'!$B$9:$C$151,2,0)</f>
        <v>21500</v>
      </c>
      <c r="T151" s="11">
        <f t="shared" si="128"/>
        <v>0</v>
      </c>
      <c r="U151" s="11">
        <f>VLOOKUP(A151,'TB-Feb,26-a'!$B$10:$C$153,2,0)</f>
        <v>21500</v>
      </c>
      <c r="V151" s="11">
        <f t="shared" si="129"/>
        <v>0</v>
      </c>
      <c r="W151" s="83"/>
      <c r="X151" s="83"/>
      <c r="Y151" s="83"/>
      <c r="Z151" s="83"/>
      <c r="AD151" s="55"/>
      <c r="AE151" s="55"/>
      <c r="AF151" s="55"/>
    </row>
    <row r="152" spans="1:32" x14ac:dyDescent="0.3">
      <c r="A152" t="s">
        <v>204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>
        <f>VLOOKUP(A152,'TFA-Nov,25'!$B$10:$C$144,2,0)</f>
        <v>2000</v>
      </c>
      <c r="P152" s="11">
        <f t="shared" si="126"/>
        <v>2000</v>
      </c>
      <c r="Q152" s="11">
        <f>VLOOKUP(A152,'TB-TFL-A-Dec,25'!$B$10:$C$147,2,0)</f>
        <v>121697.75</v>
      </c>
      <c r="R152" s="11">
        <f t="shared" si="127"/>
        <v>119697.75</v>
      </c>
      <c r="S152" s="11">
        <f>VLOOKUP(A152,'TB-TFL-A-Jan,26'!$B$9:$C$151,2,0)</f>
        <v>121697.75</v>
      </c>
      <c r="T152" s="11">
        <f t="shared" si="128"/>
        <v>0</v>
      </c>
      <c r="U152" s="11">
        <f>VLOOKUP(A152,'TB-Feb,26-a'!$B$10:$C$153,2,0)</f>
        <v>123697.75</v>
      </c>
      <c r="V152" s="11">
        <f t="shared" si="129"/>
        <v>2000</v>
      </c>
      <c r="W152" s="83"/>
      <c r="X152" s="83"/>
      <c r="Y152" s="83"/>
      <c r="Z152" s="83"/>
      <c r="AD152" s="55"/>
      <c r="AE152" s="55"/>
      <c r="AF152" s="55"/>
    </row>
    <row r="153" spans="1:32" x14ac:dyDescent="0.3">
      <c r="A153" s="10" t="s">
        <v>64</v>
      </c>
      <c r="B153" s="11">
        <f>VLOOKUP(A153,'TFL A-April,25'!$B$9:$C$95,2,0)</f>
        <v>608.26</v>
      </c>
      <c r="C153" s="11">
        <f>VLOOKUP(A153,'May-A'!$B$10:$C$103,2,0)</f>
        <v>608.26</v>
      </c>
      <c r="D153" s="11">
        <f t="shared" si="131"/>
        <v>0</v>
      </c>
      <c r="E153" s="11">
        <f>VLOOKUP(A153,'June,25-A'!$B$10:$C$123,2,0)</f>
        <v>1824.78</v>
      </c>
      <c r="F153" s="11">
        <f t="shared" si="132"/>
        <v>1216.52</v>
      </c>
      <c r="G153" s="11">
        <f>VLOOKUP(A153,'July-A'!$B$10:$C$129,2,0)</f>
        <v>1824.78</v>
      </c>
      <c r="H153" s="11">
        <f t="shared" si="130"/>
        <v>0</v>
      </c>
      <c r="I153" s="11">
        <f>VLOOKUP(A153,'TB-A-Aug'!$B$10:$C$132,2,0)</f>
        <v>1824.78</v>
      </c>
      <c r="J153" s="11">
        <f t="shared" si="133"/>
        <v>0</v>
      </c>
      <c r="K153" s="11">
        <f>VLOOKUP(A153,'TFA-Sept,25'!$B$9:$C$136,2,0)</f>
        <v>1824.78</v>
      </c>
      <c r="L153" s="11">
        <f t="shared" si="134"/>
        <v>0</v>
      </c>
      <c r="M153" s="11">
        <f>VLOOKUP(A153,'PL-TFA-Oct'!$B$9:$C$138,2,0)</f>
        <v>1824.78</v>
      </c>
      <c r="N153" s="11">
        <f t="shared" si="125"/>
        <v>0</v>
      </c>
      <c r="O153" s="11">
        <f>VLOOKUP(A153,'TFA-Nov,25'!$B$10:$C$144,2,0)</f>
        <v>1824.78</v>
      </c>
      <c r="P153" s="11">
        <f t="shared" si="126"/>
        <v>0</v>
      </c>
      <c r="Q153" s="11">
        <f>VLOOKUP(A153,'TB-TFL-A-Dec,25'!$B$10:$C$147,2,0)</f>
        <v>3041.3</v>
      </c>
      <c r="R153" s="11">
        <f t="shared" si="127"/>
        <v>1216.5200000000002</v>
      </c>
      <c r="S153" s="11">
        <f>VLOOKUP(A153,'TB-TFL-A-Jan,26'!$B$9:$C$151,2,0)</f>
        <v>3041.3</v>
      </c>
      <c r="T153" s="11">
        <f t="shared" si="128"/>
        <v>0</v>
      </c>
      <c r="U153" s="11">
        <f>VLOOKUP(A153,'TB-Feb,26-a'!$B$10:$C$153,2,0)</f>
        <v>3041.3</v>
      </c>
      <c r="V153" s="11">
        <f t="shared" si="129"/>
        <v>0</v>
      </c>
      <c r="W153" s="83"/>
      <c r="X153" s="83"/>
      <c r="Y153" s="83"/>
      <c r="Z153" s="83"/>
      <c r="AD153" s="55"/>
      <c r="AE153" s="55"/>
      <c r="AF153" s="55"/>
    </row>
    <row r="154" spans="1:32" x14ac:dyDescent="0.3">
      <c r="A154" s="10" t="s">
        <v>65</v>
      </c>
      <c r="B154" s="11"/>
      <c r="C154" s="11">
        <f>VLOOKUP(A154,'May-A'!$B$10:$C$103,2,0)</f>
        <v>2500</v>
      </c>
      <c r="D154" s="11">
        <f t="shared" si="131"/>
        <v>2500</v>
      </c>
      <c r="E154" s="11">
        <f>VLOOKUP(A154,'June,25-A'!$B$10:$C$123,2,0)</f>
        <v>2500</v>
      </c>
      <c r="F154" s="11">
        <f t="shared" si="132"/>
        <v>0</v>
      </c>
      <c r="G154" s="11">
        <f>VLOOKUP(A154,'July-A'!$B$10:$C$129,2,0)</f>
        <v>2500</v>
      </c>
      <c r="H154" s="11">
        <f t="shared" si="130"/>
        <v>0</v>
      </c>
      <c r="I154" s="11">
        <f>VLOOKUP(A154,'TB-A-Aug'!$B$10:$C$132,2,0)</f>
        <v>2500</v>
      </c>
      <c r="J154" s="11">
        <f t="shared" si="133"/>
        <v>0</v>
      </c>
      <c r="K154" s="11">
        <f>VLOOKUP(A154,'TFA-Sept,25'!$B$9:$C$136,2,0)</f>
        <v>2500</v>
      </c>
      <c r="L154" s="11">
        <f t="shared" si="134"/>
        <v>0</v>
      </c>
      <c r="M154" s="11">
        <f>VLOOKUP(A154,'PL-TFA-Oct'!$B$9:$C$138,2,0)</f>
        <v>2500</v>
      </c>
      <c r="N154" s="11">
        <f t="shared" si="125"/>
        <v>0</v>
      </c>
      <c r="O154" s="11">
        <f>VLOOKUP(A154,'TFA-Nov,25'!$B$10:$C$144,2,0)</f>
        <v>2500</v>
      </c>
      <c r="P154" s="11">
        <f t="shared" si="126"/>
        <v>0</v>
      </c>
      <c r="Q154" s="11">
        <f>VLOOKUP(A154,'TB-TFL-A-Dec,25'!$B$10:$C$147,2,0)</f>
        <v>2500</v>
      </c>
      <c r="R154" s="11">
        <f t="shared" si="127"/>
        <v>0</v>
      </c>
      <c r="S154" s="11">
        <f>VLOOKUP(A154,'TB-TFL-A-Jan,26'!$B$9:$C$151,2,0)</f>
        <v>2500</v>
      </c>
      <c r="T154" s="11">
        <f t="shared" si="128"/>
        <v>0</v>
      </c>
      <c r="U154" s="11">
        <f>VLOOKUP(A154,'TB-Feb,26-a'!$B$10:$C$153,2,0)</f>
        <v>2500</v>
      </c>
      <c r="V154" s="11">
        <f t="shared" si="129"/>
        <v>0</v>
      </c>
      <c r="W154" s="83"/>
      <c r="X154" s="83"/>
      <c r="Y154" s="83"/>
      <c r="Z154" s="83"/>
      <c r="AD154" s="55"/>
      <c r="AE154" s="55"/>
      <c r="AF154" s="55"/>
    </row>
    <row r="155" spans="1:32" x14ac:dyDescent="0.3">
      <c r="A155" s="10" t="s">
        <v>231</v>
      </c>
      <c r="B155" s="11"/>
      <c r="C155" s="11"/>
      <c r="D155" s="11">
        <f t="shared" si="131"/>
        <v>0</v>
      </c>
      <c r="E155" s="11"/>
      <c r="F155" s="11">
        <f t="shared" si="132"/>
        <v>0</v>
      </c>
      <c r="G155" s="11">
        <f>VLOOKUP(A155,'July-A'!$B$10:$C$129,2,0)</f>
        <v>576</v>
      </c>
      <c r="H155" s="11">
        <f t="shared" si="130"/>
        <v>576</v>
      </c>
      <c r="I155" s="11">
        <f>VLOOKUP(A155,'TB-A-Aug'!$B$10:$C$132,2,0)</f>
        <v>576</v>
      </c>
      <c r="J155" s="11">
        <f t="shared" si="133"/>
        <v>0</v>
      </c>
      <c r="K155" s="11">
        <f>VLOOKUP(A155,'TFA-Sept,25'!$B$9:$C$136,2,0)</f>
        <v>576</v>
      </c>
      <c r="L155" s="11">
        <f t="shared" si="134"/>
        <v>0</v>
      </c>
      <c r="M155" s="11">
        <f>VLOOKUP(A155,'PL-TFA-Oct'!$B$9:$C$138,2,0)</f>
        <v>576</v>
      </c>
      <c r="N155" s="11">
        <f t="shared" ref="N155:N168" si="135">+M155-K155</f>
        <v>0</v>
      </c>
      <c r="O155" s="11">
        <f>VLOOKUP(A155,'TFA-Nov,25'!$B$10:$C$144,2,0)</f>
        <v>576</v>
      </c>
      <c r="P155" s="11">
        <f t="shared" ref="P155:P168" si="136">+O155-M155</f>
        <v>0</v>
      </c>
      <c r="Q155" s="11">
        <f>VLOOKUP(A155,'TB-TFL-A-Dec,25'!$B$10:$C$147,2,0)</f>
        <v>576</v>
      </c>
      <c r="R155" s="11">
        <f t="shared" ref="R155:R168" si="137">+Q155-O155</f>
        <v>0</v>
      </c>
      <c r="S155" s="11">
        <f>VLOOKUP(A155,'TB-TFL-A-Jan,26'!$B$9:$C$151,2,0)</f>
        <v>576</v>
      </c>
      <c r="T155" s="11">
        <f t="shared" ref="T155:T168" si="138">+S155-Q155</f>
        <v>0</v>
      </c>
      <c r="U155" s="11">
        <f>VLOOKUP(A155,'TB-Feb,26-a'!$B$10:$C$153,2,0)</f>
        <v>6799</v>
      </c>
      <c r="V155" s="11">
        <f t="shared" ref="V155:V168" si="139">+U155-S155</f>
        <v>6223</v>
      </c>
      <c r="W155" s="83"/>
      <c r="X155" s="83"/>
      <c r="Y155" s="83"/>
      <c r="Z155" s="83"/>
      <c r="AD155" s="55"/>
      <c r="AE155" s="55"/>
      <c r="AF155" s="55"/>
    </row>
    <row r="156" spans="1:32" x14ac:dyDescent="0.3">
      <c r="A156" s="10" t="s">
        <v>113</v>
      </c>
      <c r="B156" s="11">
        <f>VLOOKUP(A156,'TFL A-April,25'!$B$9:$C$95,2,0)+136500*1</f>
        <v>409833</v>
      </c>
      <c r="C156" s="11">
        <f>VLOOKUP(A156,'May-A'!$B$10:$C$103,2,0)+136500*2</f>
        <v>631914</v>
      </c>
      <c r="D156" s="11">
        <f t="shared" si="131"/>
        <v>222081</v>
      </c>
      <c r="E156" s="11">
        <f>VLOOKUP(A156,'June,25-A'!$B$10:$C$123,2,0)+136500*3+110000-110000</f>
        <v>892538</v>
      </c>
      <c r="F156" s="11">
        <f t="shared" si="132"/>
        <v>260624</v>
      </c>
      <c r="G156" s="11">
        <f>VLOOKUP(A156,'July-A'!$B$10:$C$129,2,0)+136500*4+51000</f>
        <v>1220486</v>
      </c>
      <c r="H156" s="11">
        <f t="shared" si="130"/>
        <v>327948</v>
      </c>
      <c r="I156" s="11">
        <f>VLOOKUP(A156,'TB-A-Aug'!$B$10:$C$132,2,0)+136500*5+204000</f>
        <v>1647610</v>
      </c>
      <c r="J156" s="11">
        <f t="shared" si="133"/>
        <v>427124</v>
      </c>
      <c r="K156" s="11">
        <f>VLOOKUP(A156,'TFA-Sept,25'!$B$9:$C$136,2,0)+136500*6+51000</f>
        <v>1968234</v>
      </c>
      <c r="L156" s="11">
        <f t="shared" si="134"/>
        <v>320624</v>
      </c>
      <c r="M156" s="11">
        <f>VLOOKUP(A156,'PL-TFA-Oct'!$B$9:$C$138,2,0)+136500*7</f>
        <v>2284358</v>
      </c>
      <c r="N156" s="11">
        <f t="shared" si="135"/>
        <v>316124</v>
      </c>
      <c r="O156" s="11">
        <f>VLOOKUP(A156,'TFA-Nov,25'!$B$10:$C$144,2,0)+136500*8</f>
        <v>2635482</v>
      </c>
      <c r="P156" s="11">
        <f t="shared" si="136"/>
        <v>351124</v>
      </c>
      <c r="Q156" s="11">
        <f>VLOOKUP(A156,'TB-TFL-A-Dec,25'!$B$10:$C$147,2,0)+51000+203024+136500*9</f>
        <v>3224630</v>
      </c>
      <c r="R156" s="11">
        <f t="shared" si="137"/>
        <v>589148</v>
      </c>
      <c r="S156" s="11">
        <f>VLOOKUP(A156,'TB-TFL-A-Jan,26'!$B$9:$C$151,2,0)+136500*10+51000</f>
        <v>3379130</v>
      </c>
      <c r="T156" s="11">
        <f t="shared" si="138"/>
        <v>154500</v>
      </c>
      <c r="U156" s="11">
        <f>VLOOKUP(A156,'TB-Feb,26-a'!$B$10:$C$153,2,0)+136500*11</f>
        <v>3692554</v>
      </c>
      <c r="V156" s="11">
        <f t="shared" si="139"/>
        <v>313424</v>
      </c>
      <c r="W156" s="83"/>
      <c r="X156" s="83"/>
      <c r="Y156" s="83"/>
      <c r="Z156" s="83"/>
      <c r="AD156" s="55"/>
      <c r="AE156" s="55"/>
      <c r="AF156" s="55"/>
    </row>
    <row r="157" spans="1:32" x14ac:dyDescent="0.3">
      <c r="A157" s="10" t="s">
        <v>232</v>
      </c>
      <c r="B157" s="11">
        <v>10000</v>
      </c>
      <c r="C157" s="11">
        <f>10000*2</f>
        <v>20000</v>
      </c>
      <c r="D157" s="11">
        <f t="shared" si="131"/>
        <v>10000</v>
      </c>
      <c r="E157" s="11">
        <f>10000*3</f>
        <v>30000</v>
      </c>
      <c r="F157" s="11">
        <f t="shared" si="132"/>
        <v>10000</v>
      </c>
      <c r="G157" s="11">
        <f>10000*4</f>
        <v>40000</v>
      </c>
      <c r="H157" s="11">
        <f t="shared" si="130"/>
        <v>10000</v>
      </c>
      <c r="I157" s="11">
        <f>10000*5</f>
        <v>50000</v>
      </c>
      <c r="J157" s="11">
        <f t="shared" si="133"/>
        <v>10000</v>
      </c>
      <c r="K157" s="11">
        <f>10000*6</f>
        <v>60000</v>
      </c>
      <c r="L157" s="11">
        <f t="shared" si="134"/>
        <v>10000</v>
      </c>
      <c r="M157" s="11">
        <f>10000*7</f>
        <v>70000</v>
      </c>
      <c r="N157" s="11">
        <f t="shared" si="135"/>
        <v>10000</v>
      </c>
      <c r="O157" s="11">
        <f>10000*8</f>
        <v>80000</v>
      </c>
      <c r="P157" s="11">
        <f t="shared" si="136"/>
        <v>10000</v>
      </c>
      <c r="Q157" s="11">
        <f>10000*9</f>
        <v>90000</v>
      </c>
      <c r="R157" s="11">
        <f t="shared" si="137"/>
        <v>10000</v>
      </c>
      <c r="S157" s="11">
        <f>10000*10</f>
        <v>100000</v>
      </c>
      <c r="T157" s="11">
        <f t="shared" si="138"/>
        <v>10000</v>
      </c>
      <c r="U157" s="11">
        <f>10000*11</f>
        <v>110000</v>
      </c>
      <c r="V157" s="11">
        <f t="shared" si="139"/>
        <v>10000</v>
      </c>
      <c r="W157" s="83"/>
      <c r="X157" s="83"/>
      <c r="Y157" s="83"/>
      <c r="Z157" s="83"/>
      <c r="AD157" s="55"/>
      <c r="AE157" s="55"/>
      <c r="AF157" s="55"/>
    </row>
    <row r="158" spans="1:32" x14ac:dyDescent="0.3">
      <c r="A158" t="s">
        <v>99</v>
      </c>
      <c r="B158" s="11"/>
      <c r="C158" s="11"/>
      <c r="D158" s="11">
        <f t="shared" si="131"/>
        <v>0</v>
      </c>
      <c r="E158" s="11"/>
      <c r="F158" s="11">
        <f t="shared" si="132"/>
        <v>0</v>
      </c>
      <c r="G158" s="11"/>
      <c r="H158" s="11">
        <f t="shared" si="130"/>
        <v>0</v>
      </c>
      <c r="I158" s="11"/>
      <c r="J158" s="11">
        <f t="shared" si="133"/>
        <v>0</v>
      </c>
      <c r="K158" s="11"/>
      <c r="L158" s="11">
        <f t="shared" si="134"/>
        <v>0</v>
      </c>
      <c r="M158" s="11">
        <f>VLOOKUP(A158,'PL-TFA-Oct'!$B$9:$C$138,2,0)</f>
        <v>188000</v>
      </c>
      <c r="N158" s="11">
        <f t="shared" si="135"/>
        <v>188000</v>
      </c>
      <c r="O158" s="11">
        <f>VLOOKUP(A158,'TFA-Nov,25'!$B$10:$C$144,2,0)</f>
        <v>188000</v>
      </c>
      <c r="P158" s="11">
        <f t="shared" si="136"/>
        <v>0</v>
      </c>
      <c r="Q158" s="11">
        <f>VLOOKUP(A158,'TB-TFL-A-Dec,25'!$B$10:$C$147,2,0)</f>
        <v>188000</v>
      </c>
      <c r="R158" s="11">
        <f t="shared" si="137"/>
        <v>0</v>
      </c>
      <c r="S158" s="11">
        <f>VLOOKUP(A158,'TB-TFL-A-Jan,26'!$B$9:$C$151,2,0)</f>
        <v>188000</v>
      </c>
      <c r="T158" s="11">
        <f t="shared" si="138"/>
        <v>0</v>
      </c>
      <c r="U158" s="11">
        <f>VLOOKUP(A158,'TB-Feb,26-a'!$B$10:$C$153,2,0)</f>
        <v>188000</v>
      </c>
      <c r="V158" s="11">
        <f t="shared" si="139"/>
        <v>0</v>
      </c>
      <c r="W158" s="83"/>
      <c r="X158" s="83"/>
      <c r="Y158" s="83"/>
      <c r="Z158" s="83"/>
      <c r="AD158" s="55"/>
      <c r="AE158" s="55"/>
      <c r="AF158" s="55"/>
    </row>
    <row r="159" spans="1:32" x14ac:dyDescent="0.3">
      <c r="A159" s="10" t="s">
        <v>109</v>
      </c>
      <c r="B159" s="16">
        <f>VLOOKUP(A159,'TFL A-April,25'!$B$9:$C$95,2,0)</f>
        <v>26263.5</v>
      </c>
      <c r="C159" s="11">
        <f>VLOOKUP(A159,'May-A'!$B$10:$C$103,2,0)</f>
        <v>72288.34</v>
      </c>
      <c r="D159" s="11">
        <f t="shared" si="131"/>
        <v>46024.84</v>
      </c>
      <c r="E159" s="11">
        <f>VLOOKUP(A159,'June,25-A'!$B$10:$C$123,2,0)</f>
        <v>108224.17</v>
      </c>
      <c r="F159" s="11">
        <f t="shared" si="132"/>
        <v>35935.83</v>
      </c>
      <c r="G159" s="11">
        <f>VLOOKUP(A159,'July-A'!$B$10:$C$129,2,0)</f>
        <v>192771.49</v>
      </c>
      <c r="H159" s="11">
        <f t="shared" si="130"/>
        <v>84547.319999999992</v>
      </c>
      <c r="I159" s="11">
        <f>VLOOKUP(A159,'TB-A-Aug'!$B$10:$C$132,2,0)</f>
        <v>221540.57</v>
      </c>
      <c r="J159" s="11">
        <f t="shared" si="133"/>
        <v>28769.080000000016</v>
      </c>
      <c r="K159" s="11">
        <f>VLOOKUP(A159,'TFA-Sept,25'!$B$9:$C$136,2,0)</f>
        <v>236988.89</v>
      </c>
      <c r="L159" s="11">
        <f t="shared" si="134"/>
        <v>15448.320000000007</v>
      </c>
      <c r="M159" s="11">
        <f>VLOOKUP(A159,'PL-TFA-Oct'!$B$9:$C$138,2,0)</f>
        <v>256510.49</v>
      </c>
      <c r="N159" s="11">
        <f t="shared" si="135"/>
        <v>19521.599999999977</v>
      </c>
      <c r="O159" s="11">
        <f>VLOOKUP(A159,'TFA-Nov,25'!$B$10:$C$144,2,0)</f>
        <v>322695.65000000002</v>
      </c>
      <c r="P159" s="11">
        <f t="shared" si="136"/>
        <v>66185.160000000033</v>
      </c>
      <c r="Q159" s="11">
        <f>VLOOKUP(A159,'TB-TFL-A-Dec,25'!$B$10:$C$147,2,0)</f>
        <v>374746.27</v>
      </c>
      <c r="R159" s="11">
        <f t="shared" si="137"/>
        <v>52050.619999999995</v>
      </c>
      <c r="S159" s="11">
        <f>VLOOKUP(A159,'TB-TFL-A-Jan,26'!$B$9:$C$151,2,0)</f>
        <v>486035.33</v>
      </c>
      <c r="T159" s="11">
        <f t="shared" si="138"/>
        <v>111289.06</v>
      </c>
      <c r="U159" s="11">
        <f>VLOOKUP(A159,'TB-Feb,26-a'!$B$10:$C$153,2,0)</f>
        <v>724895.65</v>
      </c>
      <c r="V159" s="11">
        <f t="shared" si="139"/>
        <v>238860.32</v>
      </c>
      <c r="W159" s="83"/>
      <c r="X159" s="83"/>
      <c r="Y159" s="83"/>
      <c r="Z159" s="83"/>
      <c r="AD159" s="55"/>
      <c r="AE159" s="55"/>
      <c r="AF159" s="55"/>
    </row>
    <row r="160" spans="1:32" x14ac:dyDescent="0.3">
      <c r="A160" s="10" t="s">
        <v>106</v>
      </c>
      <c r="B160" s="11"/>
      <c r="C160" s="11"/>
      <c r="D160" s="11">
        <f t="shared" si="131"/>
        <v>0</v>
      </c>
      <c r="E160" s="11"/>
      <c r="F160" s="11">
        <f t="shared" si="132"/>
        <v>0</v>
      </c>
      <c r="G160" s="11">
        <f>VLOOKUP(A160,'July-A'!$B$10:$C$129,2,0)</f>
        <v>2000</v>
      </c>
      <c r="H160" s="11">
        <f t="shared" si="130"/>
        <v>2000</v>
      </c>
      <c r="I160" s="11">
        <f>VLOOKUP(A160,'TB-A-Aug'!$B$10:$C$132,2,0)</f>
        <v>8000</v>
      </c>
      <c r="J160" s="11">
        <f t="shared" si="133"/>
        <v>6000</v>
      </c>
      <c r="K160" s="11">
        <f>VLOOKUP(A160,'TFA-Sept,25'!$B$9:$C$136,2,0)</f>
        <v>8000</v>
      </c>
      <c r="L160" s="11">
        <f t="shared" si="134"/>
        <v>0</v>
      </c>
      <c r="M160" s="11">
        <f>VLOOKUP(A160,'PL-TFA-Oct'!$B$9:$C$138,2,0)</f>
        <v>10000</v>
      </c>
      <c r="N160" s="11">
        <f t="shared" si="135"/>
        <v>2000</v>
      </c>
      <c r="O160" s="11">
        <f>VLOOKUP(A160,'TFA-Nov,25'!$B$10:$C$144,2,0)</f>
        <v>12000</v>
      </c>
      <c r="P160" s="11">
        <f t="shared" si="136"/>
        <v>2000</v>
      </c>
      <c r="Q160" s="11">
        <f>VLOOKUP(A160,'TB-TFL-A-Dec,25'!$B$10:$C$147,2,0)</f>
        <v>16000</v>
      </c>
      <c r="R160" s="11">
        <f t="shared" si="137"/>
        <v>4000</v>
      </c>
      <c r="S160" s="11">
        <f>VLOOKUP(A160,'TB-TFL-A-Jan,26'!$B$9:$C$151,2,0)</f>
        <v>16000</v>
      </c>
      <c r="T160" s="11">
        <f t="shared" si="138"/>
        <v>0</v>
      </c>
      <c r="U160" s="11">
        <f>VLOOKUP(A160,'TB-Feb,26-a'!$B$10:$C$153,2,0)</f>
        <v>16000</v>
      </c>
      <c r="V160" s="11">
        <f t="shared" si="139"/>
        <v>0</v>
      </c>
      <c r="W160" s="83"/>
      <c r="X160" s="83"/>
      <c r="Y160" s="83"/>
      <c r="Z160" s="83"/>
      <c r="AD160" s="55"/>
      <c r="AE160" s="55"/>
      <c r="AF160" s="55"/>
    </row>
    <row r="161" spans="1:32" x14ac:dyDescent="0.3">
      <c r="A161" s="10" t="s">
        <v>58</v>
      </c>
      <c r="B161" s="11">
        <f>VLOOKUP(A161,'TFL A-April,25'!$B$9:$C$95,2,0)</f>
        <v>2650</v>
      </c>
      <c r="C161" s="11">
        <f>VLOOKUP(A161,'May-A'!$B$10:$C$103,2,0)</f>
        <v>4930</v>
      </c>
      <c r="D161" s="11">
        <f t="shared" si="131"/>
        <v>2280</v>
      </c>
      <c r="E161" s="11">
        <f>VLOOKUP(A161,'June,25-A'!$B$10:$C$123,2,0)</f>
        <v>4930</v>
      </c>
      <c r="F161" s="11">
        <f t="shared" si="132"/>
        <v>0</v>
      </c>
      <c r="G161" s="11">
        <f>VLOOKUP(A161,'July-A'!$B$10:$C$129,2,0)</f>
        <v>4930</v>
      </c>
      <c r="H161" s="11">
        <f t="shared" si="130"/>
        <v>0</v>
      </c>
      <c r="I161" s="11">
        <f>VLOOKUP(A161,'TB-A-Aug'!$B$10:$C$132,2,0)</f>
        <v>4930</v>
      </c>
      <c r="J161" s="11">
        <f t="shared" si="133"/>
        <v>0</v>
      </c>
      <c r="K161" s="11">
        <f>VLOOKUP(A161,'TFA-Sept,25'!$B$9:$C$136,2,0)</f>
        <v>4930</v>
      </c>
      <c r="L161" s="11">
        <f t="shared" si="134"/>
        <v>0</v>
      </c>
      <c r="M161" s="11">
        <f>VLOOKUP(A161,'PL-TFA-Oct'!$B$9:$C$138,2,0)</f>
        <v>4930</v>
      </c>
      <c r="N161" s="11">
        <f t="shared" si="135"/>
        <v>0</v>
      </c>
      <c r="O161" s="11">
        <f>VLOOKUP(A161,'TFA-Nov,25'!$B$10:$C$144,2,0)</f>
        <v>4930</v>
      </c>
      <c r="P161" s="11">
        <f t="shared" si="136"/>
        <v>0</v>
      </c>
      <c r="Q161" s="11">
        <f>VLOOKUP(A161,'TB-TFL-A-Dec,25'!$B$10:$C$147,2,0)</f>
        <v>4930</v>
      </c>
      <c r="R161" s="11">
        <f t="shared" si="137"/>
        <v>0</v>
      </c>
      <c r="S161" s="11">
        <f>VLOOKUP(A161,'TB-TFL-A-Jan,26'!$B$9:$C$151,2,0)</f>
        <v>4930</v>
      </c>
      <c r="T161" s="11">
        <f t="shared" si="138"/>
        <v>0</v>
      </c>
      <c r="U161" s="11">
        <f>VLOOKUP(A161,'TB-Feb,26-a'!$B$10:$C$153,2,0)</f>
        <v>9698</v>
      </c>
      <c r="V161" s="11">
        <f t="shared" si="139"/>
        <v>4768</v>
      </c>
      <c r="W161" s="83"/>
      <c r="X161" s="83"/>
      <c r="Y161" s="83"/>
      <c r="Z161" s="83"/>
      <c r="AD161" s="55"/>
      <c r="AE161" s="55"/>
      <c r="AF161" s="55"/>
    </row>
    <row r="162" spans="1:32" x14ac:dyDescent="0.3">
      <c r="A162" s="10" t="s">
        <v>104</v>
      </c>
      <c r="B162" s="11"/>
      <c r="C162" s="11"/>
      <c r="D162" s="11">
        <f t="shared" si="131"/>
        <v>0</v>
      </c>
      <c r="E162" s="11"/>
      <c r="F162" s="11">
        <f t="shared" si="132"/>
        <v>0</v>
      </c>
      <c r="G162" s="11"/>
      <c r="H162" s="11">
        <f t="shared" si="130"/>
        <v>0</v>
      </c>
      <c r="I162" s="11"/>
      <c r="J162" s="11">
        <f t="shared" si="133"/>
        <v>0</v>
      </c>
      <c r="K162" s="11"/>
      <c r="L162" s="11">
        <f t="shared" si="134"/>
        <v>0</v>
      </c>
      <c r="M162" s="11"/>
      <c r="N162" s="11">
        <f t="shared" si="135"/>
        <v>0</v>
      </c>
      <c r="O162" s="11"/>
      <c r="P162" s="11">
        <f t="shared" si="136"/>
        <v>0</v>
      </c>
      <c r="Q162" s="11"/>
      <c r="R162" s="11">
        <f t="shared" si="137"/>
        <v>0</v>
      </c>
      <c r="S162" s="11">
        <f>VLOOKUP(A162,'TB-TFL-A-Jan,26'!$B$9:$C$151,2,0)</f>
        <v>134791.57999999999</v>
      </c>
      <c r="T162" s="11">
        <f t="shared" si="138"/>
        <v>134791.57999999999</v>
      </c>
      <c r="U162" s="11">
        <f>VLOOKUP(A162,'TB-Feb,26-a'!$B$10:$C$153,2,0)</f>
        <v>134791.57999999999</v>
      </c>
      <c r="V162" s="11">
        <f t="shared" si="139"/>
        <v>0</v>
      </c>
      <c r="W162" s="83"/>
      <c r="X162" s="83"/>
      <c r="Y162" s="83"/>
      <c r="Z162" s="83"/>
      <c r="AD162" s="55"/>
      <c r="AE162" s="55"/>
      <c r="AF162" s="55"/>
    </row>
    <row r="163" spans="1:32" hidden="1" x14ac:dyDescent="0.3">
      <c r="A163" s="10" t="s">
        <v>111</v>
      </c>
      <c r="B163" s="11"/>
      <c r="C163" s="11"/>
      <c r="D163" s="11">
        <f t="shared" si="131"/>
        <v>0</v>
      </c>
      <c r="E163" s="11"/>
      <c r="F163" s="11">
        <f t="shared" si="132"/>
        <v>0</v>
      </c>
      <c r="G163" s="11"/>
      <c r="H163" s="11">
        <f t="shared" si="130"/>
        <v>0</v>
      </c>
      <c r="I163" s="11"/>
      <c r="J163" s="11">
        <f t="shared" si="133"/>
        <v>0</v>
      </c>
      <c r="K163" s="11"/>
      <c r="L163" s="11">
        <f t="shared" si="134"/>
        <v>0</v>
      </c>
      <c r="M163" s="11"/>
      <c r="N163" s="11">
        <f t="shared" si="135"/>
        <v>0</v>
      </c>
      <c r="O163" s="11"/>
      <c r="P163" s="11">
        <f t="shared" si="136"/>
        <v>0</v>
      </c>
      <c r="Q163" s="11"/>
      <c r="R163" s="11">
        <f t="shared" si="137"/>
        <v>0</v>
      </c>
      <c r="S163" s="11"/>
      <c r="T163" s="11">
        <f t="shared" si="138"/>
        <v>0</v>
      </c>
      <c r="U163" s="11"/>
      <c r="V163" s="11">
        <f t="shared" si="139"/>
        <v>0</v>
      </c>
      <c r="W163" s="83"/>
      <c r="X163" s="83"/>
      <c r="Y163" s="83"/>
      <c r="Z163" s="83"/>
      <c r="AD163" s="55"/>
      <c r="AE163" s="55"/>
      <c r="AF163" s="55"/>
    </row>
    <row r="164" spans="1:32" hidden="1" x14ac:dyDescent="0.3">
      <c r="A164" s="10" t="s">
        <v>123</v>
      </c>
      <c r="B164" s="11"/>
      <c r="C164" s="11"/>
      <c r="D164" s="11">
        <f t="shared" si="131"/>
        <v>0</v>
      </c>
      <c r="E164" s="11"/>
      <c r="F164" s="11">
        <f t="shared" si="132"/>
        <v>0</v>
      </c>
      <c r="G164" s="11"/>
      <c r="H164" s="11">
        <f t="shared" si="130"/>
        <v>0</v>
      </c>
      <c r="I164" s="11"/>
      <c r="J164" s="11">
        <f t="shared" si="133"/>
        <v>0</v>
      </c>
      <c r="K164" s="11"/>
      <c r="L164" s="11">
        <f t="shared" si="134"/>
        <v>0</v>
      </c>
      <c r="M164" s="11"/>
      <c r="N164" s="11">
        <f t="shared" si="135"/>
        <v>0</v>
      </c>
      <c r="O164" s="11"/>
      <c r="P164" s="11">
        <f t="shared" si="136"/>
        <v>0</v>
      </c>
      <c r="Q164" s="11"/>
      <c r="R164" s="11">
        <f t="shared" si="137"/>
        <v>0</v>
      </c>
      <c r="S164" s="11"/>
      <c r="T164" s="11">
        <f t="shared" si="138"/>
        <v>0</v>
      </c>
      <c r="U164" s="11"/>
      <c r="V164" s="11">
        <f t="shared" si="139"/>
        <v>0</v>
      </c>
      <c r="W164" s="83"/>
      <c r="X164" s="83"/>
      <c r="Y164" s="83"/>
      <c r="Z164" s="83"/>
      <c r="AD164" s="55"/>
      <c r="AE164" s="55"/>
      <c r="AF164" s="55"/>
    </row>
    <row r="165" spans="1:32" x14ac:dyDescent="0.3">
      <c r="A165" s="10" t="s">
        <v>115</v>
      </c>
      <c r="B165" s="11">
        <v>1450000</v>
      </c>
      <c r="C165" s="11">
        <f>1450000*2</f>
        <v>2900000</v>
      </c>
      <c r="D165" s="11">
        <f t="shared" si="131"/>
        <v>1450000</v>
      </c>
      <c r="E165" s="11">
        <f>1450000*3</f>
        <v>4350000</v>
      </c>
      <c r="F165" s="11">
        <f t="shared" si="132"/>
        <v>1450000</v>
      </c>
      <c r="G165" s="11">
        <f>1450000*4</f>
        <v>5800000</v>
      </c>
      <c r="H165" s="11">
        <f t="shared" si="130"/>
        <v>1450000</v>
      </c>
      <c r="I165" s="11">
        <f>1450000*5</f>
        <v>7250000</v>
      </c>
      <c r="J165" s="11">
        <f t="shared" si="133"/>
        <v>1450000</v>
      </c>
      <c r="K165" s="11">
        <f>1450000*6</f>
        <v>8700000</v>
      </c>
      <c r="L165" s="11">
        <f t="shared" si="134"/>
        <v>1450000</v>
      </c>
      <c r="M165" s="11">
        <f>1450000*7</f>
        <v>10150000</v>
      </c>
      <c r="N165" s="11">
        <f t="shared" si="135"/>
        <v>1450000</v>
      </c>
      <c r="O165" s="11">
        <f>1450000*8</f>
        <v>11600000</v>
      </c>
      <c r="P165" s="11">
        <f t="shared" si="136"/>
        <v>1450000</v>
      </c>
      <c r="Q165" s="11">
        <f>1450000*9</f>
        <v>13050000</v>
      </c>
      <c r="R165" s="11">
        <f t="shared" si="137"/>
        <v>1450000</v>
      </c>
      <c r="S165" s="11">
        <f>1450000*10</f>
        <v>14500000</v>
      </c>
      <c r="T165" s="11">
        <f t="shared" si="138"/>
        <v>1450000</v>
      </c>
      <c r="U165" s="11">
        <f>1450000*11</f>
        <v>15950000</v>
      </c>
      <c r="V165" s="11">
        <f t="shared" si="139"/>
        <v>1450000</v>
      </c>
      <c r="W165" s="83"/>
      <c r="X165" s="83"/>
      <c r="Y165" s="83"/>
      <c r="Z165" s="83"/>
      <c r="AD165" s="55"/>
      <c r="AE165" s="55"/>
      <c r="AF165" s="55"/>
    </row>
    <row r="166" spans="1:32" hidden="1" x14ac:dyDescent="0.3">
      <c r="A166" s="10" t="s">
        <v>108</v>
      </c>
      <c r="B166" s="11"/>
      <c r="C166" s="11"/>
      <c r="D166" s="11">
        <f t="shared" si="131"/>
        <v>0</v>
      </c>
      <c r="E166" s="11"/>
      <c r="F166" s="11">
        <f t="shared" si="132"/>
        <v>0</v>
      </c>
      <c r="G166" s="11"/>
      <c r="H166" s="11">
        <f t="shared" si="130"/>
        <v>0</v>
      </c>
      <c r="I166" s="11"/>
      <c r="J166" s="11">
        <f t="shared" si="133"/>
        <v>0</v>
      </c>
      <c r="K166" s="11"/>
      <c r="L166" s="11">
        <f t="shared" si="134"/>
        <v>0</v>
      </c>
      <c r="M166" s="11"/>
      <c r="N166" s="11">
        <f t="shared" si="135"/>
        <v>0</v>
      </c>
      <c r="O166" s="11"/>
      <c r="P166" s="11">
        <f t="shared" si="136"/>
        <v>0</v>
      </c>
      <c r="Q166" s="11"/>
      <c r="R166" s="11">
        <f t="shared" si="137"/>
        <v>0</v>
      </c>
      <c r="S166" s="11"/>
      <c r="T166" s="11">
        <f t="shared" si="138"/>
        <v>0</v>
      </c>
      <c r="U166" s="11"/>
      <c r="V166" s="11">
        <f t="shared" si="139"/>
        <v>0</v>
      </c>
      <c r="W166" s="83"/>
      <c r="X166" s="83"/>
      <c r="Y166" s="83"/>
      <c r="Z166" s="83"/>
      <c r="AD166" s="55"/>
      <c r="AE166" s="55"/>
      <c r="AF166" s="55"/>
    </row>
    <row r="167" spans="1:32" hidden="1" x14ac:dyDescent="0.3">
      <c r="A167" s="10" t="s">
        <v>233</v>
      </c>
      <c r="B167" s="11"/>
      <c r="C167" s="11"/>
      <c r="D167" s="11">
        <f t="shared" si="131"/>
        <v>0</v>
      </c>
      <c r="E167" s="11"/>
      <c r="F167" s="11">
        <f t="shared" si="132"/>
        <v>0</v>
      </c>
      <c r="G167" s="11"/>
      <c r="H167" s="11">
        <f t="shared" si="130"/>
        <v>0</v>
      </c>
      <c r="I167" s="11"/>
      <c r="J167" s="11">
        <f t="shared" si="133"/>
        <v>0</v>
      </c>
      <c r="K167" s="11"/>
      <c r="L167" s="11">
        <f t="shared" si="134"/>
        <v>0</v>
      </c>
      <c r="M167" s="11"/>
      <c r="N167" s="11">
        <f t="shared" si="135"/>
        <v>0</v>
      </c>
      <c r="O167" s="11"/>
      <c r="P167" s="11">
        <f t="shared" si="136"/>
        <v>0</v>
      </c>
      <c r="Q167" s="11"/>
      <c r="R167" s="11">
        <f t="shared" si="137"/>
        <v>0</v>
      </c>
      <c r="S167" s="11"/>
      <c r="T167" s="11">
        <f t="shared" si="138"/>
        <v>0</v>
      </c>
      <c r="U167" s="11"/>
      <c r="V167" s="11">
        <f t="shared" si="139"/>
        <v>0</v>
      </c>
      <c r="W167" s="83"/>
      <c r="X167" s="83"/>
      <c r="Y167" s="83"/>
      <c r="Z167" s="83"/>
      <c r="AD167" s="55"/>
      <c r="AE167" s="55"/>
      <c r="AF167" s="55"/>
    </row>
    <row r="168" spans="1:32" x14ac:dyDescent="0.3">
      <c r="A168" s="10" t="s">
        <v>234</v>
      </c>
      <c r="B168" s="16">
        <f>VLOOKUP(A168,'TFL A-April,25'!$B$9:$C$95,2,0)</f>
        <v>297660</v>
      </c>
      <c r="C168" s="11">
        <f>VLOOKUP(A168,'May-A'!$B$10:$C$103,2,0)</f>
        <v>299666</v>
      </c>
      <c r="D168" s="11">
        <f t="shared" si="131"/>
        <v>2006</v>
      </c>
      <c r="E168" s="11">
        <f>VLOOKUP(A168,'June,25-A'!$B$10:$C$123,2,0)-Prepaid!F11</f>
        <v>410603.5</v>
      </c>
      <c r="F168" s="11">
        <f t="shared" si="132"/>
        <v>110937.5</v>
      </c>
      <c r="G168" s="11">
        <f>VLOOKUP(A168,'July-A'!$B$10:$C$129,2,0)-Prepaid!G11</f>
        <v>487467.33333333331</v>
      </c>
      <c r="H168" s="11">
        <f t="shared" si="130"/>
        <v>76863.833333333314</v>
      </c>
      <c r="I168" s="11">
        <f>VLOOKUP(A168,'TB-A-Aug'!$B$10:$C$132,2,0)-Prepaid!H11</f>
        <v>513620.16666666663</v>
      </c>
      <c r="J168" s="11">
        <f t="shared" si="133"/>
        <v>26152.833333333314</v>
      </c>
      <c r="K168" s="11">
        <f>VLOOKUP(A168,'TFA-Sept,25'!$B$9:$C$136,2,0)-Prepaid!I11</f>
        <v>523336</v>
      </c>
      <c r="L168" s="11">
        <f t="shared" si="134"/>
        <v>9715.8333333333721</v>
      </c>
      <c r="M168" s="11">
        <f>VLOOKUP(A168,'PL-TFA-Oct'!$B$9:$C$138,2,0)-Prepaid!J11</f>
        <v>538709.83333333337</v>
      </c>
      <c r="N168" s="11">
        <f t="shared" si="135"/>
        <v>15373.833333333372</v>
      </c>
      <c r="O168" s="11">
        <f>VLOOKUP(A168,'TFA-Nov,25'!$B$10:$C$144,2,0)-Prepaid!K11</f>
        <v>548425.66666666663</v>
      </c>
      <c r="P168" s="11">
        <f t="shared" si="136"/>
        <v>9715.8333333332557</v>
      </c>
      <c r="Q168" s="11">
        <f>VLOOKUP(A168,'TB-TFL-A-Dec,25'!$B$10:$C$147,2,0)-Prepaid!L11</f>
        <v>558141.5</v>
      </c>
      <c r="R168" s="11">
        <f t="shared" si="137"/>
        <v>9715.8333333333721</v>
      </c>
      <c r="S168" s="11">
        <f>VLOOKUP(A168,'TB-TFL-A-Jan,26'!$B$9:$C$151,2,0)-Prepaid!M11</f>
        <v>571496.33333333337</v>
      </c>
      <c r="T168" s="11">
        <f t="shared" si="138"/>
        <v>13354.833333333372</v>
      </c>
      <c r="U168" s="11">
        <f>VLOOKUP(A168,'TB-Feb,26-a'!$B$10:$C$153,2,0)-Prepaid!N11</f>
        <v>634304.16666666663</v>
      </c>
      <c r="V168" s="11">
        <f t="shared" si="139"/>
        <v>62807.833333333256</v>
      </c>
      <c r="W168" s="83"/>
      <c r="X168" s="83"/>
      <c r="Y168" s="83"/>
      <c r="Z168" s="83"/>
      <c r="AD168" s="55"/>
      <c r="AE168" s="55"/>
      <c r="AF168" s="55"/>
    </row>
    <row r="169" spans="1:32" x14ac:dyDescent="0.3">
      <c r="A169" s="10" t="s">
        <v>365</v>
      </c>
      <c r="B169" s="11"/>
      <c r="C169" s="11"/>
      <c r="D169" s="11"/>
      <c r="E169" s="11"/>
      <c r="F169" s="11"/>
      <c r="G169" s="11"/>
      <c r="H169" s="11"/>
      <c r="I169" s="11">
        <f>VLOOKUP(A169,'TB-A-Aug'!$B$10:$C$132,2,0)</f>
        <v>2317078</v>
      </c>
      <c r="J169" s="11">
        <f>+I169-G169</f>
        <v>2317078</v>
      </c>
      <c r="K169" s="11">
        <f>VLOOKUP(A169,'TFA-Sept,25'!$B$9:$C$136,2,0)</f>
        <v>2317078</v>
      </c>
      <c r="L169" s="11">
        <f>+K169-I169</f>
        <v>0</v>
      </c>
      <c r="M169" s="11">
        <f>VLOOKUP(A169,'PL-TFA-Oct'!$B$9:$C$138,2,0)</f>
        <v>2317078</v>
      </c>
      <c r="N169" s="11">
        <f>+M169-K169</f>
        <v>0</v>
      </c>
      <c r="O169" s="11">
        <f>VLOOKUP(A169,'TFA-Nov,25'!$B$10:$C$144,2,0)</f>
        <v>2317078</v>
      </c>
      <c r="P169" s="11">
        <f>+O169-M169</f>
        <v>0</v>
      </c>
      <c r="Q169" s="11">
        <f>VLOOKUP(A169,'TB-TFL-A-Dec,25'!$B$10:$C$147,2,0)</f>
        <v>2317078</v>
      </c>
      <c r="R169" s="11">
        <f>+Q169-O169</f>
        <v>0</v>
      </c>
      <c r="S169" s="11">
        <f>VLOOKUP(A169,'TB-TFL-A-Jan,26'!$B$9:$C$151,2,0)</f>
        <v>2317078</v>
      </c>
      <c r="T169" s="11">
        <f>+S169-Q169</f>
        <v>0</v>
      </c>
      <c r="U169" s="11">
        <f>VLOOKUP(A169,'TB-Feb,26-a'!$B$10:$C$153,2,0)</f>
        <v>2317078</v>
      </c>
      <c r="V169" s="11">
        <f>+U169-S169</f>
        <v>0</v>
      </c>
      <c r="W169" s="83"/>
      <c r="X169" s="83"/>
      <c r="Y169" s="83"/>
      <c r="Z169" s="83"/>
    </row>
    <row r="170" spans="1:32" x14ac:dyDescent="0.3">
      <c r="A170" s="10" t="s">
        <v>101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>
        <f>VLOOKUP(A170,'TB-TFL-A-Jan,26'!$B$9:$C$151,2,0)</f>
        <v>10259.34</v>
      </c>
      <c r="T170" s="11">
        <f>+S170-Q170</f>
        <v>10259.34</v>
      </c>
      <c r="U170" s="11">
        <f>VLOOKUP(A170,'TB-Feb,26-a'!$B$10:$C$153,2,0)</f>
        <v>15457.34</v>
      </c>
      <c r="V170" s="11">
        <f>+U170-S170</f>
        <v>5198</v>
      </c>
      <c r="W170" s="83"/>
      <c r="X170" s="83"/>
      <c r="Y170" s="83"/>
      <c r="Z170" s="83"/>
    </row>
    <row r="171" spans="1:32" x14ac:dyDescent="0.3">
      <c r="A171" s="92" t="s">
        <v>68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>
        <f>VLOOKUP(A171,'TB-TFL-A-Dec,25'!$B$10:$C$147,2,0)</f>
        <v>35000</v>
      </c>
      <c r="R171" s="11">
        <f>+Q171-O171</f>
        <v>35000</v>
      </c>
      <c r="S171" s="11">
        <f>VLOOKUP(A171,'TB-TFL-A-Jan,26'!$B$9:$C$151,2,0)</f>
        <v>65000</v>
      </c>
      <c r="T171" s="11">
        <f>+S171-Q171</f>
        <v>30000</v>
      </c>
      <c r="U171" s="11">
        <f>VLOOKUP(A171,'TB-Feb,26-a'!$B$10:$C$153,2,0)</f>
        <v>65000</v>
      </c>
      <c r="V171" s="11">
        <f>+U171-S171</f>
        <v>0</v>
      </c>
      <c r="W171" s="83"/>
      <c r="X171" s="83"/>
      <c r="Y171" s="83"/>
      <c r="Z171" s="83"/>
    </row>
    <row r="172" spans="1:32" x14ac:dyDescent="0.3">
      <c r="A172" s="10" t="s">
        <v>235</v>
      </c>
      <c r="B172" s="11"/>
      <c r="C172" s="11"/>
      <c r="D172" s="11">
        <f t="shared" si="131"/>
        <v>0</v>
      </c>
      <c r="E172" s="11">
        <f>VLOOKUP(A172,'June,25-A'!$B$10:$C$123,2,0)</f>
        <v>25731</v>
      </c>
      <c r="F172" s="11">
        <f t="shared" si="132"/>
        <v>25731</v>
      </c>
      <c r="G172" s="11">
        <f>VLOOKUP(A172,'July-A'!$B$10:$C$129,2,0)</f>
        <v>57725</v>
      </c>
      <c r="H172" s="11">
        <f t="shared" si="130"/>
        <v>31994</v>
      </c>
      <c r="I172" s="11">
        <f>VLOOKUP(A172,'TB-A-Aug'!$B$10:$C$132,2,0)</f>
        <v>57725</v>
      </c>
      <c r="J172" s="11">
        <f t="shared" si="133"/>
        <v>0</v>
      </c>
      <c r="K172" s="11">
        <f>VLOOKUP(A172,'TFA-Sept,25'!$B$9:$C$136,2,0)</f>
        <v>57725</v>
      </c>
      <c r="L172" s="11">
        <f t="shared" ref="L172:L175" si="140">+K172-I172</f>
        <v>0</v>
      </c>
      <c r="M172" s="11">
        <f>VLOOKUP(A172,'PL-TFA-Oct'!$B$9:$C$138,2,0)</f>
        <v>57725</v>
      </c>
      <c r="N172" s="11">
        <f t="shared" ref="N172:N175" si="141">+M172-K172</f>
        <v>0</v>
      </c>
      <c r="O172" s="11">
        <f>VLOOKUP(A172,'TFA-Nov,25'!$B$10:$C$144,2,0)</f>
        <v>57725</v>
      </c>
      <c r="P172" s="11">
        <f t="shared" ref="P172:P175" si="142">+O172-M172</f>
        <v>0</v>
      </c>
      <c r="Q172" s="11">
        <f>VLOOKUP(A172,'TB-TFL-A-Dec,25'!$B$10:$C$147,2,0)</f>
        <v>57725</v>
      </c>
      <c r="R172" s="11">
        <f t="shared" ref="R172:R175" si="143">+Q172-O172</f>
        <v>0</v>
      </c>
      <c r="S172" s="11">
        <f>VLOOKUP(A172,'TB-TFL-A-Jan,26'!$B$9:$C$151,2,0)</f>
        <v>57725</v>
      </c>
      <c r="T172" s="11">
        <f t="shared" ref="T172:T175" si="144">+S172-Q172</f>
        <v>0</v>
      </c>
      <c r="U172" s="11">
        <f>VLOOKUP(A172,'TB-Feb,26-a'!$B$10:$C$153,2,0)</f>
        <v>57725</v>
      </c>
      <c r="V172" s="11">
        <f t="shared" ref="V172:V175" si="145">+U172-S172</f>
        <v>0</v>
      </c>
      <c r="W172" s="83"/>
      <c r="X172" s="83"/>
      <c r="Y172" s="83"/>
      <c r="Z172" s="83"/>
      <c r="AD172" s="55"/>
      <c r="AE172" s="55"/>
      <c r="AF172" s="55"/>
    </row>
    <row r="173" spans="1:32" x14ac:dyDescent="0.3">
      <c r="A173" s="10" t="s">
        <v>112</v>
      </c>
      <c r="B173" s="16">
        <f>VLOOKUP(A173,'TFL A-April,25'!$B$9:$C$95,2,0)</f>
        <v>181979.24</v>
      </c>
      <c r="C173" s="11">
        <f>VLOOKUP(A173,'May-A'!$B$10:$C$103,2,0)</f>
        <v>307114.27</v>
      </c>
      <c r="D173" s="11">
        <f t="shared" si="131"/>
        <v>125135.03000000003</v>
      </c>
      <c r="E173" s="11">
        <f>VLOOKUP(A173,'June,25-A'!$B$10:$C$123,2,0)</f>
        <v>353706.71</v>
      </c>
      <c r="F173" s="11">
        <f t="shared" si="132"/>
        <v>46592.44</v>
      </c>
      <c r="G173" s="11">
        <f>VLOOKUP(A173,'July-A'!$B$10:$C$129,2,0)</f>
        <v>717626.67</v>
      </c>
      <c r="H173" s="11">
        <f t="shared" si="130"/>
        <v>363919.96</v>
      </c>
      <c r="I173" s="11">
        <f>VLOOKUP(A173,'TB-A-Aug'!$B$10:$C$132,2,0)</f>
        <v>872560.36</v>
      </c>
      <c r="J173" s="11">
        <f t="shared" si="133"/>
        <v>154933.68999999994</v>
      </c>
      <c r="K173" s="11">
        <f>VLOOKUP(A173,'TFA-Sept,25'!$B$9:$C$136,2,0)</f>
        <v>1195018.75</v>
      </c>
      <c r="L173" s="11">
        <f t="shared" si="140"/>
        <v>322458.39</v>
      </c>
      <c r="M173" s="11">
        <f>VLOOKUP(A173,'PL-TFA-Oct'!$B$9:$C$138,2,0)</f>
        <v>1421763.15</v>
      </c>
      <c r="N173" s="11">
        <f t="shared" si="141"/>
        <v>226744.39999999991</v>
      </c>
      <c r="O173" s="11">
        <f>VLOOKUP(A173,'TFA-Nov,25'!$B$10:$C$144,2,0)</f>
        <v>1510730.66</v>
      </c>
      <c r="P173" s="11">
        <f t="shared" si="142"/>
        <v>88967.510000000009</v>
      </c>
      <c r="Q173" s="11">
        <f>VLOOKUP(A173,'TB-TFL-A-Dec,25'!$B$10:$C$147,2,0)</f>
        <v>1693502.77</v>
      </c>
      <c r="R173" s="11">
        <f t="shared" si="143"/>
        <v>182772.1100000001</v>
      </c>
      <c r="S173" s="11">
        <f>VLOOKUP(A173,'TB-TFL-A-Jan,26'!$B$9:$C$151,2,0)</f>
        <v>1875870.41</v>
      </c>
      <c r="T173" s="11">
        <f t="shared" si="144"/>
        <v>182367.6399999999</v>
      </c>
      <c r="U173" s="11">
        <f>VLOOKUP(A173,'TB-Feb,26-a'!$B$10:$C$153,2,0)</f>
        <v>2052887.22</v>
      </c>
      <c r="V173" s="11">
        <f t="shared" si="145"/>
        <v>177016.81000000006</v>
      </c>
      <c r="W173" s="83"/>
      <c r="X173" s="83"/>
      <c r="Y173" s="83"/>
      <c r="Z173" s="83"/>
      <c r="AD173" s="55"/>
      <c r="AE173" s="55"/>
      <c r="AF173" s="55"/>
    </row>
    <row r="174" spans="1:32" x14ac:dyDescent="0.3">
      <c r="A174" s="10" t="s">
        <v>236</v>
      </c>
      <c r="B174" s="16">
        <v>1640110</v>
      </c>
      <c r="C174" s="11">
        <v>3520548</v>
      </c>
      <c r="D174" s="11">
        <f t="shared" si="131"/>
        <v>1880438</v>
      </c>
      <c r="E174" s="11">
        <v>5415942</v>
      </c>
      <c r="F174" s="11">
        <f t="shared" si="132"/>
        <v>1895394</v>
      </c>
      <c r="G174" s="11">
        <v>7497699</v>
      </c>
      <c r="H174" s="11">
        <f t="shared" si="130"/>
        <v>2081757</v>
      </c>
      <c r="I174" s="11">
        <v>9626082</v>
      </c>
      <c r="J174" s="11">
        <f t="shared" si="133"/>
        <v>2128383</v>
      </c>
      <c r="K174" s="11">
        <v>11685808</v>
      </c>
      <c r="L174" s="11">
        <f t="shared" si="140"/>
        <v>2059726</v>
      </c>
      <c r="M174" s="11">
        <v>13814192</v>
      </c>
      <c r="N174" s="11">
        <f t="shared" si="141"/>
        <v>2128384</v>
      </c>
      <c r="O174" s="11">
        <v>15872822</v>
      </c>
      <c r="P174" s="11">
        <f t="shared" si="142"/>
        <v>2058630</v>
      </c>
      <c r="Q174" s="11">
        <v>17967233</v>
      </c>
      <c r="R174" s="11">
        <f t="shared" si="143"/>
        <v>2094411</v>
      </c>
      <c r="S174" s="11">
        <v>20061644</v>
      </c>
      <c r="T174" s="11">
        <f t="shared" si="144"/>
        <v>2094411</v>
      </c>
      <c r="U174" s="11">
        <v>21953370</v>
      </c>
      <c r="V174" s="11">
        <f t="shared" si="145"/>
        <v>1891726</v>
      </c>
      <c r="W174" s="83"/>
      <c r="X174" s="83"/>
      <c r="Y174" s="83"/>
      <c r="Z174" s="83"/>
      <c r="AD174" s="55"/>
      <c r="AE174" s="55"/>
      <c r="AF174" s="55"/>
    </row>
    <row r="175" spans="1:32" x14ac:dyDescent="0.3">
      <c r="A175" s="10" t="s">
        <v>114</v>
      </c>
      <c r="B175" s="11"/>
      <c r="C175" s="11"/>
      <c r="D175" s="11">
        <f t="shared" si="131"/>
        <v>0</v>
      </c>
      <c r="E175" s="11">
        <f>VLOOKUP(A175,'June,25-A'!$B$10:$C$123,2,0)</f>
        <v>1540</v>
      </c>
      <c r="F175" s="11">
        <f t="shared" si="132"/>
        <v>1540</v>
      </c>
      <c r="G175" s="11">
        <f>VLOOKUP(A175,'July-A'!$B$10:$C$129,2,0)</f>
        <v>1577</v>
      </c>
      <c r="H175" s="11">
        <f t="shared" ref="H175" si="146">+G175-E175</f>
        <v>37</v>
      </c>
      <c r="I175" s="11">
        <f>VLOOKUP(A175,'TB-A-Aug'!$B$10:$C$132,2,0)</f>
        <v>1577</v>
      </c>
      <c r="J175" s="11">
        <f t="shared" si="133"/>
        <v>0</v>
      </c>
      <c r="K175" s="11">
        <f>VLOOKUP(A175,'TFA-Sept,25'!$B$9:$C$136,2,0)</f>
        <v>1577</v>
      </c>
      <c r="L175" s="11">
        <f t="shared" si="140"/>
        <v>0</v>
      </c>
      <c r="M175" s="11">
        <f>VLOOKUP(A175,'PL-TFA-Oct'!$B$9:$C$138,2,0)</f>
        <v>1577</v>
      </c>
      <c r="N175" s="11">
        <f t="shared" si="141"/>
        <v>0</v>
      </c>
      <c r="O175" s="11">
        <f>VLOOKUP(A175,'TFA-Nov,25'!$B$10:$C$144,2,0)</f>
        <v>1577</v>
      </c>
      <c r="P175" s="11">
        <f t="shared" si="142"/>
        <v>0</v>
      </c>
      <c r="Q175" s="11">
        <f>VLOOKUP(A175,'TB-TFL-A-Dec,25'!$B$10:$C$147,2,0)</f>
        <v>1577</v>
      </c>
      <c r="R175" s="11">
        <f t="shared" si="143"/>
        <v>0</v>
      </c>
      <c r="S175" s="11">
        <f>VLOOKUP(A175,'TB-TFL-A-Jan,26'!$B$9:$C$151,2,0)</f>
        <v>1583</v>
      </c>
      <c r="T175" s="11">
        <f t="shared" si="144"/>
        <v>6</v>
      </c>
      <c r="U175" s="11">
        <f>VLOOKUP(A175,'TB-Feb,26-a'!$B$10:$C$153,2,0)</f>
        <v>1583</v>
      </c>
      <c r="V175" s="11">
        <f t="shared" si="145"/>
        <v>0</v>
      </c>
      <c r="W175" s="83"/>
      <c r="X175" s="83"/>
      <c r="Y175" s="83"/>
      <c r="Z175" s="83"/>
      <c r="AD175" s="55"/>
      <c r="AE175" s="55"/>
      <c r="AF175" s="55"/>
    </row>
    <row r="176" spans="1:32" x14ac:dyDescent="0.3">
      <c r="A176" s="13" t="s">
        <v>116</v>
      </c>
      <c r="B176" s="14">
        <f t="shared" ref="B176:L176" si="147">SUM(B75:B175)</f>
        <v>22277441.879999999</v>
      </c>
      <c r="C176" s="14">
        <f t="shared" si="147"/>
        <v>46776738.019999996</v>
      </c>
      <c r="D176" s="14">
        <f t="shared" si="147"/>
        <v>24499296.140000001</v>
      </c>
      <c r="E176" s="14">
        <f t="shared" si="147"/>
        <v>71304276.439999998</v>
      </c>
      <c r="F176" s="14">
        <f t="shared" si="147"/>
        <v>24527538.420000002</v>
      </c>
      <c r="G176" s="14">
        <f t="shared" si="147"/>
        <v>97260008.98666665</v>
      </c>
      <c r="H176" s="14">
        <f t="shared" si="147"/>
        <v>25955732.546666667</v>
      </c>
      <c r="I176" s="14">
        <f t="shared" si="147"/>
        <v>123930271.74333334</v>
      </c>
      <c r="J176" s="14">
        <f t="shared" si="147"/>
        <v>26670262.756666664</v>
      </c>
      <c r="K176" s="14">
        <f t="shared" si="147"/>
        <v>151915427.13</v>
      </c>
      <c r="L176" s="14">
        <f t="shared" si="147"/>
        <v>27985155.386666667</v>
      </c>
      <c r="M176" s="14">
        <f t="shared" ref="M176:N176" si="148">SUM(M75:M175)</f>
        <v>178033003.46666673</v>
      </c>
      <c r="N176" s="14">
        <f t="shared" si="148"/>
        <v>26117576.336666662</v>
      </c>
      <c r="O176" s="14">
        <f t="shared" ref="O176:P176" si="149">SUM(O75:O175)</f>
        <v>203592100.76333335</v>
      </c>
      <c r="P176" s="14">
        <f t="shared" si="149"/>
        <v>25559097.296666671</v>
      </c>
      <c r="Q176" s="14">
        <f t="shared" ref="Q176:R176" si="150">SUM(Q75:Q175)</f>
        <v>231058584.16000003</v>
      </c>
      <c r="R176" s="14">
        <f t="shared" si="150"/>
        <v>27466483.396666668</v>
      </c>
      <c r="S176" s="14">
        <f t="shared" ref="S176:T176" si="151">SUM(S75:S175)</f>
        <v>257717723.54666674</v>
      </c>
      <c r="T176" s="14">
        <f t="shared" si="151"/>
        <v>26659139.386666656</v>
      </c>
      <c r="U176" s="14">
        <f t="shared" ref="U176:V176" si="152">SUM(U75:U175)</f>
        <v>285237474.19333333</v>
      </c>
      <c r="V176" s="14">
        <f t="shared" si="152"/>
        <v>27519750.646666665</v>
      </c>
      <c r="W176" s="84"/>
      <c r="X176" s="84"/>
      <c r="Y176" s="84"/>
      <c r="Z176" s="84"/>
      <c r="AA176" s="12"/>
      <c r="AB176" s="12"/>
      <c r="AD176" s="55"/>
      <c r="AF176" s="55"/>
    </row>
    <row r="177" spans="1:31" x14ac:dyDescent="0.3">
      <c r="A177" s="8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84"/>
      <c r="X177" s="84"/>
      <c r="Y177" s="84"/>
      <c r="Z177" s="84"/>
    </row>
    <row r="178" spans="1:31" x14ac:dyDescent="0.3">
      <c r="A178" s="13" t="s">
        <v>117</v>
      </c>
      <c r="B178" s="14">
        <f t="shared" ref="B178:L178" si="153">+B176+B71</f>
        <v>63349952.51000002</v>
      </c>
      <c r="C178" s="14">
        <f t="shared" si="153"/>
        <v>144069734.26999998</v>
      </c>
      <c r="D178" s="14">
        <f t="shared" si="153"/>
        <v>80719781.75999999</v>
      </c>
      <c r="E178" s="14">
        <f t="shared" si="153"/>
        <v>225850423.72000009</v>
      </c>
      <c r="F178" s="14">
        <f t="shared" si="153"/>
        <v>81780689.449999988</v>
      </c>
      <c r="G178" s="14">
        <f t="shared" si="153"/>
        <v>321690494.12666672</v>
      </c>
      <c r="H178" s="14">
        <f t="shared" si="153"/>
        <v>95840070.406666681</v>
      </c>
      <c r="I178" s="14">
        <f t="shared" si="153"/>
        <v>411852046.40933335</v>
      </c>
      <c r="J178" s="14">
        <f t="shared" si="153"/>
        <v>90161552.282666624</v>
      </c>
      <c r="K178" s="14">
        <f t="shared" si="153"/>
        <v>506091047.64999998</v>
      </c>
      <c r="L178" s="14">
        <f t="shared" si="153"/>
        <v>94239001.240666687</v>
      </c>
      <c r="M178" s="14">
        <f t="shared" ref="M178:N178" si="154">+M176+M71</f>
        <v>589887458.82666671</v>
      </c>
      <c r="N178" s="14">
        <f t="shared" si="154"/>
        <v>83796411.176666647</v>
      </c>
      <c r="O178" s="14">
        <f t="shared" ref="O178:P178" si="155">+O176+O71</f>
        <v>716941565.40333354</v>
      </c>
      <c r="P178" s="14">
        <f t="shared" si="155"/>
        <v>127054106.5766667</v>
      </c>
      <c r="Q178" s="14">
        <f t="shared" ref="Q178:R178" si="156">+Q176+Q71</f>
        <v>885473373.82999992</v>
      </c>
      <c r="R178" s="14">
        <f t="shared" si="156"/>
        <v>168531808.42666665</v>
      </c>
      <c r="S178" s="14">
        <f t="shared" ref="S178:T178" si="157">+S176+S71</f>
        <v>982447209.64281869</v>
      </c>
      <c r="T178" s="14">
        <f t="shared" si="157"/>
        <v>96973835.812818706</v>
      </c>
      <c r="U178" s="14">
        <f t="shared" ref="U178:V178" si="158">+U176+U71</f>
        <v>1097495411.9533331</v>
      </c>
      <c r="V178" s="14">
        <f t="shared" si="158"/>
        <v>115048202.31051458</v>
      </c>
      <c r="W178" s="84"/>
      <c r="X178" s="84"/>
      <c r="Y178" s="84"/>
      <c r="Z178" s="84"/>
      <c r="AA178" s="12"/>
      <c r="AB178" s="12"/>
    </row>
    <row r="179" spans="1:31" x14ac:dyDescent="0.3">
      <c r="A179" s="8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84"/>
      <c r="X179" s="84"/>
      <c r="Y179" s="84"/>
      <c r="Z179" s="84"/>
    </row>
    <row r="180" spans="1:31" x14ac:dyDescent="0.3">
      <c r="A180" s="8" t="s">
        <v>118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83"/>
      <c r="X180" s="83"/>
      <c r="Y180" s="83"/>
      <c r="Z180" s="83"/>
    </row>
    <row r="181" spans="1:31" x14ac:dyDescent="0.3">
      <c r="A181" s="10" t="s">
        <v>120</v>
      </c>
      <c r="B181" s="11">
        <f>VLOOKUP(A181,'TFL A-April,25'!$B$9:$C$95,2,0)</f>
        <v>8.1300000000000008</v>
      </c>
      <c r="C181" s="11">
        <f>VLOOKUP(A181,'May-A'!$B$10:$C$103,2,0)</f>
        <v>-81694.2</v>
      </c>
      <c r="D181" s="11">
        <f t="shared" ref="D181" si="159">+C181-B181</f>
        <v>-81702.33</v>
      </c>
      <c r="E181" s="11">
        <f>VLOOKUP(A181,'June,25-A'!$B$10:$C$123,2,0)</f>
        <v>-56797.37</v>
      </c>
      <c r="F181" s="11">
        <f t="shared" ref="F181:F184" si="160">+E181-C181</f>
        <v>24896.829999999994</v>
      </c>
      <c r="G181" s="11">
        <f>VLOOKUP(A181,'July-A'!$B$10:$C$129,2,0)</f>
        <v>168256.52</v>
      </c>
      <c r="H181" s="11">
        <f t="shared" ref="H181:H187" si="161">+G181-E181</f>
        <v>225053.88999999998</v>
      </c>
      <c r="I181" s="11">
        <f>VLOOKUP(A181,'TB-A-Aug'!$B$10:$C$132,2,0)</f>
        <v>423262.5</v>
      </c>
      <c r="J181" s="11">
        <f t="shared" ref="J181:J187" si="162">+I181-G181</f>
        <v>255005.98</v>
      </c>
      <c r="K181" s="11">
        <f>VLOOKUP(A181,'TFA-Sept,25'!$B$9:$C$136,2,0)</f>
        <v>754028.88</v>
      </c>
      <c r="L181" s="11">
        <f t="shared" ref="L181:L187" si="163">+K181-I181</f>
        <v>330766.38</v>
      </c>
      <c r="M181" s="11">
        <f>VLOOKUP(A181,'PL-TFA-Oct'!$B$9:$C$138,2,0)</f>
        <v>823238.6</v>
      </c>
      <c r="N181" s="11">
        <f t="shared" ref="N181:N187" si="164">+M181-K181</f>
        <v>69209.719999999972</v>
      </c>
      <c r="O181" s="11">
        <f>VLOOKUP(A181,'TFA-Nov,25'!$B$10:$C$144,2,0)</f>
        <v>875604.08</v>
      </c>
      <c r="P181" s="11">
        <f t="shared" ref="P181:P187" si="165">+O181-M181</f>
        <v>52365.479999999981</v>
      </c>
      <c r="Q181" s="11">
        <f>VLOOKUP(A181,'TB-TFL-A-Dec,25'!$B$10:$C$147,2,0)</f>
        <v>1410169.94</v>
      </c>
      <c r="R181" s="11">
        <f t="shared" ref="R181:R187" si="166">+Q181-O181</f>
        <v>534565.86</v>
      </c>
      <c r="S181" s="11">
        <f>VLOOKUP(A181,'TB-TFL-A-Jan,26'!$B$9:$C$151,2,0)</f>
        <v>3093101.84</v>
      </c>
      <c r="T181" s="11">
        <f t="shared" ref="T181:T187" si="167">+S181-Q181</f>
        <v>1682931.9</v>
      </c>
      <c r="U181" s="11">
        <f>VLOOKUP(A181,'TB-Feb,26-a'!$B$10:$C$153,2,0)</f>
        <v>5403135.8799999999</v>
      </c>
      <c r="V181" s="11">
        <f t="shared" ref="V181:V187" si="168">+U181-S181</f>
        <v>2310034.04</v>
      </c>
      <c r="W181" s="83"/>
      <c r="X181" s="83"/>
      <c r="Y181" s="83"/>
      <c r="Z181" s="83"/>
    </row>
    <row r="182" spans="1:31" x14ac:dyDescent="0.3">
      <c r="A182" s="20" t="s">
        <v>119</v>
      </c>
      <c r="B182" s="11"/>
      <c r="C182" s="11"/>
      <c r="D182" s="11"/>
      <c r="E182" s="11"/>
      <c r="F182" s="11">
        <f t="shared" si="160"/>
        <v>0</v>
      </c>
      <c r="G182" s="11">
        <f>VLOOKUP(A182,'July-A'!$B$10:$C$129,2,0)</f>
        <v>640</v>
      </c>
      <c r="H182" s="11">
        <f t="shared" si="161"/>
        <v>640</v>
      </c>
      <c r="I182" s="11">
        <f>VLOOKUP(A182,'TB-A-Aug'!$B$10:$C$132,2,0)</f>
        <v>640</v>
      </c>
      <c r="J182" s="11">
        <f t="shared" si="162"/>
        <v>0</v>
      </c>
      <c r="K182" s="11">
        <f>VLOOKUP(A182,'TFA-Sept,25'!$B$9:$C$136,2,0)</f>
        <v>640</v>
      </c>
      <c r="L182" s="11">
        <f t="shared" si="163"/>
        <v>0</v>
      </c>
      <c r="M182" s="11">
        <f>VLOOKUP(A182,'PL-TFA-Oct'!$B$9:$C$138,2,0)</f>
        <v>640</v>
      </c>
      <c r="N182" s="11">
        <f t="shared" si="164"/>
        <v>0</v>
      </c>
      <c r="O182" s="11">
        <f>VLOOKUP(A182,'TFA-Nov,25'!$B$10:$C$144,2,0)</f>
        <v>640</v>
      </c>
      <c r="P182" s="11">
        <f t="shared" si="165"/>
        <v>0</v>
      </c>
      <c r="Q182" s="11">
        <f>VLOOKUP(A182,'TB-TFL-A-Dec,25'!$B$10:$C$147,2,0)</f>
        <v>640</v>
      </c>
      <c r="R182" s="11">
        <f t="shared" si="166"/>
        <v>0</v>
      </c>
      <c r="S182" s="11">
        <f>VLOOKUP(A182,'TB-TFL-A-Jan,26'!$B$9:$C$151,2,0)</f>
        <v>640</v>
      </c>
      <c r="T182" s="11">
        <f t="shared" si="167"/>
        <v>0</v>
      </c>
      <c r="U182" s="11">
        <f>VLOOKUP(A182,'TB-Feb,26-a'!$B$10:$C$153,2,0)</f>
        <v>640</v>
      </c>
      <c r="V182" s="11">
        <f t="shared" si="168"/>
        <v>0</v>
      </c>
      <c r="W182" s="83"/>
      <c r="X182" s="83"/>
      <c r="Y182" s="83"/>
      <c r="Z182" s="83"/>
    </row>
    <row r="183" spans="1:31" hidden="1" x14ac:dyDescent="0.3">
      <c r="A183" s="20" t="s">
        <v>237</v>
      </c>
      <c r="B183" s="11"/>
      <c r="C183" s="11"/>
      <c r="D183" s="11"/>
      <c r="E183" s="11"/>
      <c r="F183" s="11">
        <f t="shared" si="160"/>
        <v>0</v>
      </c>
      <c r="G183" s="11"/>
      <c r="H183" s="11">
        <f t="shared" si="161"/>
        <v>0</v>
      </c>
      <c r="I183" s="11"/>
      <c r="J183" s="11">
        <f t="shared" si="162"/>
        <v>0</v>
      </c>
      <c r="K183" s="11"/>
      <c r="L183" s="11">
        <f t="shared" si="163"/>
        <v>0</v>
      </c>
      <c r="M183" s="11"/>
      <c r="N183" s="11">
        <f t="shared" si="164"/>
        <v>0</v>
      </c>
      <c r="O183" s="11"/>
      <c r="P183" s="11">
        <f t="shared" si="165"/>
        <v>0</v>
      </c>
      <c r="Q183" s="11"/>
      <c r="R183" s="11">
        <f t="shared" si="166"/>
        <v>0</v>
      </c>
      <c r="S183" s="11"/>
      <c r="T183" s="11">
        <f t="shared" si="167"/>
        <v>0</v>
      </c>
      <c r="U183" s="11"/>
      <c r="V183" s="11">
        <f t="shared" si="168"/>
        <v>0</v>
      </c>
      <c r="W183" s="83"/>
      <c r="X183" s="83"/>
      <c r="Y183" s="83"/>
      <c r="Z183" s="83"/>
    </row>
    <row r="184" spans="1:31" x14ac:dyDescent="0.3">
      <c r="A184" t="s">
        <v>124</v>
      </c>
      <c r="B184" s="11">
        <f>VLOOKUP(A184,'TFL A-April,25'!$B$9:$C$95,2,0)</f>
        <v>1280</v>
      </c>
      <c r="C184" s="11">
        <f>VLOOKUP(A184,'May-A'!$B$10:$C$103,2,0)</f>
        <v>1280</v>
      </c>
      <c r="D184" s="11">
        <f t="shared" ref="D184:D185" si="169">+C184-B184</f>
        <v>0</v>
      </c>
      <c r="E184" s="11">
        <f>VLOOKUP(A184,'June,25-A'!$B$10:$C$123,2,0)</f>
        <v>1280</v>
      </c>
      <c r="F184" s="11">
        <f t="shared" si="160"/>
        <v>0</v>
      </c>
      <c r="G184" s="11">
        <f>VLOOKUP(A184,'July-A'!$B$10:$C$129,2,0)</f>
        <v>1280</v>
      </c>
      <c r="H184" s="11">
        <f t="shared" si="161"/>
        <v>0</v>
      </c>
      <c r="I184" s="11">
        <f>VLOOKUP(A184,'TB-A-Aug'!$B$10:$C$132,2,0)</f>
        <v>1280</v>
      </c>
      <c r="J184" s="11">
        <f t="shared" si="162"/>
        <v>0</v>
      </c>
      <c r="K184" s="11">
        <f>VLOOKUP(A184,'TFA-Sept,25'!$B$9:$C$136,2,0)</f>
        <v>1280</v>
      </c>
      <c r="L184" s="11">
        <f t="shared" si="163"/>
        <v>0</v>
      </c>
      <c r="M184" s="11">
        <f>VLOOKUP(A184,'PL-TFA-Oct'!$B$9:$C$138,2,0)+'PL-TFA-Oct'!C21</f>
        <v>1283</v>
      </c>
      <c r="N184" s="11">
        <f t="shared" si="164"/>
        <v>3</v>
      </c>
      <c r="O184" s="11">
        <f>VLOOKUP(A184,'TFA-Nov,25'!$B$10:$C$144,2,0)+'TFA-Nov,25'!C23</f>
        <v>1283</v>
      </c>
      <c r="P184" s="11">
        <f t="shared" si="165"/>
        <v>0</v>
      </c>
      <c r="Q184" s="11">
        <f>VLOOKUP(A184,'TB-TFL-A-Dec,25'!$B$10:$C$147,2,0)</f>
        <v>1280</v>
      </c>
      <c r="R184" s="11">
        <f t="shared" si="166"/>
        <v>-3</v>
      </c>
      <c r="S184" s="11">
        <f>VLOOKUP(A184,'TB-TFL-A-Jan,26'!$B$9:$C$151,2,0)</f>
        <v>1280</v>
      </c>
      <c r="T184" s="11">
        <f t="shared" si="167"/>
        <v>0</v>
      </c>
      <c r="U184" s="11">
        <f>VLOOKUP(A184,'TB-Feb,26-a'!$B$10:$C$153,2,0)</f>
        <v>1577093.27</v>
      </c>
      <c r="V184" s="11">
        <f t="shared" si="168"/>
        <v>1575813.27</v>
      </c>
      <c r="W184" s="83"/>
      <c r="X184" s="83"/>
      <c r="Y184" s="83"/>
      <c r="Z184" s="83"/>
    </row>
    <row r="185" spans="1:31" x14ac:dyDescent="0.3">
      <c r="A185" s="10" t="s">
        <v>14</v>
      </c>
      <c r="B185" s="11"/>
      <c r="C185" s="11">
        <v>2955944</v>
      </c>
      <c r="D185" s="11">
        <f t="shared" si="169"/>
        <v>2955944</v>
      </c>
      <c r="E185" s="11">
        <f>-VLOOKUP(A185,'June,25-A'!$B$10:$C$123,2,0)</f>
        <v>2893828</v>
      </c>
      <c r="F185" s="11">
        <f t="shared" ref="F185" si="170">+E185-C185</f>
        <v>-62116</v>
      </c>
      <c r="G185" s="11">
        <f>-VLOOKUP(A185,'July-A'!$B$10:$C$129,2,0)+81644</f>
        <v>2964500</v>
      </c>
      <c r="H185" s="11">
        <f t="shared" si="161"/>
        <v>70672</v>
      </c>
      <c r="I185" s="11">
        <f>-VLOOKUP(A185,'TB-A-Aug'!$B$10:$C$132,2,0)+132287</f>
        <v>2964500</v>
      </c>
      <c r="J185" s="11">
        <f t="shared" si="162"/>
        <v>0</v>
      </c>
      <c r="K185" s="11">
        <f>-VLOOKUP(A185,'TFA-Sept,25'!$B$9:$C$136,2,0)+132287</f>
        <v>2964500</v>
      </c>
      <c r="L185" s="11">
        <f t="shared" si="163"/>
        <v>0</v>
      </c>
      <c r="M185" s="11">
        <f>-VLOOKUP(A185,'PL-TFA-Oct'!$B$9:$C$138,2,0)+132287</f>
        <v>2964500</v>
      </c>
      <c r="N185" s="11">
        <f t="shared" si="164"/>
        <v>0</v>
      </c>
      <c r="O185" s="11">
        <f>-VLOOKUP(A185,'TFA-Nov,25'!$B$10:$C$144,2,0)+61504</f>
        <v>2964500</v>
      </c>
      <c r="P185" s="11">
        <f t="shared" si="165"/>
        <v>0</v>
      </c>
      <c r="Q185" s="11">
        <f>+'TB-TFL-A-Dec,25'!C23</f>
        <v>2964503</v>
      </c>
      <c r="R185" s="11">
        <f t="shared" si="166"/>
        <v>3</v>
      </c>
      <c r="S185" s="11">
        <f>+'TB-TFL-A-Jan,26'!C24</f>
        <v>2964503</v>
      </c>
      <c r="T185" s="11">
        <f t="shared" si="167"/>
        <v>0</v>
      </c>
      <c r="U185" s="11">
        <f>+'TB-TFL-A-Jan,26'!E24</f>
        <v>2964503</v>
      </c>
      <c r="V185" s="11">
        <f t="shared" si="168"/>
        <v>0</v>
      </c>
      <c r="W185" s="83"/>
      <c r="X185" s="83"/>
      <c r="Y185" s="83"/>
      <c r="Z185" s="83"/>
    </row>
    <row r="186" spans="1:31" x14ac:dyDescent="0.3">
      <c r="A186" t="s">
        <v>415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>
        <f>VLOOKUP(A186,'TB-TFL-A-Dec,25'!$B$10:$C$147,2,0)</f>
        <v>3878</v>
      </c>
      <c r="R186" s="11">
        <f t="shared" si="166"/>
        <v>3878</v>
      </c>
      <c r="S186" s="11">
        <f>VLOOKUP(A186,'TB-TFL-A-Jan,26'!$B$9:$C$151,2,0)</f>
        <v>3878</v>
      </c>
      <c r="T186" s="11">
        <f t="shared" si="167"/>
        <v>0</v>
      </c>
      <c r="U186" s="11">
        <f>VLOOKUP(A186,'TB-Feb,26-a'!$B$10:$C$153,2,0)</f>
        <v>21091.98</v>
      </c>
      <c r="V186" s="11">
        <f t="shared" si="168"/>
        <v>17213.98</v>
      </c>
      <c r="W186" s="83"/>
      <c r="X186" s="83"/>
      <c r="Y186" s="83"/>
      <c r="Z186" s="83"/>
    </row>
    <row r="187" spans="1:31" x14ac:dyDescent="0.3">
      <c r="A187" s="10" t="s">
        <v>122</v>
      </c>
      <c r="B187" s="11"/>
      <c r="C187" s="11"/>
      <c r="D187" s="11"/>
      <c r="E187" s="11"/>
      <c r="F187" s="11"/>
      <c r="G187" s="11"/>
      <c r="H187" s="11">
        <f t="shared" si="161"/>
        <v>0</v>
      </c>
      <c r="I187" s="11"/>
      <c r="J187" s="11">
        <f t="shared" si="162"/>
        <v>0</v>
      </c>
      <c r="K187" s="11"/>
      <c r="L187" s="11">
        <f t="shared" si="163"/>
        <v>0</v>
      </c>
      <c r="M187" s="11"/>
      <c r="N187" s="11">
        <f t="shared" si="164"/>
        <v>0</v>
      </c>
      <c r="O187" s="11"/>
      <c r="P187" s="11">
        <f t="shared" si="165"/>
        <v>0</v>
      </c>
      <c r="Q187" s="11"/>
      <c r="R187" s="11">
        <f t="shared" si="166"/>
        <v>0</v>
      </c>
      <c r="S187" s="11"/>
      <c r="T187" s="11">
        <f t="shared" si="167"/>
        <v>0</v>
      </c>
      <c r="U187" s="11">
        <f>VLOOKUP(A187,'TB-Feb,26-a'!$B$10:$C$153,2,0)</f>
        <v>31329.49</v>
      </c>
      <c r="V187" s="11">
        <f t="shared" si="168"/>
        <v>31329.49</v>
      </c>
      <c r="W187" s="83"/>
      <c r="X187" s="83"/>
      <c r="Y187" s="83"/>
      <c r="Z187" s="83"/>
    </row>
    <row r="188" spans="1:31" x14ac:dyDescent="0.3">
      <c r="A188" s="13" t="s">
        <v>126</v>
      </c>
      <c r="B188" s="41">
        <f t="shared" ref="B188:J188" si="171">SUM(B181:B187)</f>
        <v>1288.1300000000001</v>
      </c>
      <c r="C188" s="41">
        <f t="shared" si="171"/>
        <v>2875529.8</v>
      </c>
      <c r="D188" s="41">
        <f t="shared" si="171"/>
        <v>2874241.67</v>
      </c>
      <c r="E188" s="41">
        <f t="shared" si="171"/>
        <v>2838310.63</v>
      </c>
      <c r="F188" s="41">
        <f t="shared" si="171"/>
        <v>-37219.170000000006</v>
      </c>
      <c r="G188" s="41">
        <f t="shared" si="171"/>
        <v>3134676.52</v>
      </c>
      <c r="H188" s="41">
        <f t="shared" si="171"/>
        <v>296365.89</v>
      </c>
      <c r="I188" s="41">
        <f t="shared" si="171"/>
        <v>3389682.5</v>
      </c>
      <c r="J188" s="41">
        <f t="shared" si="171"/>
        <v>255005.98</v>
      </c>
      <c r="K188" s="41">
        <f t="shared" ref="K188:L188" si="172">SUM(K181:K187)</f>
        <v>3720448.88</v>
      </c>
      <c r="L188" s="41">
        <f t="shared" si="172"/>
        <v>330766.38</v>
      </c>
      <c r="M188" s="41">
        <f t="shared" ref="M188:N188" si="173">SUM(M181:M187)</f>
        <v>3789661.6</v>
      </c>
      <c r="N188" s="41">
        <f t="shared" si="173"/>
        <v>69212.719999999972</v>
      </c>
      <c r="O188" s="41">
        <f t="shared" ref="O188:P188" si="174">SUM(O181:O187)</f>
        <v>3842027.08</v>
      </c>
      <c r="P188" s="41">
        <f t="shared" si="174"/>
        <v>52365.479999999981</v>
      </c>
      <c r="Q188" s="41">
        <f t="shared" ref="Q188:R188" si="175">SUM(Q181:Q187)</f>
        <v>4380470.9399999995</v>
      </c>
      <c r="R188" s="41">
        <f t="shared" si="175"/>
        <v>538443.86</v>
      </c>
      <c r="S188" s="41">
        <f t="shared" ref="S188:T188" si="176">SUM(S181:S187)</f>
        <v>6063402.8399999999</v>
      </c>
      <c r="T188" s="41">
        <f t="shared" si="176"/>
        <v>1682931.9</v>
      </c>
      <c r="U188" s="41">
        <f t="shared" ref="U188:V188" si="177">SUM(U181:U187)</f>
        <v>9997793.620000001</v>
      </c>
      <c r="V188" s="41">
        <f t="shared" si="177"/>
        <v>3934390.7800000003</v>
      </c>
      <c r="W188" s="100"/>
      <c r="X188" s="84"/>
      <c r="Y188" s="100"/>
      <c r="Z188" s="100"/>
      <c r="AA188" s="12"/>
      <c r="AB188" s="12"/>
    </row>
    <row r="189" spans="1:31" x14ac:dyDescent="0.3">
      <c r="A189" s="8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84"/>
      <c r="X189" s="84"/>
      <c r="Y189" s="84"/>
      <c r="Z189" s="84"/>
    </row>
    <row r="190" spans="1:31" s="15" customFormat="1" x14ac:dyDescent="0.3">
      <c r="A190" s="17" t="s">
        <v>127</v>
      </c>
      <c r="B190" s="42">
        <f t="shared" ref="B190:L190" si="178">+B46-B178+B188</f>
        <v>-13729101.930000016</v>
      </c>
      <c r="C190" s="42">
        <f t="shared" si="178"/>
        <v>-27322034.769999977</v>
      </c>
      <c r="D190" s="42">
        <f t="shared" si="178"/>
        <v>-13592932.839999991</v>
      </c>
      <c r="E190" s="42">
        <f t="shared" si="178"/>
        <v>-52495380.820000105</v>
      </c>
      <c r="F190" s="42">
        <f t="shared" si="178"/>
        <v>-25173346.049999997</v>
      </c>
      <c r="G190" s="42">
        <f t="shared" si="178"/>
        <v>-57625101.016666718</v>
      </c>
      <c r="H190" s="42">
        <f t="shared" si="178"/>
        <v>-5129720.1966666589</v>
      </c>
      <c r="I190" s="42">
        <f t="shared" si="178"/>
        <v>-84323198.499333322</v>
      </c>
      <c r="J190" s="42">
        <f t="shared" si="178"/>
        <v>-26698097.482666608</v>
      </c>
      <c r="K190" s="42">
        <f t="shared" si="178"/>
        <v>-101134313.84000003</v>
      </c>
      <c r="L190" s="42">
        <f t="shared" si="178"/>
        <v>-16811115.340666737</v>
      </c>
      <c r="M190" s="42">
        <f t="shared" ref="M190:N190" si="179">+M46-M178+M188</f>
        <v>-125732169.97666672</v>
      </c>
      <c r="N190" s="42">
        <f t="shared" si="179"/>
        <v>-24597856.136666611</v>
      </c>
      <c r="O190" s="42">
        <f t="shared" ref="O190:P190" si="180">+O46-O178+O188</f>
        <v>-118384612.2641335</v>
      </c>
      <c r="P190" s="42">
        <f t="shared" si="180"/>
        <v>7347557.7125332914</v>
      </c>
      <c r="Q190" s="42">
        <f t="shared" ref="Q190:R190" si="181">+Q46-Q178+Q188</f>
        <v>-114836719.63000005</v>
      </c>
      <c r="R190" s="42">
        <f t="shared" si="181"/>
        <v>3547892.6341333245</v>
      </c>
      <c r="S190" s="42">
        <f t="shared" ref="S190:T190" si="182">+S46-S178+S188</f>
        <v>-134797551.59281865</v>
      </c>
      <c r="T190" s="42">
        <f t="shared" si="182"/>
        <v>-19960831.96281863</v>
      </c>
      <c r="U190" s="42">
        <f t="shared" ref="U190:V190" si="183">+U46-U178+U188</f>
        <v>-155923210.73333311</v>
      </c>
      <c r="V190" s="42">
        <f t="shared" si="183"/>
        <v>-21125659.140514657</v>
      </c>
      <c r="W190" s="43">
        <v>-155261763.73333311</v>
      </c>
      <c r="X190" s="84"/>
      <c r="Y190" s="43"/>
      <c r="Z190" s="43"/>
      <c r="AA190" s="12"/>
      <c r="AB190" s="12"/>
    </row>
    <row r="191" spans="1:31" s="15" customFormat="1" hidden="1" x14ac:dyDescent="0.3">
      <c r="B191" s="43"/>
      <c r="C191" s="43"/>
      <c r="D191" s="43">
        <f>+C190-B190</f>
        <v>-13592932.839999961</v>
      </c>
      <c r="E191" s="43"/>
      <c r="F191" s="43">
        <f>+E190-C190</f>
        <v>-25173346.050000127</v>
      </c>
      <c r="G191" s="43">
        <f>+'July-A'!C132</f>
        <v>-190075904.79999992</v>
      </c>
      <c r="H191" s="43">
        <f>+G190-E190</f>
        <v>-5129720.1966666132</v>
      </c>
      <c r="I191" s="43"/>
      <c r="J191" s="43">
        <f>+I190-G190</f>
        <v>-26698097.482666604</v>
      </c>
      <c r="K191" s="43"/>
      <c r="L191" s="43">
        <f>+K190-I190</f>
        <v>-16811115.340666711</v>
      </c>
      <c r="M191" s="43">
        <f>+'PL-TFA-Oct'!C141</f>
        <v>-237468168.63000023</v>
      </c>
      <c r="N191" s="43">
        <f>+M190-K190</f>
        <v>-24597856.136666685</v>
      </c>
      <c r="O191" s="43">
        <v>-118254499.2833333</v>
      </c>
      <c r="P191" s="43"/>
      <c r="Q191" s="43">
        <v>-118254499.2833333</v>
      </c>
      <c r="R191" s="43"/>
      <c r="S191" s="43">
        <v>-118254499.2833333</v>
      </c>
      <c r="T191" s="43"/>
      <c r="U191" s="43">
        <v>-118254499.2833333</v>
      </c>
      <c r="V191" s="43"/>
      <c r="W191" s="43"/>
      <c r="X191" s="43"/>
      <c r="Y191" s="43"/>
      <c r="Z191" s="43"/>
      <c r="AB191" s="12"/>
      <c r="AC191" s="12"/>
      <c r="AD191" s="12"/>
      <c r="AE191" s="12"/>
    </row>
    <row r="192" spans="1:31" s="15" customFormat="1" hidden="1" x14ac:dyDescent="0.3">
      <c r="B192" s="43"/>
      <c r="C192" s="43"/>
      <c r="D192" s="43"/>
      <c r="E192" s="43"/>
      <c r="F192" s="43"/>
      <c r="G192" s="43">
        <f>+G190-G191</f>
        <v>132450803.78333321</v>
      </c>
      <c r="H192" s="43">
        <f>+H190-H191</f>
        <v>-4.5634806156158447E-8</v>
      </c>
      <c r="I192" s="43"/>
      <c r="J192" s="43">
        <f>+J190-J191</f>
        <v>0</v>
      </c>
      <c r="K192" s="43"/>
      <c r="L192" s="43">
        <f>+L190-L191</f>
        <v>0</v>
      </c>
      <c r="M192" s="43">
        <f>+M190-M191</f>
        <v>111735998.65333351</v>
      </c>
      <c r="N192" s="43">
        <f>+N190-N191</f>
        <v>7.4505805969238281E-8</v>
      </c>
      <c r="O192" s="43">
        <f>+O190-O191</f>
        <v>-130112.98080019653</v>
      </c>
      <c r="P192" s="43"/>
      <c r="Q192" s="43">
        <f>+Q190-Q191</f>
        <v>3417779.6533332467</v>
      </c>
      <c r="R192" s="43"/>
      <c r="S192" s="43">
        <f>+S190-S191</f>
        <v>-16543052.309485346</v>
      </c>
      <c r="T192" s="43"/>
      <c r="U192" s="43">
        <f>+U190-U191</f>
        <v>-37668711.449999809</v>
      </c>
      <c r="V192" s="43"/>
      <c r="W192" s="43"/>
      <c r="X192" s="43"/>
      <c r="Y192" s="43"/>
      <c r="Z192" s="43"/>
    </row>
    <row r="193" spans="1:26" s="15" customFormat="1" hidden="1" x14ac:dyDescent="0.3"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>
        <v>-124101030.97666672</v>
      </c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s="15" customFormat="1" hidden="1" x14ac:dyDescent="0.3"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>
        <f>+M190-M193</f>
        <v>-1631139</v>
      </c>
      <c r="N194" s="43"/>
      <c r="O194" s="43"/>
      <c r="P194" s="43"/>
      <c r="Q194" s="43"/>
      <c r="R194" s="43"/>
      <c r="S194" s="43"/>
      <c r="T194" s="43"/>
      <c r="U194" s="43"/>
      <c r="V194" s="43"/>
    </row>
    <row r="195" spans="1:26" s="15" customFormat="1" x14ac:dyDescent="0.3"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>
        <f>+U190-W190</f>
        <v>-661447</v>
      </c>
      <c r="X195" s="43"/>
      <c r="Y195" s="43"/>
      <c r="Z195" s="43"/>
    </row>
    <row r="196" spans="1:26" s="15" customFormat="1" hidden="1" x14ac:dyDescent="0.3">
      <c r="A196" s="20" t="s">
        <v>129</v>
      </c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5"/>
      <c r="X196" s="45"/>
      <c r="Y196" s="45"/>
      <c r="Z196" s="45"/>
    </row>
    <row r="197" spans="1:26" s="15" customFormat="1" hidden="1" x14ac:dyDescent="0.3">
      <c r="A197" s="20" t="s">
        <v>130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5"/>
      <c r="X197" s="45"/>
      <c r="Y197" s="45"/>
      <c r="Z197" s="45"/>
    </row>
    <row r="198" spans="1:26" s="15" customFormat="1" hidden="1" x14ac:dyDescent="0.3">
      <c r="A198" s="20" t="s">
        <v>131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5"/>
      <c r="X198" s="45"/>
      <c r="Y198" s="45"/>
      <c r="Z198" s="45"/>
    </row>
    <row r="199" spans="1:26" s="15" customFormat="1" hidden="1" x14ac:dyDescent="0.3">
      <c r="A199" s="20" t="s">
        <v>132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5"/>
      <c r="X199" s="45"/>
      <c r="Y199" s="45"/>
      <c r="Z199" s="45"/>
    </row>
    <row r="200" spans="1:26" s="15" customFormat="1" hidden="1" x14ac:dyDescent="0.3">
      <c r="A200" s="46" t="s">
        <v>136</v>
      </c>
      <c r="B200" s="47">
        <f t="shared" ref="B200:D200" si="184">+SUM(B196:B199)</f>
        <v>0</v>
      </c>
      <c r="C200" s="47">
        <f t="shared" si="184"/>
        <v>0</v>
      </c>
      <c r="D200" s="47">
        <f t="shared" si="184"/>
        <v>0</v>
      </c>
      <c r="E200" s="47">
        <f t="shared" ref="E200:F200" si="185">+SUM(E196:E199)</f>
        <v>0</v>
      </c>
      <c r="F200" s="47">
        <f t="shared" si="185"/>
        <v>0</v>
      </c>
      <c r="G200" s="47">
        <f t="shared" ref="G200:H200" si="186">+SUM(G196:G199)</f>
        <v>0</v>
      </c>
      <c r="H200" s="47">
        <f t="shared" si="186"/>
        <v>0</v>
      </c>
      <c r="I200" s="47">
        <f t="shared" ref="I200:J200" si="187">+SUM(I196:I199)</f>
        <v>0</v>
      </c>
      <c r="J200" s="47">
        <f t="shared" si="187"/>
        <v>0</v>
      </c>
      <c r="K200" s="47">
        <f t="shared" ref="K200:L200" si="188">+SUM(K196:K199)</f>
        <v>0</v>
      </c>
      <c r="L200" s="47">
        <f t="shared" si="188"/>
        <v>0</v>
      </c>
      <c r="M200" s="47">
        <f t="shared" ref="M200:N200" si="189">+SUM(M196:M199)</f>
        <v>0</v>
      </c>
      <c r="N200" s="47">
        <f t="shared" si="189"/>
        <v>0</v>
      </c>
      <c r="O200" s="47">
        <f t="shared" ref="O200:P200" si="190">+SUM(O196:O199)</f>
        <v>0</v>
      </c>
      <c r="P200" s="47">
        <f t="shared" si="190"/>
        <v>0</v>
      </c>
      <c r="Q200" s="47">
        <f t="shared" ref="Q200:R200" si="191">+SUM(Q196:Q199)</f>
        <v>0</v>
      </c>
      <c r="R200" s="47">
        <f t="shared" si="191"/>
        <v>0</v>
      </c>
      <c r="S200" s="47">
        <f t="shared" ref="S200:T200" si="192">+SUM(S196:S199)</f>
        <v>0</v>
      </c>
      <c r="T200" s="47">
        <f t="shared" si="192"/>
        <v>0</v>
      </c>
      <c r="U200" s="47">
        <f t="shared" ref="U200:V200" si="193">+SUM(U196:U199)</f>
        <v>0</v>
      </c>
      <c r="V200" s="47">
        <f t="shared" si="193"/>
        <v>0</v>
      </c>
      <c r="W200" s="43"/>
      <c r="X200" s="43"/>
      <c r="Y200" s="43"/>
      <c r="Z200" s="43"/>
    </row>
    <row r="201" spans="1:26" s="15" customFormat="1" x14ac:dyDescent="0.3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s="15" customFormat="1" x14ac:dyDescent="0.3">
      <c r="A202" s="48" t="s">
        <v>238</v>
      </c>
      <c r="B202" s="49">
        <f t="shared" ref="B202:D202" si="194">+B190-B200</f>
        <v>-13729101.930000016</v>
      </c>
      <c r="C202" s="49">
        <f t="shared" si="194"/>
        <v>-27322034.769999977</v>
      </c>
      <c r="D202" s="49">
        <f t="shared" si="194"/>
        <v>-13592932.839999991</v>
      </c>
      <c r="E202" s="49">
        <f t="shared" ref="E202:F202" si="195">+E190-E200</f>
        <v>-52495380.820000105</v>
      </c>
      <c r="F202" s="49">
        <f t="shared" si="195"/>
        <v>-25173346.049999997</v>
      </c>
      <c r="G202" s="49">
        <f t="shared" ref="G202:H202" si="196">+G190-G200</f>
        <v>-57625101.016666718</v>
      </c>
      <c r="H202" s="49">
        <f t="shared" si="196"/>
        <v>-5129720.1966666589</v>
      </c>
      <c r="I202" s="49">
        <f t="shared" ref="I202:J202" si="197">+I190-I200</f>
        <v>-84323198.499333322</v>
      </c>
      <c r="J202" s="49">
        <f t="shared" si="197"/>
        <v>-26698097.482666608</v>
      </c>
      <c r="K202" s="49">
        <f t="shared" ref="K202:L202" si="198">+K190-K200</f>
        <v>-101134313.84000003</v>
      </c>
      <c r="L202" s="49">
        <f t="shared" si="198"/>
        <v>-16811115.340666737</v>
      </c>
      <c r="M202" s="49">
        <f t="shared" ref="M202:N202" si="199">+M190-M200</f>
        <v>-125732169.97666672</v>
      </c>
      <c r="N202" s="49">
        <f t="shared" si="199"/>
        <v>-24597856.136666611</v>
      </c>
      <c r="O202" s="49">
        <f t="shared" ref="O202:P202" si="200">+O190-O200</f>
        <v>-118384612.2641335</v>
      </c>
      <c r="P202" s="49">
        <f t="shared" si="200"/>
        <v>7347557.7125332914</v>
      </c>
      <c r="Q202" s="49">
        <f t="shared" ref="Q202:R202" si="201">+Q190-Q200</f>
        <v>-114836719.63000005</v>
      </c>
      <c r="R202" s="49">
        <f t="shared" si="201"/>
        <v>3547892.6341333245</v>
      </c>
      <c r="S202" s="49">
        <f t="shared" ref="S202:T202" si="202">+S190-S200</f>
        <v>-134797551.59281865</v>
      </c>
      <c r="T202" s="49">
        <f t="shared" si="202"/>
        <v>-19960831.96281863</v>
      </c>
      <c r="U202" s="49">
        <f t="shared" ref="U202:V202" si="203">+U190-U200</f>
        <v>-155923210.73333311</v>
      </c>
      <c r="V202" s="49">
        <f t="shared" si="203"/>
        <v>-21125659.140514657</v>
      </c>
      <c r="W202" s="43"/>
      <c r="X202" s="43"/>
      <c r="Y202" s="43"/>
      <c r="Z202" s="43"/>
    </row>
    <row r="203" spans="1:26" s="15" customFormat="1" x14ac:dyDescent="0.3"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x14ac:dyDescent="0.3">
      <c r="A204" s="48" t="s">
        <v>138</v>
      </c>
      <c r="B204" s="51">
        <f t="shared" ref="B204:J204" si="204">+B202+B175+B174+B173+B165</f>
        <v>-10457012.690000016</v>
      </c>
      <c r="C204" s="51">
        <f t="shared" si="204"/>
        <v>-20594372.499999978</v>
      </c>
      <c r="D204" s="51">
        <f t="shared" si="204"/>
        <v>-10137359.809999991</v>
      </c>
      <c r="E204" s="51">
        <f t="shared" si="204"/>
        <v>-42374192.110000104</v>
      </c>
      <c r="F204" s="51">
        <f t="shared" si="204"/>
        <v>-21779819.609999996</v>
      </c>
      <c r="G204" s="51">
        <f t="shared" si="204"/>
        <v>-43608198.346666716</v>
      </c>
      <c r="H204" s="51">
        <f t="shared" si="204"/>
        <v>-1234006.2366666589</v>
      </c>
      <c r="I204" s="51">
        <f t="shared" si="204"/>
        <v>-66572979.139333323</v>
      </c>
      <c r="J204" s="51">
        <f t="shared" si="204"/>
        <v>-22964780.792666607</v>
      </c>
      <c r="K204" s="51">
        <f t="shared" ref="K204:L204" si="205">+K202+K175+K174+K173+K165</f>
        <v>-79551910.090000033</v>
      </c>
      <c r="L204" s="51">
        <f t="shared" si="205"/>
        <v>-12978930.950666737</v>
      </c>
      <c r="M204" s="51">
        <f t="shared" ref="M204:N204" si="206">+M202+M175+M174+M173+M165</f>
        <v>-100344637.82666671</v>
      </c>
      <c r="N204" s="51">
        <f t="shared" si="206"/>
        <v>-20792727.736666612</v>
      </c>
      <c r="O204" s="51">
        <f t="shared" ref="O204:P204" si="207">+O202+O175+O174+O173+O165</f>
        <v>-89399482.604133502</v>
      </c>
      <c r="P204" s="51">
        <f t="shared" si="207"/>
        <v>10945155.222533291</v>
      </c>
      <c r="Q204" s="51">
        <f t="shared" ref="Q204:R204" si="208">+Q202+Q175+Q174+Q173+Q165</f>
        <v>-82124406.860000059</v>
      </c>
      <c r="R204" s="51">
        <f t="shared" si="208"/>
        <v>7275075.7441333244</v>
      </c>
      <c r="S204" s="51">
        <f t="shared" ref="S204:T204" si="209">+S202+S175+S174+S173+S165</f>
        <v>-98358454.182818651</v>
      </c>
      <c r="T204" s="51">
        <f t="shared" si="209"/>
        <v>-16234047.322818629</v>
      </c>
      <c r="U204" s="51">
        <f t="shared" ref="U204:V204" si="210">+U202+U175+U174+U173+U165</f>
        <v>-115965370.51333311</v>
      </c>
      <c r="V204" s="51">
        <f t="shared" si="210"/>
        <v>-17606916.330514658</v>
      </c>
      <c r="W204" s="84"/>
      <c r="X204" s="84"/>
      <c r="Y204" s="84"/>
      <c r="Z204" s="84"/>
    </row>
    <row r="206" spans="1:26" x14ac:dyDescent="0.3">
      <c r="A206" s="48" t="s">
        <v>139</v>
      </c>
      <c r="B206" s="49">
        <f t="shared" ref="B206:J206" si="211">+B202+B165</f>
        <v>-12279101.930000016</v>
      </c>
      <c r="C206" s="49">
        <f t="shared" si="211"/>
        <v>-24422034.769999977</v>
      </c>
      <c r="D206" s="49">
        <f t="shared" si="211"/>
        <v>-12142932.839999991</v>
      </c>
      <c r="E206" s="49">
        <f t="shared" si="211"/>
        <v>-48145380.820000105</v>
      </c>
      <c r="F206" s="49">
        <f t="shared" si="211"/>
        <v>-23723346.049999997</v>
      </c>
      <c r="G206" s="49">
        <f t="shared" si="211"/>
        <v>-51825101.016666718</v>
      </c>
      <c r="H206" s="49">
        <f t="shared" si="211"/>
        <v>-3679720.1966666589</v>
      </c>
      <c r="I206" s="49">
        <f t="shared" si="211"/>
        <v>-77073198.499333322</v>
      </c>
      <c r="J206" s="49">
        <f t="shared" si="211"/>
        <v>-25248097.482666608</v>
      </c>
      <c r="K206" s="49">
        <f t="shared" ref="K206:L206" si="212">+K202+K165</f>
        <v>-92434313.840000033</v>
      </c>
      <c r="L206" s="49">
        <f t="shared" si="212"/>
        <v>-15361115.340666737</v>
      </c>
      <c r="M206" s="49">
        <f t="shared" ref="M206:N206" si="213">+M202+M165</f>
        <v>-115582169.97666672</v>
      </c>
      <c r="N206" s="49">
        <f t="shared" si="213"/>
        <v>-23147856.136666611</v>
      </c>
      <c r="O206" s="49">
        <f t="shared" ref="O206:P206" si="214">+O202+O165</f>
        <v>-106784612.2641335</v>
      </c>
      <c r="P206" s="49">
        <f t="shared" si="214"/>
        <v>8797557.7125332914</v>
      </c>
      <c r="Q206" s="49">
        <f t="shared" ref="Q206:R206" si="215">+Q202+Q165</f>
        <v>-101786719.63000005</v>
      </c>
      <c r="R206" s="49">
        <f t="shared" si="215"/>
        <v>4997892.634133324</v>
      </c>
      <c r="S206" s="49">
        <f t="shared" ref="S206:T206" si="216">+S202+S165</f>
        <v>-120297551.59281865</v>
      </c>
      <c r="T206" s="49">
        <f t="shared" si="216"/>
        <v>-18510831.96281863</v>
      </c>
      <c r="U206" s="49">
        <f t="shared" ref="U206:V206" si="217">+U202+U165</f>
        <v>-139973210.73333311</v>
      </c>
      <c r="V206" s="49">
        <f t="shared" si="217"/>
        <v>-19675659.140514657</v>
      </c>
      <c r="W206" s="43"/>
      <c r="X206" s="43"/>
      <c r="Y206" s="43"/>
      <c r="Z206" s="43"/>
    </row>
    <row r="208" spans="1:26" x14ac:dyDescent="0.3">
      <c r="A208" s="48" t="s">
        <v>140</v>
      </c>
      <c r="B208" s="52">
        <f t="shared" ref="B208:L208" si="218">+B204/B46*100</f>
        <v>-21.074375052253238</v>
      </c>
      <c r="C208" s="52">
        <f t="shared" si="218"/>
        <v>-18.085518660315802</v>
      </c>
      <c r="D208" s="52">
        <f t="shared" si="218"/>
        <v>-15.77735168093119</v>
      </c>
      <c r="E208" s="52">
        <f t="shared" si="218"/>
        <v>-24.850459861560019</v>
      </c>
      <c r="F208" s="52">
        <f t="shared" si="218"/>
        <v>-38.449974051940146</v>
      </c>
      <c r="G208" s="52">
        <f t="shared" si="218"/>
        <v>-16.712558381996935</v>
      </c>
      <c r="H208" s="52">
        <f t="shared" si="218"/>
        <v>-1.3648400144596775</v>
      </c>
      <c r="I208" s="52">
        <f t="shared" si="218"/>
        <v>-20.538394073769485</v>
      </c>
      <c r="J208" s="52">
        <f t="shared" si="218"/>
        <v>-36.331821491243801</v>
      </c>
      <c r="K208" s="52">
        <f t="shared" si="218"/>
        <v>-19.826698899846193</v>
      </c>
      <c r="L208" s="52">
        <f t="shared" si="218"/>
        <v>-16.834521226567798</v>
      </c>
      <c r="M208" s="52">
        <f t="shared" ref="M208:N208" si="219">+M204/M46*100</f>
        <v>-21.796726750882055</v>
      </c>
      <c r="N208" s="52">
        <f t="shared" si="219"/>
        <v>-35.164821594225032</v>
      </c>
      <c r="O208" s="52">
        <f t="shared" ref="O208:P208" si="220">+O204/O46*100</f>
        <v>-15.032325352337693</v>
      </c>
      <c r="P208" s="52">
        <f t="shared" si="220"/>
        <v>8.1467899866581117</v>
      </c>
      <c r="Q208" s="52">
        <f t="shared" ref="Q208:R208" si="221">+Q204/Q46*100</f>
        <v>-10.717617508886617</v>
      </c>
      <c r="R208" s="52">
        <f t="shared" si="221"/>
        <v>4.2410064277524704</v>
      </c>
      <c r="S208" s="52">
        <f t="shared" ref="S208:T208" si="222">+S204/S46*100</f>
        <v>-11.687269554833138</v>
      </c>
      <c r="T208" s="52">
        <f t="shared" si="222"/>
        <v>-21.550553321645424</v>
      </c>
      <c r="U208" s="52">
        <f t="shared" ref="U208:V208" si="223">+U204/U46*100</f>
        <v>-12.448320774729398</v>
      </c>
      <c r="V208" s="52">
        <f t="shared" si="223"/>
        <v>-19.565816013432514</v>
      </c>
      <c r="W208" s="120"/>
      <c r="X208" s="120"/>
      <c r="Y208" s="120"/>
      <c r="Z208" s="120"/>
    </row>
  </sheetData>
  <pageMargins left="0.11811023622047245" right="0.11811023622047245" top="0.35433070866141736" bottom="0.15748031496062992" header="0" footer="0.11811023622047245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C579-F381-4E85-BD90-A39FEE015CF1}">
  <dimension ref="A1:FB161"/>
  <sheetViews>
    <sheetView topLeftCell="A128" zoomScaleNormal="100" workbookViewId="0">
      <selection activeCell="D22" sqref="D22"/>
    </sheetView>
  </sheetViews>
  <sheetFormatPr defaultRowHeight="14.4" x14ac:dyDescent="0.3"/>
  <cols>
    <col min="1" max="1" width="44.44140625" customWidth="1"/>
    <col min="2" max="22" width="15.33203125" style="25" customWidth="1"/>
    <col min="23" max="23" width="11.6640625" bestFit="1" customWidth="1"/>
  </cols>
  <sheetData>
    <row r="1" spans="1:22" x14ac:dyDescent="0.3">
      <c r="A1" s="1" t="s">
        <v>265</v>
      </c>
    </row>
    <row r="2" spans="1:22" x14ac:dyDescent="0.3">
      <c r="A2" s="1"/>
    </row>
    <row r="3" spans="1:22" x14ac:dyDescent="0.3">
      <c r="A3" s="4" t="s">
        <v>463</v>
      </c>
    </row>
    <row r="4" spans="1:22" x14ac:dyDescent="0.3">
      <c r="A4" s="4"/>
    </row>
    <row r="6" spans="1:22" ht="33" customHeight="1" x14ac:dyDescent="0.3">
      <c r="A6" s="6" t="s">
        <v>2</v>
      </c>
      <c r="B6" s="36" t="s">
        <v>243</v>
      </c>
      <c r="C6" s="36" t="s">
        <v>287</v>
      </c>
      <c r="D6" s="36" t="s">
        <v>288</v>
      </c>
      <c r="E6" s="36" t="s">
        <v>301</v>
      </c>
      <c r="F6" s="36" t="s">
        <v>302</v>
      </c>
      <c r="G6" s="36" t="s">
        <v>342</v>
      </c>
      <c r="H6" s="36" t="s">
        <v>343</v>
      </c>
      <c r="I6" s="36" t="s">
        <v>362</v>
      </c>
      <c r="J6" s="36" t="s">
        <v>363</v>
      </c>
      <c r="K6" s="36" t="s">
        <v>381</v>
      </c>
      <c r="L6" s="36" t="s">
        <v>382</v>
      </c>
      <c r="M6" s="36" t="s">
        <v>389</v>
      </c>
      <c r="N6" s="36" t="s">
        <v>390</v>
      </c>
      <c r="O6" s="36" t="s">
        <v>406</v>
      </c>
      <c r="P6" s="36" t="s">
        <v>407</v>
      </c>
      <c r="Q6" s="36" t="s">
        <v>412</v>
      </c>
      <c r="R6" s="36" t="s">
        <v>413</v>
      </c>
      <c r="S6" s="36" t="s">
        <v>450</v>
      </c>
      <c r="T6" s="36" t="s">
        <v>451</v>
      </c>
      <c r="U6" s="36" t="s">
        <v>464</v>
      </c>
      <c r="V6" s="36" t="s">
        <v>465</v>
      </c>
    </row>
    <row r="7" spans="1:22" x14ac:dyDescent="0.3">
      <c r="A7" s="8" t="s">
        <v>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3">
      <c r="A8" s="8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3">
      <c r="A9" s="10" t="s">
        <v>257</v>
      </c>
      <c r="B9" s="11">
        <f>VLOOKUP(A9,'TFL- B-April,25'!$B$9:$C$33,2,0)</f>
        <v>1501872</v>
      </c>
      <c r="C9" s="11">
        <f>VLOOKUP(A9,'May-B'!$B$9:$C$39,2,0)</f>
        <v>2501098</v>
      </c>
      <c r="D9" s="11">
        <f>+C9-B9</f>
        <v>999226</v>
      </c>
      <c r="E9" s="11">
        <f>VLOOKUP(A9,'June,25-B'!$B$9:$C$46,2,0)</f>
        <v>5286179</v>
      </c>
      <c r="F9" s="11">
        <f>+E9-C9</f>
        <v>2785081</v>
      </c>
      <c r="G9" s="11">
        <f>VLOOKUP(A9,'July-B'!$B$9:$C$51,2,0)</f>
        <v>9026583.0099999998</v>
      </c>
      <c r="H9" s="11">
        <f>+G9-E9</f>
        <v>3740404.01</v>
      </c>
      <c r="I9" s="11">
        <f>VLOOKUP(A9,'TB-B-Aug'!$B$1:$C$53,2,0)</f>
        <v>12193532.01</v>
      </c>
      <c r="J9" s="11">
        <f>+I9-G9</f>
        <v>3166949</v>
      </c>
      <c r="K9" s="11">
        <f>VLOOKUP(A9,'TFB-Sept,25'!$B$9:$C$54,2,0)</f>
        <v>15382914.01</v>
      </c>
      <c r="L9" s="11">
        <f>+K9-I9</f>
        <v>3189382</v>
      </c>
      <c r="M9" s="11">
        <f>VLOOKUP(A9,'PL-TFB-Oct'!$B$9:$C$57,2,0)</f>
        <v>16435708.01</v>
      </c>
      <c r="N9" s="11">
        <f>+M9-K9</f>
        <v>1052794</v>
      </c>
      <c r="O9" s="11" cm="1">
        <f t="array" ref="O9">VLOOKUP(A9,+'TFB-Nov,25'!$B$9:$C$58,2,0)</f>
        <v>18524580.02</v>
      </c>
      <c r="P9" s="11">
        <f>+O9-M9</f>
        <v>2088872.0099999998</v>
      </c>
      <c r="Q9" s="11">
        <f>VLOOKUP(A9,'TB -TFL-B-Dec,25'!$B$9:$C$62,2,0)</f>
        <v>21712831.010000002</v>
      </c>
      <c r="R9" s="11">
        <f>+Q9-O9</f>
        <v>3188250.9900000021</v>
      </c>
      <c r="S9" s="11">
        <f>VLOOKUP(A9,'TB-TFL-B-Jan,26'!$B$9:$C$67,2,0)</f>
        <v>25000388.010000002</v>
      </c>
      <c r="T9" s="11">
        <f>+S9-Q9</f>
        <v>3287557</v>
      </c>
      <c r="U9" s="11">
        <f>VLOOKUP(A9,'TB-Feb,26-B'!$B$9:$C$67,2,0)</f>
        <v>27034065.010000002</v>
      </c>
      <c r="V9" s="11">
        <f>+U9-S9</f>
        <v>2033677</v>
      </c>
    </row>
    <row r="10" spans="1:22" s="15" customFormat="1" x14ac:dyDescent="0.3">
      <c r="A10" s="37" t="s">
        <v>9</v>
      </c>
      <c r="B10" s="14">
        <f t="shared" ref="B10:H10" si="0">SUM(B9:B9)</f>
        <v>1501872</v>
      </c>
      <c r="C10" s="14">
        <f t="shared" si="0"/>
        <v>2501098</v>
      </c>
      <c r="D10" s="14">
        <f t="shared" si="0"/>
        <v>999226</v>
      </c>
      <c r="E10" s="14">
        <f t="shared" si="0"/>
        <v>5286179</v>
      </c>
      <c r="F10" s="14">
        <f t="shared" si="0"/>
        <v>2785081</v>
      </c>
      <c r="G10" s="14">
        <f t="shared" si="0"/>
        <v>9026583.0099999998</v>
      </c>
      <c r="H10" s="14">
        <f t="shared" si="0"/>
        <v>3740404.01</v>
      </c>
      <c r="I10" s="14">
        <f t="shared" ref="I10:J10" si="1">SUM(I9:I9)</f>
        <v>12193532.01</v>
      </c>
      <c r="J10" s="14">
        <f t="shared" si="1"/>
        <v>3166949</v>
      </c>
      <c r="K10" s="14">
        <f t="shared" ref="K10:L10" si="2">SUM(K9:K9)</f>
        <v>15382914.01</v>
      </c>
      <c r="L10" s="14">
        <f t="shared" si="2"/>
        <v>3189382</v>
      </c>
      <c r="M10" s="14">
        <f t="shared" ref="M10:N10" si="3">SUM(M9:M9)</f>
        <v>16435708.01</v>
      </c>
      <c r="N10" s="14">
        <f t="shared" si="3"/>
        <v>1052794</v>
      </c>
      <c r="O10" s="14">
        <f t="shared" ref="O10:P10" si="4">SUM(O9:O9)</f>
        <v>18524580.02</v>
      </c>
      <c r="P10" s="14">
        <f t="shared" si="4"/>
        <v>2088872.0099999998</v>
      </c>
      <c r="Q10" s="14">
        <f t="shared" ref="Q10:R10" si="5">SUM(Q9:Q9)</f>
        <v>21712831.010000002</v>
      </c>
      <c r="R10" s="14">
        <f t="shared" si="5"/>
        <v>3188250.9900000021</v>
      </c>
      <c r="S10" s="14">
        <f t="shared" ref="S10:T10" si="6">SUM(S9:S9)</f>
        <v>25000388.010000002</v>
      </c>
      <c r="T10" s="14">
        <f t="shared" si="6"/>
        <v>3287557</v>
      </c>
      <c r="U10" s="14">
        <f t="shared" ref="U10:V10" si="7">SUM(U9:U9)</f>
        <v>27034065.010000002</v>
      </c>
      <c r="V10" s="14">
        <f t="shared" si="7"/>
        <v>2033677</v>
      </c>
    </row>
    <row r="11" spans="1:22" s="15" customFormat="1" x14ac:dyDescent="0.3">
      <c r="A11" s="8" t="s">
        <v>10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x14ac:dyDescent="0.3">
      <c r="A12" s="10" t="s">
        <v>17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3">
      <c r="A13" t="s">
        <v>12</v>
      </c>
      <c r="B13" s="11"/>
      <c r="C13" s="11"/>
      <c r="D13" s="11"/>
      <c r="E13" s="11">
        <f>VLOOKUP(A13,'June,25-B'!$B$9:$C$46,2,0)</f>
        <v>12500</v>
      </c>
      <c r="F13" s="11">
        <f>+E13-C13</f>
        <v>12500</v>
      </c>
      <c r="G13" s="11">
        <f>VLOOKUP(A13,'July-B'!$B$9:$C$51,2,0)</f>
        <v>12500</v>
      </c>
      <c r="H13" s="11">
        <f>+G13-E13</f>
        <v>0</v>
      </c>
      <c r="I13" s="11">
        <f>VLOOKUP(A13,'TB-B-Aug'!$B$1:$C$53,2,0)</f>
        <v>12500</v>
      </c>
      <c r="J13" s="11">
        <f>+I13-G13</f>
        <v>0</v>
      </c>
      <c r="K13" s="11">
        <f>VLOOKUP(A13,'TFB-Sept,25'!$B$9:$C$54,2,0)</f>
        <v>12500</v>
      </c>
      <c r="L13" s="11">
        <f>+K13-I13</f>
        <v>0</v>
      </c>
      <c r="M13" s="11">
        <f>VLOOKUP(A13,'PL-TFB-Oct'!$B$9:$C$57,2,0)</f>
        <v>12500</v>
      </c>
      <c r="N13" s="11">
        <f>+M13-K13</f>
        <v>0</v>
      </c>
      <c r="O13" s="11" cm="1">
        <f t="array" ref="O13">VLOOKUP(A13,+'TFB-Nov,25'!$B$9:$C$58,2,0)</f>
        <v>12500</v>
      </c>
      <c r="P13" s="11">
        <f>+O13-M13</f>
        <v>0</v>
      </c>
      <c r="Q13" s="11">
        <f>VLOOKUP(A13,'TB -TFL-B-Dec,25'!$B$9:$C$62,2,0)</f>
        <v>12500</v>
      </c>
      <c r="R13" s="11">
        <f>+Q13-O13</f>
        <v>0</v>
      </c>
      <c r="S13" s="11">
        <f>VLOOKUP(A13,'TB-TFL-B-Jan,26'!$B$9:$C$67,2,0)</f>
        <v>12500</v>
      </c>
      <c r="T13" s="11">
        <f>+S13-Q13</f>
        <v>0</v>
      </c>
      <c r="U13" s="11">
        <f>VLOOKUP(A13,'TB-Feb,26-B'!$B$9:$C$67,2,0)</f>
        <v>12500</v>
      </c>
      <c r="V13" s="11">
        <f>+U13-S13</f>
        <v>0</v>
      </c>
    </row>
    <row r="14" spans="1:22" x14ac:dyDescent="0.3">
      <c r="A14" t="s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>
        <f>VLOOKUP(A14,'PL-TFB-Oct'!$B$9:$C$57,2,0)+12000</f>
        <v>18000</v>
      </c>
      <c r="N14" s="11">
        <f>+M14-K14</f>
        <v>18000</v>
      </c>
      <c r="O14" s="11" cm="1">
        <f t="array" ref="O14">VLOOKUP(A14,+'TFB-Nov,25'!$B$9:$C$58,2,0)</f>
        <v>6000</v>
      </c>
      <c r="P14" s="11">
        <f>+O14-M14</f>
        <v>-12000</v>
      </c>
      <c r="Q14" s="11">
        <f>VLOOKUP(A14,'TB -TFL-B-Dec,25'!$B$9:$C$62,2,0)</f>
        <v>6000</v>
      </c>
      <c r="R14" s="11">
        <f>+Q14-O14</f>
        <v>0</v>
      </c>
      <c r="S14" s="11">
        <f>VLOOKUP(A14,'TB-TFL-B-Jan,26'!$B$9:$C$67,2,0)</f>
        <v>6000</v>
      </c>
      <c r="T14" s="11">
        <f>+S14-Q14</f>
        <v>0</v>
      </c>
      <c r="U14" s="11">
        <f>VLOOKUP(A14,'TB-Feb,26-B'!$B$9:$C$67,2,0)</f>
        <v>6000</v>
      </c>
      <c r="V14" s="11">
        <f>+U14-S14</f>
        <v>0</v>
      </c>
    </row>
    <row r="15" spans="1:22" s="15" customFormat="1" x14ac:dyDescent="0.3">
      <c r="A15" s="13" t="s">
        <v>24</v>
      </c>
      <c r="B15" s="14">
        <f>SUM(B12:B12)</f>
        <v>0</v>
      </c>
      <c r="C15" s="14">
        <f>SUM(C12:C12)</f>
        <v>0</v>
      </c>
      <c r="D15" s="14">
        <f>SUM(D12:D12)</f>
        <v>0</v>
      </c>
      <c r="E15" s="14">
        <f t="shared" ref="E15:J15" si="8">SUM(E12:E13)</f>
        <v>12500</v>
      </c>
      <c r="F15" s="14">
        <f t="shared" si="8"/>
        <v>12500</v>
      </c>
      <c r="G15" s="14">
        <f t="shared" si="8"/>
        <v>12500</v>
      </c>
      <c r="H15" s="14">
        <f t="shared" si="8"/>
        <v>0</v>
      </c>
      <c r="I15" s="14">
        <f t="shared" si="8"/>
        <v>12500</v>
      </c>
      <c r="J15" s="14">
        <f t="shared" si="8"/>
        <v>0</v>
      </c>
      <c r="K15" s="14">
        <f t="shared" ref="K15:L15" si="9">SUM(K12:K13)</f>
        <v>12500</v>
      </c>
      <c r="L15" s="14">
        <f t="shared" si="9"/>
        <v>0</v>
      </c>
      <c r="M15" s="14">
        <f t="shared" ref="M15:R15" si="10">SUM(M13:M14)</f>
        <v>30500</v>
      </c>
      <c r="N15" s="14">
        <f t="shared" si="10"/>
        <v>18000</v>
      </c>
      <c r="O15" s="14">
        <f t="shared" si="10"/>
        <v>18500</v>
      </c>
      <c r="P15" s="14">
        <f t="shared" si="10"/>
        <v>-12000</v>
      </c>
      <c r="Q15" s="14">
        <f t="shared" si="10"/>
        <v>18500</v>
      </c>
      <c r="R15" s="14">
        <f t="shared" si="10"/>
        <v>0</v>
      </c>
      <c r="S15" s="14">
        <f t="shared" ref="S15:T15" si="11">SUM(S13:S14)</f>
        <v>18500</v>
      </c>
      <c r="T15" s="14">
        <f t="shared" si="11"/>
        <v>0</v>
      </c>
      <c r="U15" s="14">
        <f t="shared" ref="U15:V15" si="12">SUM(U13:U14)</f>
        <v>18500</v>
      </c>
      <c r="V15" s="14">
        <f t="shared" si="12"/>
        <v>0</v>
      </c>
    </row>
    <row r="16" spans="1:22" s="15" customFormat="1" x14ac:dyDescent="0.3">
      <c r="A16" s="21" t="s">
        <v>25</v>
      </c>
      <c r="B16" s="22">
        <f t="shared" ref="B16:H16" si="13">B10-B15</f>
        <v>1501872</v>
      </c>
      <c r="C16" s="22">
        <f t="shared" si="13"/>
        <v>2501098</v>
      </c>
      <c r="D16" s="22">
        <f t="shared" si="13"/>
        <v>999226</v>
      </c>
      <c r="E16" s="22">
        <f t="shared" si="13"/>
        <v>5273679</v>
      </c>
      <c r="F16" s="22">
        <f t="shared" si="13"/>
        <v>2772581</v>
      </c>
      <c r="G16" s="22">
        <f t="shared" si="13"/>
        <v>9014083.0099999998</v>
      </c>
      <c r="H16" s="22">
        <f t="shared" si="13"/>
        <v>3740404.01</v>
      </c>
      <c r="I16" s="22">
        <f t="shared" ref="I16:J16" si="14">I10-I15</f>
        <v>12181032.01</v>
      </c>
      <c r="J16" s="22">
        <f t="shared" si="14"/>
        <v>3166949</v>
      </c>
      <c r="K16" s="22">
        <f t="shared" ref="K16:L16" si="15">K10-K15</f>
        <v>15370414.01</v>
      </c>
      <c r="L16" s="22">
        <f t="shared" si="15"/>
        <v>3189382</v>
      </c>
      <c r="M16" s="22">
        <f t="shared" ref="M16:N16" si="16">M10-M15</f>
        <v>16405208.01</v>
      </c>
      <c r="N16" s="22">
        <f t="shared" si="16"/>
        <v>1034794</v>
      </c>
      <c r="O16" s="22">
        <f t="shared" ref="O16:P16" si="17">O10-O15</f>
        <v>18506080.02</v>
      </c>
      <c r="P16" s="22">
        <f t="shared" si="17"/>
        <v>2100872.0099999998</v>
      </c>
      <c r="Q16" s="22">
        <f t="shared" ref="Q16:R16" si="18">Q10-Q15</f>
        <v>21694331.010000002</v>
      </c>
      <c r="R16" s="22">
        <f t="shared" si="18"/>
        <v>3188250.9900000021</v>
      </c>
      <c r="S16" s="22">
        <f t="shared" ref="S16:T16" si="19">S10-S15</f>
        <v>24981888.010000002</v>
      </c>
      <c r="T16" s="22">
        <f t="shared" si="19"/>
        <v>3287557</v>
      </c>
      <c r="U16" s="22">
        <f t="shared" ref="U16:V16" si="20">U10-U15</f>
        <v>27015565.010000002</v>
      </c>
      <c r="V16" s="22">
        <f t="shared" si="20"/>
        <v>2033677</v>
      </c>
    </row>
    <row r="17" spans="1:22" s="15" customFormat="1" x14ac:dyDescent="0.3">
      <c r="A17" s="8" t="s">
        <v>26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x14ac:dyDescent="0.3">
      <c r="A18" s="20" t="s">
        <v>184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 spans="1:22" x14ac:dyDescent="0.3">
      <c r="A19" s="13" t="s">
        <v>31</v>
      </c>
      <c r="B19" s="14">
        <f t="shared" ref="B19:H19" si="21">SUM(B18:B18)</f>
        <v>0</v>
      </c>
      <c r="C19" s="14">
        <f t="shared" si="21"/>
        <v>0</v>
      </c>
      <c r="D19" s="14">
        <f t="shared" si="21"/>
        <v>0</v>
      </c>
      <c r="E19" s="14">
        <f t="shared" si="21"/>
        <v>0</v>
      </c>
      <c r="F19" s="14">
        <f t="shared" si="21"/>
        <v>0</v>
      </c>
      <c r="G19" s="14">
        <f t="shared" si="21"/>
        <v>0</v>
      </c>
      <c r="H19" s="14">
        <f t="shared" si="21"/>
        <v>0</v>
      </c>
      <c r="I19" s="14">
        <f t="shared" ref="I19:J19" si="22">SUM(I18:I18)</f>
        <v>0</v>
      </c>
      <c r="J19" s="14">
        <f t="shared" si="22"/>
        <v>0</v>
      </c>
      <c r="K19" s="14">
        <f t="shared" ref="K19:L19" si="23">SUM(K18:K18)</f>
        <v>0</v>
      </c>
      <c r="L19" s="14">
        <f t="shared" si="23"/>
        <v>0</v>
      </c>
      <c r="M19" s="14">
        <f t="shared" ref="M19:N19" si="24">SUM(M18:M18)</f>
        <v>0</v>
      </c>
      <c r="N19" s="14">
        <f t="shared" si="24"/>
        <v>0</v>
      </c>
      <c r="O19" s="14">
        <f t="shared" ref="O19:P19" si="25">SUM(O18:O18)</f>
        <v>0</v>
      </c>
      <c r="P19" s="14">
        <f t="shared" si="25"/>
        <v>0</v>
      </c>
      <c r="Q19" s="14">
        <f t="shared" ref="Q19:R19" si="26">SUM(Q18:Q18)</f>
        <v>0</v>
      </c>
      <c r="R19" s="14">
        <f t="shared" si="26"/>
        <v>0</v>
      </c>
      <c r="S19" s="14">
        <f t="shared" ref="S19:T19" si="27">SUM(S18:S18)</f>
        <v>0</v>
      </c>
      <c r="T19" s="14">
        <f t="shared" si="27"/>
        <v>0</v>
      </c>
      <c r="U19" s="14">
        <f t="shared" ref="U19:V19" si="28">SUM(U18:U18)</f>
        <v>0</v>
      </c>
      <c r="V19" s="14">
        <f t="shared" si="28"/>
        <v>0</v>
      </c>
    </row>
    <row r="20" spans="1:22" x14ac:dyDescent="0.3">
      <c r="A20" s="21" t="s">
        <v>185</v>
      </c>
      <c r="B20" s="22">
        <f t="shared" ref="B20:H20" si="29">B16+B19</f>
        <v>1501872</v>
      </c>
      <c r="C20" s="22">
        <f t="shared" si="29"/>
        <v>2501098</v>
      </c>
      <c r="D20" s="22">
        <f t="shared" si="29"/>
        <v>999226</v>
      </c>
      <c r="E20" s="22">
        <f t="shared" si="29"/>
        <v>5273679</v>
      </c>
      <c r="F20" s="22">
        <f t="shared" si="29"/>
        <v>2772581</v>
      </c>
      <c r="G20" s="22">
        <f t="shared" si="29"/>
        <v>9014083.0099999998</v>
      </c>
      <c r="H20" s="22">
        <f t="shared" si="29"/>
        <v>3740404.01</v>
      </c>
      <c r="I20" s="22">
        <f t="shared" ref="I20:J20" si="30">I16+I19</f>
        <v>12181032.01</v>
      </c>
      <c r="J20" s="22">
        <f t="shared" si="30"/>
        <v>3166949</v>
      </c>
      <c r="K20" s="22">
        <f t="shared" ref="K20:L20" si="31">K16+K19</f>
        <v>15370414.01</v>
      </c>
      <c r="L20" s="22">
        <f t="shared" si="31"/>
        <v>3189382</v>
      </c>
      <c r="M20" s="22">
        <f t="shared" ref="M20:N20" si="32">M16+M19</f>
        <v>16405208.01</v>
      </c>
      <c r="N20" s="22">
        <f t="shared" si="32"/>
        <v>1034794</v>
      </c>
      <c r="O20" s="22">
        <f t="shared" ref="O20:P20" si="33">O16+O19</f>
        <v>18506080.02</v>
      </c>
      <c r="P20" s="22">
        <f t="shared" si="33"/>
        <v>2100872.0099999998</v>
      </c>
      <c r="Q20" s="22">
        <f t="shared" ref="Q20:R20" si="34">Q16+Q19</f>
        <v>21694331.010000002</v>
      </c>
      <c r="R20" s="22">
        <f t="shared" si="34"/>
        <v>3188250.9900000021</v>
      </c>
      <c r="S20" s="22">
        <f t="shared" ref="S20:T20" si="35">S16+S19</f>
        <v>24981888.010000002</v>
      </c>
      <c r="T20" s="22">
        <f t="shared" si="35"/>
        <v>3287557</v>
      </c>
      <c r="U20" s="22">
        <f t="shared" ref="U20:V20" si="36">U16+U19</f>
        <v>27015565.010000002</v>
      </c>
      <c r="V20" s="22">
        <f t="shared" si="36"/>
        <v>2033677</v>
      </c>
    </row>
    <row r="21" spans="1:22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 x14ac:dyDescent="0.3">
      <c r="A22" s="8" t="s">
        <v>33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x14ac:dyDescent="0.3">
      <c r="A23" s="13" t="s">
        <v>34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x14ac:dyDescent="0.3">
      <c r="A24" s="10" t="s">
        <v>35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3">
      <c r="A25" t="s">
        <v>39</v>
      </c>
      <c r="B25" s="11"/>
      <c r="C25" s="11"/>
      <c r="D25" s="11"/>
      <c r="E25" s="11"/>
      <c r="F25" s="11"/>
      <c r="G25" s="11">
        <f>VLOOKUP(A25,'July-B'!$B$9:$C$51,2,0)</f>
        <v>400</v>
      </c>
      <c r="H25" s="11">
        <f>+G25-E25</f>
        <v>400</v>
      </c>
      <c r="I25" s="11">
        <f>VLOOKUP(A25,'TB-B-Aug'!$B$1:$C$18,2,0)</f>
        <v>400</v>
      </c>
      <c r="J25" s="11">
        <f>+I25-G25</f>
        <v>0</v>
      </c>
      <c r="K25" s="11">
        <f>VLOOKUP(A25,'TFB-Sept,25'!$B$9:$C$54,2,0)</f>
        <v>400</v>
      </c>
      <c r="L25" s="11">
        <f>+K25-I25</f>
        <v>0</v>
      </c>
      <c r="M25" s="11">
        <f>VLOOKUP(A25,'PL-TFB-Oct'!$B$9:$C$57,2,0)+1070</f>
        <v>1470</v>
      </c>
      <c r="N25" s="11">
        <f>+M25-K25</f>
        <v>1070</v>
      </c>
      <c r="O25" s="11" cm="1">
        <f t="array" ref="O25">VLOOKUP(A25,+'TFB-Nov,25'!$B$9:$C$58,2,0)+'TFB-Nov,25'!C11</f>
        <v>13190</v>
      </c>
      <c r="P25" s="11">
        <f>+O25-M25</f>
        <v>11720</v>
      </c>
      <c r="Q25" s="11">
        <f>VLOOKUP(A25,'TB -TFL-B-Dec,25'!$B$9:$C$62,2,0)</f>
        <v>2370</v>
      </c>
      <c r="R25" s="11">
        <f>+Q25-O25</f>
        <v>-10820</v>
      </c>
      <c r="S25" s="11">
        <f>VLOOKUP(A25,'TB-TFL-B-Jan,26'!$B$9:$C$67,2,0)</f>
        <v>2370</v>
      </c>
      <c r="T25" s="11">
        <f>+S25-Q25</f>
        <v>0</v>
      </c>
      <c r="U25" s="11">
        <f>VLOOKUP(A25,'TB-Feb,26-B'!$B$9:$C$67,2,0)</f>
        <v>2370</v>
      </c>
      <c r="V25" s="11">
        <f>+U25-S25</f>
        <v>0</v>
      </c>
    </row>
    <row r="26" spans="1:22" x14ac:dyDescent="0.3">
      <c r="A26" t="s">
        <v>199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>
        <f>VLOOKUP(A26,'TB-TFL-B-Jan,26'!$B$9:$C$67,2,0)</f>
        <v>50381.2</v>
      </c>
      <c r="T26" s="11">
        <f>+S26-Q26</f>
        <v>50381.2</v>
      </c>
      <c r="U26" s="11">
        <f>VLOOKUP(A26,'TB-Feb,26-B'!$B$9:$C$67,2,0)</f>
        <v>142097.9</v>
      </c>
      <c r="V26" s="11">
        <f>+U26-S26</f>
        <v>91716.7</v>
      </c>
    </row>
    <row r="27" spans="1:22" x14ac:dyDescent="0.3">
      <c r="A27" s="92" t="s">
        <v>188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>VLOOKUP(A27,'TB -TFL-B-Dec,25'!$B$9:$C$62,2,0)-10820+10820</f>
        <v>45070</v>
      </c>
      <c r="R27" s="11">
        <f>+Q27-O27</f>
        <v>45070</v>
      </c>
      <c r="S27" s="11">
        <f>VLOOKUP(A27,'TB-TFL-B-Jan,26'!$B$9:$C$67,2,0)</f>
        <v>45070</v>
      </c>
      <c r="T27" s="11">
        <f>+S27-Q27</f>
        <v>0</v>
      </c>
      <c r="U27" s="11">
        <f>VLOOKUP(A27,'TB-Feb,26-B'!$B$9:$C$67,2,0)</f>
        <v>45070</v>
      </c>
      <c r="V27" s="11">
        <f>+U27-S27</f>
        <v>0</v>
      </c>
    </row>
    <row r="28" spans="1:22" x14ac:dyDescent="0.3">
      <c r="A28" s="10" t="s">
        <v>49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1"/>
      <c r="R28" s="11">
        <f>+Q28-O28</f>
        <v>0</v>
      </c>
      <c r="S28" s="11"/>
      <c r="T28" s="11">
        <f>+S28-Q28</f>
        <v>0</v>
      </c>
      <c r="U28" s="11"/>
      <c r="V28" s="11">
        <f>+U28-S28</f>
        <v>0</v>
      </c>
    </row>
    <row r="29" spans="1:22" x14ac:dyDescent="0.3">
      <c r="A29" s="13" t="s">
        <v>50</v>
      </c>
      <c r="B29" s="14">
        <f t="shared" ref="B29:D29" si="37">+B24-B28</f>
        <v>0</v>
      </c>
      <c r="C29" s="14">
        <f t="shared" si="37"/>
        <v>0</v>
      </c>
      <c r="D29" s="14">
        <f t="shared" si="37"/>
        <v>0</v>
      </c>
      <c r="E29" s="14">
        <f>+E24-E28</f>
        <v>0</v>
      </c>
      <c r="F29" s="14">
        <f t="shared" ref="F29" si="38">+F24-F28</f>
        <v>0</v>
      </c>
      <c r="G29" s="14">
        <f t="shared" ref="G29:L29" si="39">+G24+G25-G28</f>
        <v>400</v>
      </c>
      <c r="H29" s="14">
        <f t="shared" si="39"/>
        <v>400</v>
      </c>
      <c r="I29" s="14">
        <f t="shared" si="39"/>
        <v>400</v>
      </c>
      <c r="J29" s="14">
        <f t="shared" si="39"/>
        <v>0</v>
      </c>
      <c r="K29" s="14">
        <f t="shared" si="39"/>
        <v>400</v>
      </c>
      <c r="L29" s="14">
        <f t="shared" si="39"/>
        <v>0</v>
      </c>
      <c r="M29" s="14">
        <f t="shared" ref="M29:N29" si="40">+M24+M25-M28</f>
        <v>1470</v>
      </c>
      <c r="N29" s="14">
        <f t="shared" si="40"/>
        <v>1070</v>
      </c>
      <c r="O29" s="14">
        <f t="shared" ref="O29:P29" si="41">+O24+O25-O28</f>
        <v>13190</v>
      </c>
      <c r="P29" s="14">
        <f t="shared" si="41"/>
        <v>11720</v>
      </c>
      <c r="Q29" s="14">
        <f>+Q24+Q25-Q28+Q27</f>
        <v>47440</v>
      </c>
      <c r="R29" s="14">
        <f>+R24+R25-R28+R27</f>
        <v>34250</v>
      </c>
      <c r="S29" s="14">
        <f>SUM(S25:S27)</f>
        <v>97821.2</v>
      </c>
      <c r="T29" s="14">
        <f>SUM(T25:T27)</f>
        <v>50381.2</v>
      </c>
      <c r="U29" s="14">
        <f>SUM(U25:U27)</f>
        <v>189537.9</v>
      </c>
      <c r="V29" s="14">
        <f>SUM(V25:V27)</f>
        <v>91716.7</v>
      </c>
    </row>
    <row r="30" spans="1:22" x14ac:dyDescent="0.3">
      <c r="A30" s="21" t="s">
        <v>51</v>
      </c>
      <c r="B30" s="22">
        <f t="shared" ref="B30:H30" si="42">B20-B29</f>
        <v>1501872</v>
      </c>
      <c r="C30" s="22">
        <f t="shared" si="42"/>
        <v>2501098</v>
      </c>
      <c r="D30" s="22">
        <f t="shared" si="42"/>
        <v>999226</v>
      </c>
      <c r="E30" s="22">
        <f t="shared" si="42"/>
        <v>5273679</v>
      </c>
      <c r="F30" s="22">
        <f t="shared" si="42"/>
        <v>2772581</v>
      </c>
      <c r="G30" s="22">
        <f t="shared" si="42"/>
        <v>9013683.0099999998</v>
      </c>
      <c r="H30" s="22">
        <f t="shared" si="42"/>
        <v>3740004.01</v>
      </c>
      <c r="I30" s="22">
        <f t="shared" ref="I30:J30" si="43">I20-I29</f>
        <v>12180632.01</v>
      </c>
      <c r="J30" s="22">
        <f t="shared" si="43"/>
        <v>3166949</v>
      </c>
      <c r="K30" s="22">
        <f t="shared" ref="K30:L30" si="44">K20-K29</f>
        <v>15370014.01</v>
      </c>
      <c r="L30" s="22">
        <f t="shared" si="44"/>
        <v>3189382</v>
      </c>
      <c r="M30" s="22">
        <f t="shared" ref="M30:N30" si="45">M20-M29</f>
        <v>16403738.01</v>
      </c>
      <c r="N30" s="22">
        <f t="shared" si="45"/>
        <v>1033724</v>
      </c>
      <c r="O30" s="22">
        <f t="shared" ref="O30:P30" si="46">O20-O29</f>
        <v>18492890.02</v>
      </c>
      <c r="P30" s="22">
        <f t="shared" si="46"/>
        <v>2089152.0099999998</v>
      </c>
      <c r="Q30" s="22">
        <f t="shared" ref="Q30:R30" si="47">Q20-Q29</f>
        <v>21646891.010000002</v>
      </c>
      <c r="R30" s="22">
        <f t="shared" si="47"/>
        <v>3154000.9900000021</v>
      </c>
      <c r="S30" s="22">
        <f t="shared" ref="S30:T30" si="48">S20-S29</f>
        <v>24884066.810000002</v>
      </c>
      <c r="T30" s="22">
        <f t="shared" si="48"/>
        <v>3237175.8</v>
      </c>
      <c r="U30" s="22">
        <f t="shared" ref="U30:V30" si="49">U20-U29</f>
        <v>26826027.110000003</v>
      </c>
      <c r="V30" s="22">
        <f t="shared" si="49"/>
        <v>1941960.3</v>
      </c>
    </row>
    <row r="31" spans="1:22" x14ac:dyDescent="0.3">
      <c r="A31" s="21" t="s">
        <v>52</v>
      </c>
      <c r="B31" s="40">
        <f t="shared" ref="B31:H31" si="50">+B30/B20</f>
        <v>1</v>
      </c>
      <c r="C31" s="40">
        <f t="shared" si="50"/>
        <v>1</v>
      </c>
      <c r="D31" s="40">
        <f t="shared" si="50"/>
        <v>1</v>
      </c>
      <c r="E31" s="40">
        <f t="shared" si="50"/>
        <v>1</v>
      </c>
      <c r="F31" s="40">
        <f t="shared" si="50"/>
        <v>1</v>
      </c>
      <c r="G31" s="40">
        <f t="shared" si="50"/>
        <v>0.99995562499263024</v>
      </c>
      <c r="H31" s="40">
        <f t="shared" si="50"/>
        <v>0.99989305968047015</v>
      </c>
      <c r="I31" s="40">
        <f t="shared" ref="I31:J31" si="51">+I30/I20</f>
        <v>0.99996716205985903</v>
      </c>
      <c r="J31" s="40">
        <f t="shared" si="51"/>
        <v>1</v>
      </c>
      <c r="K31" s="40">
        <f t="shared" ref="K31:L31" si="52">+K30/K20</f>
        <v>0.99997397597750204</v>
      </c>
      <c r="L31" s="40">
        <f t="shared" si="52"/>
        <v>1</v>
      </c>
      <c r="M31" s="40">
        <f t="shared" ref="M31:N31" si="53">+M30/M20</f>
        <v>0.99991039430898387</v>
      </c>
      <c r="N31" s="40">
        <f t="shared" si="53"/>
        <v>0.99896597776948837</v>
      </c>
      <c r="O31" s="40">
        <f t="shared" ref="O31:P31" si="54">+O30/O20</f>
        <v>0.99928726126841849</v>
      </c>
      <c r="P31" s="40">
        <f t="shared" si="54"/>
        <v>0.9944213641077545</v>
      </c>
      <c r="Q31" s="40">
        <f t="shared" ref="Q31:R31" si="55">+Q30/Q20</f>
        <v>0.99781325361090267</v>
      </c>
      <c r="R31" s="40">
        <f t="shared" si="55"/>
        <v>0.98925743296013213</v>
      </c>
      <c r="S31" s="40">
        <f t="shared" ref="S31:T31" si="56">+S30/S20</f>
        <v>0.99608431516621787</v>
      </c>
      <c r="T31" s="40">
        <f t="shared" si="56"/>
        <v>0.98467518585989533</v>
      </c>
      <c r="U31" s="40">
        <f t="shared" ref="U31:V31" si="57">+U30/U20</f>
        <v>0.99298412230394439</v>
      </c>
      <c r="V31" s="40">
        <f t="shared" si="57"/>
        <v>0.95490104869160641</v>
      </c>
    </row>
    <row r="32" spans="1:22" x14ac:dyDescent="0.3">
      <c r="A32" s="8" t="s">
        <v>53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158" x14ac:dyDescent="0.3">
      <c r="A33" s="10" t="s">
        <v>202</v>
      </c>
      <c r="B33" s="11"/>
      <c r="C33" s="11"/>
      <c r="D33" s="16">
        <f t="shared" ref="D33:D103" si="58">+C33-B33</f>
        <v>0</v>
      </c>
      <c r="E33" s="11"/>
      <c r="F33" s="16">
        <f t="shared" ref="F33:F103" si="59">+E33-D33</f>
        <v>0</v>
      </c>
      <c r="G33" s="11">
        <f>VLOOKUP(A33,'July-B'!$B$9:$C$51,2,0)</f>
        <v>30100</v>
      </c>
      <c r="H33" s="16">
        <f t="shared" ref="H33" si="60">+G33-F33</f>
        <v>30100</v>
      </c>
      <c r="I33" s="11">
        <f>VLOOKUP(A33,'TB-B-Aug'!$B$1:$C$53,2,0)</f>
        <v>43400</v>
      </c>
      <c r="J33" s="16">
        <f t="shared" ref="J33" si="61">+I33-H33</f>
        <v>13300</v>
      </c>
      <c r="K33" s="11">
        <f>VLOOKUP(A33,'TFB-Sept,25'!$B$9:$C$54,2,0)</f>
        <v>43400</v>
      </c>
      <c r="L33" s="11">
        <f>+K33-I33</f>
        <v>0</v>
      </c>
      <c r="M33" s="11">
        <f>VLOOKUP(A33,'PL-TFB-Oct'!$B$9:$C$57,2,0)</f>
        <v>46150</v>
      </c>
      <c r="N33" s="11">
        <f>+M33-K33</f>
        <v>2750</v>
      </c>
      <c r="O33" s="11" cm="1">
        <f t="array" ref="O33">VLOOKUP(A33,+'TFB-Nov,25'!$B$9:$C$58,2,0)</f>
        <v>46150</v>
      </c>
      <c r="P33" s="11">
        <f>+O33-M33</f>
        <v>0</v>
      </c>
      <c r="Q33" s="11">
        <f>VLOOKUP(A33,'TB -TFL-B-Dec,25'!$B$9:$C$62,2,0)</f>
        <v>46150</v>
      </c>
      <c r="R33" s="11">
        <f>+Q33-O33</f>
        <v>0</v>
      </c>
      <c r="S33" s="11">
        <f>VLOOKUP(A33,'TB-TFL-B-Jan,26'!$B$9:$C$67,2,0)</f>
        <v>46150</v>
      </c>
      <c r="T33" s="11">
        <f>+S33-Q33</f>
        <v>0</v>
      </c>
      <c r="U33" s="11">
        <f>VLOOKUP(A33,'TB-Feb,26-B'!$B$9:$C$67,2,0)</f>
        <v>46150</v>
      </c>
      <c r="V33" s="11">
        <f>+U33-S33</f>
        <v>0</v>
      </c>
    </row>
    <row r="34" spans="1:158" x14ac:dyDescent="0.3">
      <c r="A34" s="10" t="s">
        <v>40</v>
      </c>
      <c r="B34" s="11">
        <f>VLOOKUP(A34,'TFL- B-April,25'!$B$9:$C$64,2,0)</f>
        <v>2730</v>
      </c>
      <c r="C34" s="11">
        <f>VLOOKUP(A34,'May-B'!$B$9:$C$39,2,0)</f>
        <v>5340</v>
      </c>
      <c r="D34" s="11">
        <f t="shared" ref="D34:D38" si="62">+C34-B34</f>
        <v>2610</v>
      </c>
      <c r="E34" s="11">
        <f>VLOOKUP(A34,'June,25-B'!$B$9:$C$46,2,0)</f>
        <v>5340</v>
      </c>
      <c r="F34" s="11">
        <f t="shared" ref="F34:F38" si="63">+E34-C34</f>
        <v>0</v>
      </c>
      <c r="G34" s="11">
        <f>VLOOKUP(A34,'July-B'!$B$9:$C$51,2,0)</f>
        <v>6497</v>
      </c>
      <c r="H34" s="11">
        <f t="shared" ref="H34:H98" si="64">+G34-E34</f>
        <v>1157</v>
      </c>
      <c r="I34" s="11">
        <f>VLOOKUP(A34,'TB-B-Aug'!$B$1:$C$53,2,0)</f>
        <v>11917</v>
      </c>
      <c r="J34" s="11">
        <f t="shared" ref="J34:J98" si="65">+I34-G34</f>
        <v>5420</v>
      </c>
      <c r="K34" s="11">
        <f>VLOOKUP(A34,'TFB-Sept,25'!$B$9:$C$54,2,0)</f>
        <v>11917</v>
      </c>
      <c r="L34" s="11">
        <f t="shared" ref="L34:L98" si="66">+K34-I34</f>
        <v>0</v>
      </c>
      <c r="M34" s="11">
        <f>VLOOKUP(A34,'PL-TFB-Oct'!$B$9:$C$57,2,0)</f>
        <v>34338</v>
      </c>
      <c r="N34" s="11">
        <f t="shared" ref="N34:N98" si="67">+M34-K34</f>
        <v>22421</v>
      </c>
      <c r="O34" s="11" cm="1">
        <f t="array" ref="O34">VLOOKUP(A34,+'TFB-Nov,25'!$B$9:$C$58,2,0)</f>
        <v>46563</v>
      </c>
      <c r="P34" s="11">
        <f t="shared" ref="P34" si="68">+O34-M34</f>
        <v>12225</v>
      </c>
      <c r="Q34" s="11">
        <f>VLOOKUP(A34,'TB -TFL-B-Dec,25'!$B$9:$C$62,2,0)</f>
        <v>51152</v>
      </c>
      <c r="R34" s="11">
        <f t="shared" ref="R34:R98" si="69">+Q34-O34</f>
        <v>4589</v>
      </c>
      <c r="S34" s="11">
        <f>VLOOKUP(A34,'TB-TFL-B-Jan,26'!$B$9:$C$67,2,0)</f>
        <v>51152</v>
      </c>
      <c r="T34" s="11">
        <f t="shared" ref="T34:T98" si="70">+S34-Q34</f>
        <v>0</v>
      </c>
      <c r="U34" s="11">
        <f>VLOOKUP(A34,'TB-Feb,26-B'!$B$9:$C$67,2,0)</f>
        <v>51152</v>
      </c>
      <c r="V34" s="11">
        <f t="shared" ref="V34:V98" si="71">+U34-S34</f>
        <v>0</v>
      </c>
    </row>
    <row r="35" spans="1:158" s="38" customFormat="1" x14ac:dyDescent="0.3">
      <c r="A35" s="20" t="s">
        <v>192</v>
      </c>
      <c r="B35" s="11">
        <f>VLOOKUP(A35,'TFL- B-April,25'!$B$9:$C$64,2,0)+40975</f>
        <v>73178.92</v>
      </c>
      <c r="C35" s="11">
        <f>VLOOKUP(A35,'May-B'!$B$9:$C$39,2,0)</f>
        <v>170665.58</v>
      </c>
      <c r="D35" s="11">
        <f t="shared" si="62"/>
        <v>97486.659999999989</v>
      </c>
      <c r="E35" s="11">
        <f>VLOOKUP(A35,'June,25-B'!$B$9:$C$46,2,0)</f>
        <v>259554</v>
      </c>
      <c r="F35" s="11">
        <f t="shared" si="63"/>
        <v>88888.420000000013</v>
      </c>
      <c r="G35" s="11">
        <f>VLOOKUP(A35,'July-B'!$B$9:$C$51,2,0)</f>
        <v>400539.68</v>
      </c>
      <c r="H35" s="11">
        <f t="shared" si="64"/>
        <v>140985.68</v>
      </c>
      <c r="I35" s="11">
        <f>VLOOKUP(A35,'TB-B-Aug'!$B$1:$C$53,2,0)</f>
        <v>452689.68</v>
      </c>
      <c r="J35" s="11">
        <f t="shared" si="65"/>
        <v>52150</v>
      </c>
      <c r="K35" s="11">
        <f>VLOOKUP(A35,'TFB-Sept,25'!$B$9:$C$54,2,0)+7822</f>
        <v>478682.28</v>
      </c>
      <c r="L35" s="11">
        <f t="shared" si="66"/>
        <v>25992.600000000035</v>
      </c>
      <c r="M35" s="11">
        <f>VLOOKUP(A35,'PL-TFB-Oct'!$B$9:$C$57,2,0)+38480</f>
        <v>509340.28</v>
      </c>
      <c r="N35" s="11">
        <f t="shared" si="67"/>
        <v>30658</v>
      </c>
      <c r="O35" s="11" cm="1">
        <f t="array" ref="O35">VLOOKUP(A35,+'TFB-Nov,25'!$B$9:$C$58,2,0)</f>
        <v>631653.67000000004</v>
      </c>
      <c r="P35" s="11">
        <f t="shared" ref="P35" si="72">+O35-M35</f>
        <v>122313.39000000001</v>
      </c>
      <c r="Q35" s="11">
        <f>VLOOKUP(A35,'TB -TFL-B-Dec,25'!$B$9:$C$62,2,0)</f>
        <v>882569.46</v>
      </c>
      <c r="R35" s="11">
        <f t="shared" si="69"/>
        <v>250915.78999999992</v>
      </c>
      <c r="S35" s="11">
        <f>VLOOKUP(A35,'TB-TFL-B-Jan,26'!$B$9:$C$67,2,0)+9600-1670</f>
        <v>923959.56</v>
      </c>
      <c r="T35" s="11">
        <f t="shared" si="70"/>
        <v>41390.100000000093</v>
      </c>
      <c r="U35" s="11">
        <f>VLOOKUP(A35,'TB-Feb,26-B'!$B$9:$C$67,2,0)</f>
        <v>1103395.05</v>
      </c>
      <c r="V35" s="11">
        <f t="shared" si="71"/>
        <v>179435.49</v>
      </c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</row>
    <row r="36" spans="1:158" x14ac:dyDescent="0.3">
      <c r="A36" s="10" t="s">
        <v>46</v>
      </c>
      <c r="B36" s="11">
        <v>146247</v>
      </c>
      <c r="C36" s="11">
        <f>VLOOKUP(A36,'May-B'!$B$9:$C$39,2,0)+154281</f>
        <v>300528</v>
      </c>
      <c r="D36" s="11">
        <f t="shared" si="62"/>
        <v>154281</v>
      </c>
      <c r="E36" s="11">
        <f>VLOOKUP(A36,'June,25-B'!$B$9:$C$46,2,0)+150000</f>
        <v>450528</v>
      </c>
      <c r="F36" s="11">
        <f t="shared" si="63"/>
        <v>150000</v>
      </c>
      <c r="G36" s="11">
        <f>VLOOKUP(A36,'July-B'!$B$9:$C$51,2,0)+185682</f>
        <v>668010</v>
      </c>
      <c r="H36" s="11">
        <f t="shared" si="64"/>
        <v>217482</v>
      </c>
      <c r="I36" s="11">
        <f>VLOOKUP(A36,'TB-B-Aug'!$B$1:$C$53,2,0)+185000</f>
        <v>853010</v>
      </c>
      <c r="J36" s="11">
        <f t="shared" si="65"/>
        <v>185000</v>
      </c>
      <c r="K36" s="11">
        <f>VLOOKUP(A36,'TFB-Sept,25'!$B$9:$C$54,2,0)+150000</f>
        <v>985942</v>
      </c>
      <c r="L36" s="11">
        <f t="shared" si="66"/>
        <v>132932</v>
      </c>
      <c r="M36" s="11">
        <f>VLOOKUP(A36,'PL-TFB-Oct'!$B$9:$C$57,2,0)</f>
        <v>1135660</v>
      </c>
      <c r="N36" s="11">
        <f t="shared" si="67"/>
        <v>149718</v>
      </c>
      <c r="O36" s="11" cm="1">
        <f t="array" ref="O36">VLOOKUP(A36,+'TFB-Nov,25'!$B$9:$C$58,2,0)+88091+88605+21001</f>
        <v>1333357</v>
      </c>
      <c r="P36" s="11">
        <f t="shared" ref="P36" si="73">+O36-M36</f>
        <v>197697</v>
      </c>
      <c r="Q36" s="11">
        <f>VLOOKUP(A36,'TB -TFL-B-Dec,25'!$B$9:$C$62,2,0)</f>
        <v>1480619</v>
      </c>
      <c r="R36" s="11">
        <f t="shared" si="69"/>
        <v>147262</v>
      </c>
      <c r="S36" s="11">
        <f>VLOOKUP(A36,'TB-TFL-B-Jan,26'!$B$9:$C$67,2,0)</f>
        <v>1672586</v>
      </c>
      <c r="T36" s="11">
        <f t="shared" si="70"/>
        <v>191967</v>
      </c>
      <c r="U36" s="11">
        <f>VLOOKUP(A36,'TB-Feb,26-B'!$B$9:$C$67,2,0)+179597</f>
        <v>1852183</v>
      </c>
      <c r="V36" s="11">
        <f t="shared" si="71"/>
        <v>179597</v>
      </c>
    </row>
    <row r="37" spans="1:158" x14ac:dyDescent="0.3">
      <c r="A37" s="78" t="s">
        <v>48</v>
      </c>
      <c r="B37" s="11"/>
      <c r="C37" s="11">
        <f>VLOOKUP(A37,'May-B'!$B$9:$C$39,2,0)</f>
        <v>6700</v>
      </c>
      <c r="D37" s="11">
        <f t="shared" si="62"/>
        <v>6700</v>
      </c>
      <c r="E37" s="11">
        <f>VLOOKUP(A37,'June,25-B'!$B$9:$C$46,2,0)</f>
        <v>6700</v>
      </c>
      <c r="F37" s="11">
        <f t="shared" si="63"/>
        <v>0</v>
      </c>
      <c r="G37" s="11">
        <f>VLOOKUP(A37,'July-B'!$B$9:$C$51,2,0)</f>
        <v>6700</v>
      </c>
      <c r="H37" s="11">
        <f t="shared" si="64"/>
        <v>0</v>
      </c>
      <c r="I37" s="11">
        <f>VLOOKUP(A37,'TB-B-Aug'!$B$1:$C$53,2,0)</f>
        <v>6700</v>
      </c>
      <c r="J37" s="11">
        <f t="shared" si="65"/>
        <v>0</v>
      </c>
      <c r="K37" s="11">
        <f>VLOOKUP(A37,'TFB-Sept,25'!$B$9:$C$54,2,0)</f>
        <v>6700</v>
      </c>
      <c r="L37" s="11">
        <f t="shared" si="66"/>
        <v>0</v>
      </c>
      <c r="M37" s="11">
        <f>VLOOKUP(A37,'PL-TFB-Oct'!$B$9:$C$57,2,0)</f>
        <v>6700</v>
      </c>
      <c r="N37" s="11">
        <f t="shared" si="67"/>
        <v>0</v>
      </c>
      <c r="O37" s="11" cm="1">
        <f t="array" ref="O37">VLOOKUP(A37,+'TFB-Nov,25'!$B$9:$C$58,2,0)</f>
        <v>6700</v>
      </c>
      <c r="P37" s="11">
        <f t="shared" ref="P37" si="74">+O37-M37</f>
        <v>0</v>
      </c>
      <c r="Q37" s="11">
        <f>VLOOKUP(A37,'TB -TFL-B-Dec,25'!$B$9:$C$62,2,0)+1670</f>
        <v>8370</v>
      </c>
      <c r="R37" s="11">
        <f t="shared" si="69"/>
        <v>1670</v>
      </c>
      <c r="S37" s="11">
        <f>VLOOKUP(A37,'TB-TFL-B-Jan,26'!$B$9:$C$67,2,0)+1670</f>
        <v>8370</v>
      </c>
      <c r="T37" s="11">
        <f t="shared" si="70"/>
        <v>0</v>
      </c>
      <c r="U37" s="11">
        <f>VLOOKUP(A37,'TB-Feb,26-B'!$B$9:$C$67,2,0)</f>
        <v>13450</v>
      </c>
      <c r="V37" s="11">
        <f t="shared" si="71"/>
        <v>5080</v>
      </c>
    </row>
    <row r="38" spans="1:158" x14ac:dyDescent="0.3">
      <c r="A38" t="s">
        <v>200</v>
      </c>
      <c r="B38" s="11">
        <f>VLOOKUP(A38,'TFL- B-April,25'!$B$9:$C$64,2,0)</f>
        <v>18120</v>
      </c>
      <c r="C38" s="11">
        <f>VLOOKUP(A38,'May-B'!$B$9:$C$39,2,0)</f>
        <v>18120</v>
      </c>
      <c r="D38" s="11">
        <f t="shared" si="62"/>
        <v>0</v>
      </c>
      <c r="E38" s="11">
        <f>VLOOKUP(A38,'June,25-B'!$B$9:$C$46,2,0)</f>
        <v>96043.72</v>
      </c>
      <c r="F38" s="11">
        <f t="shared" si="63"/>
        <v>77923.72</v>
      </c>
      <c r="G38" s="11">
        <f>VLOOKUP(A38,'July-B'!$B$9:$C$51,2,0)</f>
        <v>96043.72</v>
      </c>
      <c r="H38" s="11">
        <f t="shared" si="64"/>
        <v>0</v>
      </c>
      <c r="I38" s="11">
        <f>VLOOKUP(A38,'TB-B-Aug'!$B$1:$C$53,2,0)</f>
        <v>96043.72</v>
      </c>
      <c r="J38" s="11">
        <f t="shared" si="65"/>
        <v>0</v>
      </c>
      <c r="K38" s="11">
        <f>VLOOKUP(A38,'TFB-Sept,25'!$B$9:$C$54,2,0)</f>
        <v>96043.72</v>
      </c>
      <c r="L38" s="11">
        <f t="shared" si="66"/>
        <v>0</v>
      </c>
      <c r="M38" s="11">
        <f>VLOOKUP(A38,'PL-TFB-Oct'!$B$9:$C$57,2,0)</f>
        <v>96043.72</v>
      </c>
      <c r="N38" s="11">
        <f t="shared" si="67"/>
        <v>0</v>
      </c>
      <c r="O38" s="11" cm="1">
        <f t="array" ref="O38">VLOOKUP(A38,+'TFB-Nov,25'!$B$9:$C$58,2,0)</f>
        <v>107043.72</v>
      </c>
      <c r="P38" s="11">
        <f t="shared" ref="P38" si="75">+O38-M38</f>
        <v>11000</v>
      </c>
      <c r="Q38" s="11">
        <f>VLOOKUP(A38,'TB -TFL-B-Dec,25'!$B$9:$C$62,2,0)</f>
        <v>107043.72</v>
      </c>
      <c r="R38" s="11">
        <f t="shared" si="69"/>
        <v>0</v>
      </c>
      <c r="S38" s="11">
        <f>VLOOKUP(A38,'TB-TFL-B-Jan,26'!$B$9:$C$67,2,0)+1670</f>
        <v>114384.12</v>
      </c>
      <c r="T38" s="11">
        <f t="shared" si="70"/>
        <v>7340.3999999999942</v>
      </c>
      <c r="U38" s="11">
        <f>VLOOKUP(A38,'TB-Feb,26-B'!$B$9:$C$67,2,0)</f>
        <v>556145.76</v>
      </c>
      <c r="V38" s="11">
        <f t="shared" si="71"/>
        <v>441761.64</v>
      </c>
    </row>
    <row r="39" spans="1:158" x14ac:dyDescent="0.3">
      <c r="A39" s="10" t="s">
        <v>201</v>
      </c>
      <c r="B39" s="11"/>
      <c r="C39" s="11"/>
      <c r="D39" s="11"/>
      <c r="E39" s="11"/>
      <c r="F39" s="11"/>
      <c r="G39" s="11"/>
      <c r="H39" s="11">
        <f t="shared" si="64"/>
        <v>0</v>
      </c>
      <c r="I39" s="11"/>
      <c r="J39" s="11">
        <f t="shared" si="65"/>
        <v>0</v>
      </c>
      <c r="K39" s="11"/>
      <c r="L39" s="11">
        <f t="shared" si="66"/>
        <v>0</v>
      </c>
      <c r="M39" s="11"/>
      <c r="N39" s="11">
        <f t="shared" si="67"/>
        <v>0</v>
      </c>
      <c r="O39" s="11"/>
      <c r="P39" s="11">
        <f t="shared" ref="P39" si="76">+O39-M39</f>
        <v>0</v>
      </c>
      <c r="Q39" s="11"/>
      <c r="R39" s="11">
        <f t="shared" si="69"/>
        <v>0</v>
      </c>
      <c r="S39" s="11"/>
      <c r="T39" s="11">
        <f t="shared" si="70"/>
        <v>0</v>
      </c>
      <c r="U39" s="11"/>
      <c r="V39" s="11">
        <f t="shared" si="71"/>
        <v>0</v>
      </c>
    </row>
    <row r="40" spans="1:158" x14ac:dyDescent="0.3">
      <c r="A40" s="10" t="s">
        <v>60</v>
      </c>
      <c r="B40" s="11"/>
      <c r="C40" s="11"/>
      <c r="D40" s="16">
        <f t="shared" si="58"/>
        <v>0</v>
      </c>
      <c r="E40" s="11"/>
      <c r="F40" s="16">
        <f t="shared" si="59"/>
        <v>0</v>
      </c>
      <c r="G40" s="11"/>
      <c r="H40" s="11">
        <f t="shared" si="64"/>
        <v>0</v>
      </c>
      <c r="I40" s="11"/>
      <c r="J40" s="11">
        <f t="shared" si="65"/>
        <v>0</v>
      </c>
      <c r="K40" s="11"/>
      <c r="L40" s="11">
        <f t="shared" si="66"/>
        <v>0</v>
      </c>
      <c r="M40" s="11"/>
      <c r="N40" s="11">
        <f t="shared" si="67"/>
        <v>0</v>
      </c>
      <c r="O40" s="11"/>
      <c r="P40" s="11">
        <f t="shared" ref="P40" si="77">+O40-M40</f>
        <v>0</v>
      </c>
      <c r="Q40" s="11"/>
      <c r="R40" s="11">
        <f t="shared" si="69"/>
        <v>0</v>
      </c>
      <c r="S40" s="11"/>
      <c r="T40" s="11">
        <f t="shared" si="70"/>
        <v>0</v>
      </c>
      <c r="U40" s="11"/>
      <c r="V40" s="11">
        <f t="shared" si="71"/>
        <v>0</v>
      </c>
    </row>
    <row r="41" spans="1:158" x14ac:dyDescent="0.3">
      <c r="A41" s="10" t="s">
        <v>203</v>
      </c>
      <c r="B41" s="11"/>
      <c r="C41" s="11"/>
      <c r="D41" s="16">
        <f t="shared" si="58"/>
        <v>0</v>
      </c>
      <c r="E41" s="11"/>
      <c r="F41" s="16">
        <f t="shared" si="59"/>
        <v>0</v>
      </c>
      <c r="G41" s="11"/>
      <c r="H41" s="11">
        <f t="shared" si="64"/>
        <v>0</v>
      </c>
      <c r="I41" s="11"/>
      <c r="J41" s="11">
        <f t="shared" si="65"/>
        <v>0</v>
      </c>
      <c r="K41" s="11"/>
      <c r="L41" s="11">
        <f t="shared" si="66"/>
        <v>0</v>
      </c>
      <c r="M41" s="11"/>
      <c r="N41" s="11">
        <f t="shared" si="67"/>
        <v>0</v>
      </c>
      <c r="O41" s="11"/>
      <c r="P41" s="11">
        <f t="shared" ref="P41" si="78">+O41-M41</f>
        <v>0</v>
      </c>
      <c r="Q41" s="11"/>
      <c r="R41" s="11">
        <f t="shared" si="69"/>
        <v>0</v>
      </c>
      <c r="S41" s="11"/>
      <c r="T41" s="11">
        <f t="shared" si="70"/>
        <v>0</v>
      </c>
      <c r="U41" s="11"/>
      <c r="V41" s="11">
        <f t="shared" si="71"/>
        <v>0</v>
      </c>
    </row>
    <row r="42" spans="1:158" x14ac:dyDescent="0.3">
      <c r="A42" s="10" t="s">
        <v>204</v>
      </c>
      <c r="B42" s="11"/>
      <c r="C42" s="11"/>
      <c r="D42" s="16">
        <f t="shared" si="58"/>
        <v>0</v>
      </c>
      <c r="E42" s="11"/>
      <c r="F42" s="16">
        <f t="shared" si="59"/>
        <v>0</v>
      </c>
      <c r="G42" s="11"/>
      <c r="H42" s="11">
        <f t="shared" si="64"/>
        <v>0</v>
      </c>
      <c r="I42" s="11"/>
      <c r="J42" s="11">
        <f t="shared" si="65"/>
        <v>0</v>
      </c>
      <c r="K42" s="11"/>
      <c r="L42" s="11">
        <f t="shared" si="66"/>
        <v>0</v>
      </c>
      <c r="M42" s="11"/>
      <c r="N42" s="11">
        <f t="shared" si="67"/>
        <v>0</v>
      </c>
      <c r="O42" s="11"/>
      <c r="P42" s="11">
        <f t="shared" ref="P42" si="79">+O42-M42</f>
        <v>0</v>
      </c>
      <c r="Q42" s="11"/>
      <c r="R42" s="11">
        <f t="shared" si="69"/>
        <v>0</v>
      </c>
      <c r="S42" s="11"/>
      <c r="T42" s="11">
        <f t="shared" si="70"/>
        <v>0</v>
      </c>
      <c r="U42" s="11"/>
      <c r="V42" s="11">
        <f t="shared" si="71"/>
        <v>0</v>
      </c>
    </row>
    <row r="43" spans="1:158" x14ac:dyDescent="0.3">
      <c r="A43" s="10" t="s">
        <v>96</v>
      </c>
      <c r="B43" s="11"/>
      <c r="C43" s="11"/>
      <c r="D43" s="16">
        <f t="shared" si="58"/>
        <v>0</v>
      </c>
      <c r="E43" s="11"/>
      <c r="F43" s="16">
        <f t="shared" si="59"/>
        <v>0</v>
      </c>
      <c r="G43" s="11"/>
      <c r="H43" s="11">
        <f t="shared" si="64"/>
        <v>0</v>
      </c>
      <c r="I43" s="11"/>
      <c r="J43" s="11">
        <f t="shared" si="65"/>
        <v>0</v>
      </c>
      <c r="K43" s="11"/>
      <c r="L43" s="11">
        <f t="shared" si="66"/>
        <v>0</v>
      </c>
      <c r="M43" s="11"/>
      <c r="N43" s="11">
        <f t="shared" si="67"/>
        <v>0</v>
      </c>
      <c r="O43" s="11"/>
      <c r="P43" s="11">
        <f t="shared" ref="P43" si="80">+O43-M43</f>
        <v>0</v>
      </c>
      <c r="Q43" s="11"/>
      <c r="R43" s="11">
        <f t="shared" si="69"/>
        <v>0</v>
      </c>
      <c r="S43" s="11"/>
      <c r="T43" s="11">
        <f t="shared" si="70"/>
        <v>0</v>
      </c>
      <c r="U43" s="11"/>
      <c r="V43" s="11">
        <f t="shared" si="71"/>
        <v>0</v>
      </c>
    </row>
    <row r="44" spans="1:158" x14ac:dyDescent="0.3">
      <c r="A44" s="10" t="s">
        <v>67</v>
      </c>
      <c r="B44" s="11"/>
      <c r="C44" s="11"/>
      <c r="D44" s="16">
        <f t="shared" si="58"/>
        <v>0</v>
      </c>
      <c r="E44" s="11">
        <f>VLOOKUP(A44,'June,25-B'!$B$9:$C$46,2,0)</f>
        <v>12117</v>
      </c>
      <c r="F44" s="11">
        <f t="shared" ref="F44:F59" si="81">+E44-C44</f>
        <v>12117</v>
      </c>
      <c r="G44" s="11">
        <f>VLOOKUP(A44,'July-B'!$B$9:$C$51,2,0)</f>
        <v>12117</v>
      </c>
      <c r="H44" s="11">
        <f t="shared" si="64"/>
        <v>0</v>
      </c>
      <c r="I44" s="11">
        <f>VLOOKUP(A44,'TB-B-Aug'!$B$1:$C$53,2,0)</f>
        <v>12117</v>
      </c>
      <c r="J44" s="11">
        <f t="shared" si="65"/>
        <v>0</v>
      </c>
      <c r="K44" s="11">
        <f>VLOOKUP(A44,'TFB-Sept,25'!$B$9:$C$54,2,0)</f>
        <v>12117</v>
      </c>
      <c r="L44" s="11">
        <f t="shared" si="66"/>
        <v>0</v>
      </c>
      <c r="M44" s="11">
        <f>VLOOKUP(A44,'PL-TFB-Oct'!$B$9:$C$57,2,0)</f>
        <v>12117</v>
      </c>
      <c r="N44" s="11">
        <f t="shared" si="67"/>
        <v>0</v>
      </c>
      <c r="O44" s="11" cm="1">
        <f t="array" ref="O44">VLOOKUP(A44,+'TFB-Nov,25'!$B$9:$C$58,2,0)</f>
        <v>12117</v>
      </c>
      <c r="P44" s="11">
        <f t="shared" ref="P44" si="82">+O44-M44</f>
        <v>0</v>
      </c>
      <c r="Q44" s="11">
        <f>VLOOKUP(A44,'TB -TFL-B-Dec,25'!$B$9:$C$62,2,0)</f>
        <v>12117</v>
      </c>
      <c r="R44" s="11">
        <f t="shared" si="69"/>
        <v>0</v>
      </c>
      <c r="S44" s="11">
        <f>VLOOKUP(A44,'TB-TFL-B-Jan,26'!$B$9:$C$67,2,0)</f>
        <v>12117</v>
      </c>
      <c r="T44" s="11">
        <f t="shared" si="70"/>
        <v>0</v>
      </c>
      <c r="U44" s="11">
        <f>VLOOKUP(A44,'TB-Feb,26-B'!$B$9:$C$67,2,0)</f>
        <v>12117</v>
      </c>
      <c r="V44" s="11">
        <f t="shared" si="71"/>
        <v>0</v>
      </c>
    </row>
    <row r="45" spans="1:158" x14ac:dyDescent="0.3">
      <c r="A45" s="10" t="s">
        <v>102</v>
      </c>
      <c r="B45" s="11"/>
      <c r="C45" s="11"/>
      <c r="D45" s="16">
        <f t="shared" si="58"/>
        <v>0</v>
      </c>
      <c r="E45" s="11"/>
      <c r="F45" s="11">
        <f t="shared" si="81"/>
        <v>0</v>
      </c>
      <c r="G45" s="11"/>
      <c r="H45" s="11">
        <f t="shared" si="64"/>
        <v>0</v>
      </c>
      <c r="I45" s="11"/>
      <c r="J45" s="11">
        <f t="shared" si="65"/>
        <v>0</v>
      </c>
      <c r="K45" s="11"/>
      <c r="L45" s="11">
        <f t="shared" si="66"/>
        <v>0</v>
      </c>
      <c r="M45" s="11"/>
      <c r="N45" s="11">
        <f t="shared" si="67"/>
        <v>0</v>
      </c>
      <c r="O45" s="11"/>
      <c r="P45" s="11">
        <f t="shared" ref="P45" si="83">+O45-M45</f>
        <v>0</v>
      </c>
      <c r="Q45" s="11"/>
      <c r="R45" s="11">
        <f t="shared" si="69"/>
        <v>0</v>
      </c>
      <c r="S45" s="11"/>
      <c r="T45" s="11">
        <f t="shared" si="70"/>
        <v>0</v>
      </c>
      <c r="U45" s="11"/>
      <c r="V45" s="11">
        <f t="shared" si="71"/>
        <v>0</v>
      </c>
    </row>
    <row r="46" spans="1:158" x14ac:dyDescent="0.3">
      <c r="A46" s="10" t="s">
        <v>54</v>
      </c>
      <c r="B46" s="11">
        <f>VLOOKUP(A46,'TFL- B-April,25'!$B$9:$C$64,2,0)</f>
        <v>18532</v>
      </c>
      <c r="C46" s="11">
        <f>VLOOKUP(A46,'May-B'!$B$9:$C$39,2,0)</f>
        <v>18752</v>
      </c>
      <c r="D46" s="16">
        <f t="shared" si="58"/>
        <v>220</v>
      </c>
      <c r="E46" s="11">
        <f>VLOOKUP(A46,'June,25-B'!$B$9:$C$46,2,0)</f>
        <v>19652</v>
      </c>
      <c r="F46" s="11">
        <f t="shared" si="81"/>
        <v>900</v>
      </c>
      <c r="G46" s="11">
        <f>VLOOKUP(A46,'July-B'!$B$9:$C$51,2,0)</f>
        <v>25582</v>
      </c>
      <c r="H46" s="11">
        <f t="shared" si="64"/>
        <v>5930</v>
      </c>
      <c r="I46" s="11">
        <f>VLOOKUP(A46,'TB-B-Aug'!$B$1:$C$53,2,0)</f>
        <v>30372</v>
      </c>
      <c r="J46" s="11">
        <f t="shared" si="65"/>
        <v>4790</v>
      </c>
      <c r="K46" s="11">
        <f>VLOOKUP(A46,'TFB-Sept,25'!$B$9:$C$54,2,0)</f>
        <v>46777.86</v>
      </c>
      <c r="L46" s="11">
        <f t="shared" si="66"/>
        <v>16405.86</v>
      </c>
      <c r="M46" s="11">
        <f>VLOOKUP(A46,'PL-TFB-Oct'!$B$9:$C$57,2,0)+7403</f>
        <v>55490.86</v>
      </c>
      <c r="N46" s="11">
        <f t="shared" si="67"/>
        <v>8713</v>
      </c>
      <c r="O46" s="11" cm="1">
        <f t="array" ref="O46">VLOOKUP(A46,+'TFB-Nov,25'!$B$9:$C$58,2,0)</f>
        <v>57750.26</v>
      </c>
      <c r="P46" s="11">
        <f t="shared" ref="P46" si="84">+O46-M46</f>
        <v>2259.4000000000015</v>
      </c>
      <c r="Q46" s="11">
        <f>VLOOKUP(A46,'TB -TFL-B-Dec,25'!$B$9:$C$62,2,0)</f>
        <v>86767.88</v>
      </c>
      <c r="R46" s="11">
        <f t="shared" si="69"/>
        <v>29017.620000000003</v>
      </c>
      <c r="S46" s="11">
        <f>VLOOKUP(A46,'TB-TFL-B-Jan,26'!$B$9:$C$67,2,0)+9375</f>
        <v>109399.62</v>
      </c>
      <c r="T46" s="11">
        <f t="shared" si="70"/>
        <v>22631.739999999991</v>
      </c>
      <c r="U46" s="11">
        <f>VLOOKUP(A46,'TB-Feb,26-B'!$B$9:$C$67,2,0)</f>
        <v>133744.01999999999</v>
      </c>
      <c r="V46" s="11">
        <f t="shared" si="71"/>
        <v>24344.399999999994</v>
      </c>
    </row>
    <row r="47" spans="1:158" x14ac:dyDescent="0.3">
      <c r="A47" s="10" t="s">
        <v>205</v>
      </c>
      <c r="B47" s="11">
        <f>VLOOKUP(A47,'TFL- B-April,25'!$B$9:$C$64,2,0)</f>
        <v>3742</v>
      </c>
      <c r="C47" s="11">
        <f>VLOOKUP(A47,'May-B'!$B$9:$C$39,2,0)</f>
        <v>14977</v>
      </c>
      <c r="D47" s="16">
        <f t="shared" si="58"/>
        <v>11235</v>
      </c>
      <c r="E47" s="11">
        <f>VLOOKUP(A47,'June,25-B'!$B$9:$C$46,2,0)</f>
        <v>14977</v>
      </c>
      <c r="F47" s="11">
        <f t="shared" si="81"/>
        <v>0</v>
      </c>
      <c r="G47" s="11">
        <f>VLOOKUP(A47,'July-B'!$B$9:$C$51,2,0)</f>
        <v>20177</v>
      </c>
      <c r="H47" s="11">
        <f t="shared" si="64"/>
        <v>5200</v>
      </c>
      <c r="I47" s="11">
        <f>VLOOKUP(A47,'TB-B-Aug'!$B$1:$C$53,2,0)</f>
        <v>22277</v>
      </c>
      <c r="J47" s="11">
        <f t="shared" si="65"/>
        <v>2100</v>
      </c>
      <c r="K47" s="11">
        <f>VLOOKUP(A47,'TFB-Sept,25'!$B$9:$C$54,2,0)</f>
        <v>22277</v>
      </c>
      <c r="L47" s="11">
        <f t="shared" si="66"/>
        <v>0</v>
      </c>
      <c r="M47" s="11">
        <f>VLOOKUP(A47,'PL-TFB-Oct'!$B$9:$C$57,2,0)</f>
        <v>29717</v>
      </c>
      <c r="N47" s="11">
        <f t="shared" si="67"/>
        <v>7440</v>
      </c>
      <c r="O47" s="11" cm="1">
        <f t="array" ref="O47">VLOOKUP(A47,+'TFB-Nov,25'!$B$9:$C$58,2,0)</f>
        <v>30917</v>
      </c>
      <c r="P47" s="11">
        <f t="shared" ref="P47" si="85">+O47-M47</f>
        <v>1200</v>
      </c>
      <c r="Q47" s="11">
        <f>VLOOKUP(A47,'TB -TFL-B-Dec,25'!$B$9:$C$62,2,0)</f>
        <v>30917</v>
      </c>
      <c r="R47" s="11">
        <f t="shared" si="69"/>
        <v>0</v>
      </c>
      <c r="S47" s="11">
        <f>VLOOKUP(A47,'TB-TFL-B-Jan,26'!$B$9:$C$67,2,0)</f>
        <v>30917</v>
      </c>
      <c r="T47" s="11">
        <f t="shared" si="70"/>
        <v>0</v>
      </c>
      <c r="U47" s="11">
        <f>VLOOKUP(A47,'TB-Feb,26-B'!$B$9:$C$67,2,0)</f>
        <v>33667</v>
      </c>
      <c r="V47" s="11">
        <f t="shared" si="71"/>
        <v>2750</v>
      </c>
    </row>
    <row r="48" spans="1:158" x14ac:dyDescent="0.3">
      <c r="A48" s="10" t="s">
        <v>95</v>
      </c>
      <c r="B48" s="11">
        <f>VLOOKUP(A48,'TFL- B-April,25'!$B$9:$C$64,2,0)</f>
        <v>3500</v>
      </c>
      <c r="C48" s="11">
        <f>VLOOKUP(A48,'May-B'!$B$9:$C$39,2,0)</f>
        <v>3500</v>
      </c>
      <c r="D48" s="16">
        <f t="shared" si="58"/>
        <v>0</v>
      </c>
      <c r="E48" s="11">
        <f>VLOOKUP(A48,'June,25-B'!$B$9:$C$46,2,0)</f>
        <v>3500</v>
      </c>
      <c r="F48" s="11">
        <f t="shared" si="81"/>
        <v>0</v>
      </c>
      <c r="G48" s="11">
        <f>VLOOKUP(A48,'July-B'!$B$9:$C$51,2,0)</f>
        <v>40582</v>
      </c>
      <c r="H48" s="11">
        <f t="shared" si="64"/>
        <v>37082</v>
      </c>
      <c r="I48" s="11">
        <f>VLOOKUP(A48,'TB-B-Aug'!$B$1:$C$53,2,0)</f>
        <v>43696</v>
      </c>
      <c r="J48" s="11">
        <f t="shared" si="65"/>
        <v>3114</v>
      </c>
      <c r="K48" s="11">
        <f>VLOOKUP(A48,'TFB-Sept,25'!$B$9:$C$54,2,0)</f>
        <v>43696</v>
      </c>
      <c r="L48" s="11">
        <f t="shared" si="66"/>
        <v>0</v>
      </c>
      <c r="M48" s="11">
        <f>VLOOKUP(A48,'PL-TFB-Oct'!$B$9:$C$57,2,0)</f>
        <v>71564</v>
      </c>
      <c r="N48" s="11">
        <f t="shared" si="67"/>
        <v>27868</v>
      </c>
      <c r="O48" s="11" cm="1">
        <f t="array" ref="O48">VLOOKUP(A48,+'TFB-Nov,25'!$B$9:$C$58,2,0)</f>
        <v>73064</v>
      </c>
      <c r="P48" s="11">
        <f t="shared" ref="P48" si="86">+O48-M48</f>
        <v>1500</v>
      </c>
      <c r="Q48" s="11">
        <f>VLOOKUP(A48,'TB -TFL-B-Dec,25'!$B$9:$C$62,2,0)</f>
        <v>78120</v>
      </c>
      <c r="R48" s="11">
        <f t="shared" si="69"/>
        <v>5056</v>
      </c>
      <c r="S48" s="11">
        <f>VLOOKUP(A48,'TB-TFL-B-Jan,26'!$B$9:$C$67,2,0)</f>
        <v>83860</v>
      </c>
      <c r="T48" s="11">
        <f t="shared" si="70"/>
        <v>5740</v>
      </c>
      <c r="U48" s="11">
        <f>VLOOKUP(A48,'TB-Feb,26-B'!$B$9:$C$67,2,0)</f>
        <v>93457</v>
      </c>
      <c r="V48" s="11">
        <f t="shared" si="71"/>
        <v>9597</v>
      </c>
    </row>
    <row r="49" spans="1:22" x14ac:dyDescent="0.3">
      <c r="A49" s="10" t="s">
        <v>206</v>
      </c>
      <c r="B49" s="11"/>
      <c r="C49" s="11"/>
      <c r="D49" s="16">
        <f t="shared" si="58"/>
        <v>0</v>
      </c>
      <c r="E49" s="11"/>
      <c r="F49" s="11">
        <f t="shared" si="81"/>
        <v>0</v>
      </c>
      <c r="G49" s="11">
        <f>VLOOKUP(A49,'July-B'!$B$9:$C$51,2,0)</f>
        <v>263</v>
      </c>
      <c r="H49" s="11">
        <f t="shared" si="64"/>
        <v>263</v>
      </c>
      <c r="I49" s="11">
        <f>VLOOKUP(A49,'TB-B-Aug'!$B$1:$C$53,2,0)</f>
        <v>263</v>
      </c>
      <c r="J49" s="11">
        <f t="shared" si="65"/>
        <v>0</v>
      </c>
      <c r="K49" s="11">
        <f>VLOOKUP(A49,'TFB-Sept,25'!$B$9:$C$54,2,0)</f>
        <v>263</v>
      </c>
      <c r="L49" s="11">
        <f t="shared" si="66"/>
        <v>0</v>
      </c>
      <c r="M49" s="11">
        <f>VLOOKUP(A49,'PL-TFB-Oct'!$B$9:$C$57,2,0)</f>
        <v>445</v>
      </c>
      <c r="N49" s="11">
        <f t="shared" si="67"/>
        <v>182</v>
      </c>
      <c r="O49" s="11" cm="1">
        <f t="array" ref="O49">VLOOKUP(A49,+'TFB-Nov,25'!$B$9:$C$58,2,0)</f>
        <v>445</v>
      </c>
      <c r="P49" s="11">
        <f t="shared" ref="P49" si="87">+O49-M49</f>
        <v>0</v>
      </c>
      <c r="Q49" s="11">
        <f>VLOOKUP(A49,'TB -TFL-B-Dec,25'!$B$9:$C$62,2,0)</f>
        <v>445</v>
      </c>
      <c r="R49" s="11">
        <f t="shared" si="69"/>
        <v>0</v>
      </c>
      <c r="S49" s="11">
        <f>VLOOKUP(A49,'TB-TFL-B-Jan,26'!$B$9:$C$67,2,0)</f>
        <v>445</v>
      </c>
      <c r="T49" s="11">
        <f t="shared" si="70"/>
        <v>0</v>
      </c>
      <c r="U49" s="11">
        <f>VLOOKUP(A49,'TB-Feb,26-B'!$B$9:$C$67,2,0)</f>
        <v>445</v>
      </c>
      <c r="V49" s="11">
        <f t="shared" si="71"/>
        <v>0</v>
      </c>
    </row>
    <row r="50" spans="1:22" x14ac:dyDescent="0.3">
      <c r="A50" s="10" t="s">
        <v>207</v>
      </c>
      <c r="B50" s="11">
        <f>VLOOKUP(A50,'TFL- B-April,25'!$B$9:$C$64,2,0)</f>
        <v>5185</v>
      </c>
      <c r="C50" s="11">
        <f>VLOOKUP(A50,'May-B'!$B$9:$C$39,2,0)</f>
        <v>12775</v>
      </c>
      <c r="D50" s="16">
        <f t="shared" si="58"/>
        <v>7590</v>
      </c>
      <c r="E50" s="11">
        <f>VLOOKUP(A50,'June,25-B'!$B$9:$C$46,2,0)</f>
        <v>12775</v>
      </c>
      <c r="F50" s="11">
        <f t="shared" si="81"/>
        <v>0</v>
      </c>
      <c r="G50" s="11">
        <f>VLOOKUP(A50,'July-B'!$B$9:$C$51,2,0)</f>
        <v>18045</v>
      </c>
      <c r="H50" s="11">
        <f t="shared" si="64"/>
        <v>5270</v>
      </c>
      <c r="I50" s="11">
        <f>VLOOKUP(A50,'TB-B-Aug'!$B$1:$C$53,2,0)+10085</f>
        <v>46810</v>
      </c>
      <c r="J50" s="11">
        <f t="shared" si="65"/>
        <v>28765</v>
      </c>
      <c r="K50" s="11">
        <f>VLOOKUP(A50,'TFB-Sept,25'!$B$9:$C$54,2,0)+10085-7822</f>
        <v>49073</v>
      </c>
      <c r="L50" s="11">
        <f t="shared" si="66"/>
        <v>2263</v>
      </c>
      <c r="M50" s="11">
        <f>VLOOKUP(A50,'PL-TFB-Oct'!$B$9:$C$57,2,0)</f>
        <v>49073</v>
      </c>
      <c r="N50" s="66">
        <f t="shared" si="67"/>
        <v>0</v>
      </c>
      <c r="O50" s="11" cm="1">
        <f t="array" ref="O50">VLOOKUP(A50,+'TFB-Nov,25'!$B$9:$C$58,2,0)</f>
        <v>47810</v>
      </c>
      <c r="P50" s="66">
        <f t="shared" ref="P50" si="88">+O50-M50</f>
        <v>-1263</v>
      </c>
      <c r="Q50" s="11">
        <f>VLOOKUP(A50,'TB -TFL-B-Dec,25'!$B$9:$C$62,2,0)</f>
        <v>71675</v>
      </c>
      <c r="R50" s="11">
        <f t="shared" si="69"/>
        <v>23865</v>
      </c>
      <c r="S50" s="11">
        <f>VLOOKUP(A50,'TB-TFL-B-Jan,26'!$B$9:$C$67,2,0)</f>
        <v>71675</v>
      </c>
      <c r="T50" s="11">
        <f t="shared" si="70"/>
        <v>0</v>
      </c>
      <c r="U50" s="11">
        <f>VLOOKUP(A50,'TB-Feb,26-B'!$B$9:$C$67,2,0)</f>
        <v>89165</v>
      </c>
      <c r="V50" s="11">
        <f t="shared" si="71"/>
        <v>17490</v>
      </c>
    </row>
    <row r="51" spans="1:22" x14ac:dyDescent="0.3">
      <c r="A51" s="10" t="s">
        <v>103</v>
      </c>
      <c r="B51" s="11">
        <f>VLOOKUP(A51,'TFL- B-April,25'!$B$9:$C$64,2,0)</f>
        <v>825</v>
      </c>
      <c r="C51" s="11">
        <f>VLOOKUP(A51,'May-B'!$B$9:$C$39,2,0)</f>
        <v>1650</v>
      </c>
      <c r="D51" s="16">
        <f t="shared" si="58"/>
        <v>825</v>
      </c>
      <c r="E51" s="11">
        <f>VLOOKUP(A51,'June,25-B'!$B$9:$C$46,2,0)</f>
        <v>1650</v>
      </c>
      <c r="F51" s="11">
        <f t="shared" si="81"/>
        <v>0</v>
      </c>
      <c r="G51" s="11">
        <f>VLOOKUP(A51,'July-B'!$B$9:$C$51,2,0)</f>
        <v>2475</v>
      </c>
      <c r="H51" s="11">
        <f t="shared" si="64"/>
        <v>825</v>
      </c>
      <c r="I51" s="11">
        <f>VLOOKUP(A51,'TB-B-Aug'!$B$1:$C$53,2,0)</f>
        <v>4125</v>
      </c>
      <c r="J51" s="11">
        <f t="shared" si="65"/>
        <v>1650</v>
      </c>
      <c r="K51" s="11">
        <f>VLOOKUP(A51,'TFB-Sept,25'!$B$9:$C$54,2,0)</f>
        <v>4125</v>
      </c>
      <c r="L51" s="11">
        <f t="shared" si="66"/>
        <v>0</v>
      </c>
      <c r="M51" s="11">
        <f>VLOOKUP(A51,'PL-TFB-Oct'!$B$9:$C$57,2,0)</f>
        <v>4950</v>
      </c>
      <c r="N51" s="11">
        <f t="shared" si="67"/>
        <v>825</v>
      </c>
      <c r="O51" s="11" cm="1">
        <f t="array" ref="O51">VLOOKUP(A51,+'TFB-Nov,25'!$B$9:$C$58,2,0)</f>
        <v>4950</v>
      </c>
      <c r="P51" s="11">
        <f t="shared" ref="P51" si="89">+O51-M51</f>
        <v>0</v>
      </c>
      <c r="Q51" s="11">
        <f>VLOOKUP(A51,'TB -TFL-B-Dec,25'!$B$9:$C$62,2,0)</f>
        <v>4352</v>
      </c>
      <c r="R51" s="11">
        <f t="shared" si="69"/>
        <v>-598</v>
      </c>
      <c r="S51" s="11">
        <f>VLOOKUP(A51,'TB-TFL-B-Jan,26'!$B$9:$C$67,2,0)</f>
        <v>3754</v>
      </c>
      <c r="T51" s="11">
        <f t="shared" si="70"/>
        <v>-598</v>
      </c>
      <c r="U51" s="11">
        <f>VLOOKUP(A51,'TB-Feb,26-B'!$B$9:$C$67,2,0)</f>
        <v>3156</v>
      </c>
      <c r="V51" s="11">
        <f t="shared" si="71"/>
        <v>-598</v>
      </c>
    </row>
    <row r="52" spans="1:22" x14ac:dyDescent="0.3">
      <c r="A52" t="s">
        <v>208</v>
      </c>
      <c r="B52" s="11"/>
      <c r="C52" s="11"/>
      <c r="D52" s="16">
        <f t="shared" si="58"/>
        <v>0</v>
      </c>
      <c r="E52" s="11"/>
      <c r="F52" s="11">
        <f t="shared" si="81"/>
        <v>0</v>
      </c>
      <c r="G52" s="11"/>
      <c r="H52" s="11">
        <f t="shared" si="64"/>
        <v>0</v>
      </c>
      <c r="I52" s="11"/>
      <c r="J52" s="11">
        <f t="shared" si="65"/>
        <v>0</v>
      </c>
      <c r="K52" s="11"/>
      <c r="L52" s="11">
        <f t="shared" si="66"/>
        <v>0</v>
      </c>
      <c r="M52" s="11"/>
      <c r="N52" s="11">
        <f t="shared" si="67"/>
        <v>0</v>
      </c>
      <c r="O52" s="11"/>
      <c r="P52" s="11">
        <f t="shared" ref="P52" si="90">+O52-M52</f>
        <v>0</v>
      </c>
      <c r="Q52" s="11"/>
      <c r="R52" s="11">
        <f t="shared" si="69"/>
        <v>0</v>
      </c>
      <c r="S52" s="11"/>
      <c r="T52" s="11">
        <f t="shared" si="70"/>
        <v>0</v>
      </c>
      <c r="U52" s="11"/>
      <c r="V52" s="11">
        <f t="shared" si="71"/>
        <v>0</v>
      </c>
    </row>
    <row r="53" spans="1:22" x14ac:dyDescent="0.3">
      <c r="A53" s="10" t="s">
        <v>97</v>
      </c>
      <c r="B53" s="11"/>
      <c r="C53" s="11"/>
      <c r="D53" s="16">
        <f t="shared" si="58"/>
        <v>0</v>
      </c>
      <c r="E53" s="11"/>
      <c r="F53" s="11">
        <f t="shared" si="81"/>
        <v>0</v>
      </c>
      <c r="G53" s="11">
        <f>VLOOKUP(A53,'July-B'!$B$9:$C$51,2,0)</f>
        <v>2820</v>
      </c>
      <c r="H53" s="11">
        <f t="shared" si="64"/>
        <v>2820</v>
      </c>
      <c r="I53" s="11">
        <f>VLOOKUP(A53,'TB-B-Aug'!$B$1:$C$53,2,0)</f>
        <v>21920</v>
      </c>
      <c r="J53" s="11">
        <f t="shared" si="65"/>
        <v>19100</v>
      </c>
      <c r="K53" s="11">
        <f>VLOOKUP(A53,'TFB-Sept,25'!$B$9:$C$54,2,0)</f>
        <v>21920</v>
      </c>
      <c r="L53" s="11">
        <f t="shared" si="66"/>
        <v>0</v>
      </c>
      <c r="M53" s="11">
        <f>VLOOKUP(A53,'PL-TFB-Oct'!$B$9:$C$57,2,0)</f>
        <v>26020</v>
      </c>
      <c r="N53" s="11">
        <f t="shared" si="67"/>
        <v>4100</v>
      </c>
      <c r="O53" s="11" cm="1">
        <f t="array" ref="O53">VLOOKUP(A53,+'TFB-Nov,25'!$B$9:$C$58,2,0)</f>
        <v>37820</v>
      </c>
      <c r="P53" s="11">
        <f t="shared" ref="P53" si="91">+O53-M53</f>
        <v>11800</v>
      </c>
      <c r="Q53" s="11">
        <f>VLOOKUP(A53,'TB -TFL-B-Dec,25'!$B$9:$C$62,2,0)</f>
        <v>38744</v>
      </c>
      <c r="R53" s="11">
        <f t="shared" si="69"/>
        <v>924</v>
      </c>
      <c r="S53" s="11">
        <f>VLOOKUP(A53,'TB-TFL-B-Jan,26'!$B$9:$C$67,2,0)</f>
        <v>38744</v>
      </c>
      <c r="T53" s="11">
        <f t="shared" si="70"/>
        <v>0</v>
      </c>
      <c r="U53" s="11">
        <f>VLOOKUP(A53,'TB-Feb,26-B'!$B$9:$C$67,2,0)</f>
        <v>38744</v>
      </c>
      <c r="V53" s="11">
        <f t="shared" si="71"/>
        <v>0</v>
      </c>
    </row>
    <row r="54" spans="1:22" x14ac:dyDescent="0.3">
      <c r="A54" s="10" t="s">
        <v>153</v>
      </c>
      <c r="B54" s="11"/>
      <c r="C54" s="11"/>
      <c r="D54" s="16">
        <f t="shared" si="58"/>
        <v>0</v>
      </c>
      <c r="E54" s="11"/>
      <c r="F54" s="11">
        <f t="shared" si="81"/>
        <v>0</v>
      </c>
      <c r="G54" s="11">
        <f>VLOOKUP(A54,'July-B'!$B$9:$C$51,2,0)</f>
        <v>4759.8</v>
      </c>
      <c r="H54" s="11">
        <f t="shared" si="64"/>
        <v>4759.8</v>
      </c>
      <c r="I54" s="11">
        <f>VLOOKUP(A54,'TB-B-Aug'!$B$1:$C$53,2,0)</f>
        <v>11577.4</v>
      </c>
      <c r="J54" s="11">
        <f t="shared" si="65"/>
        <v>6817.5999999999995</v>
      </c>
      <c r="K54" s="11">
        <f>VLOOKUP(A54,'TFB-Sept,25'!$B$9:$C$54,2,0)</f>
        <v>11577.4</v>
      </c>
      <c r="L54" s="11">
        <f t="shared" si="66"/>
        <v>0</v>
      </c>
      <c r="M54" s="11">
        <f>VLOOKUP(A54,'PL-TFB-Oct'!$B$9:$C$57,2,0)+10213+300</f>
        <v>22090.400000000001</v>
      </c>
      <c r="N54" s="11">
        <f t="shared" si="67"/>
        <v>10513.000000000002</v>
      </c>
      <c r="O54" s="11" cm="1">
        <f t="array" ref="O54">VLOOKUP(A54,+'TFB-Nov,25'!$B$9:$C$58,2,0)</f>
        <v>21789.96</v>
      </c>
      <c r="P54" s="11">
        <f t="shared" ref="P54" si="92">+O54-M54</f>
        <v>-300.44000000000233</v>
      </c>
      <c r="Q54" s="11">
        <f>VLOOKUP(A54,'TB -TFL-B-Dec,25'!$B$9:$C$62,2,0)</f>
        <v>25482.62</v>
      </c>
      <c r="R54" s="11">
        <f t="shared" si="69"/>
        <v>3692.66</v>
      </c>
      <c r="S54" s="11">
        <f>VLOOKUP(A54,'TB-TFL-B-Jan,26'!$B$9:$C$67,2,0)</f>
        <v>29065.4</v>
      </c>
      <c r="T54" s="11">
        <f t="shared" si="70"/>
        <v>3582.7800000000025</v>
      </c>
      <c r="U54" s="11">
        <f>VLOOKUP(A54,'TB-Feb,26-B'!$B$9:$C$67,2,0)</f>
        <v>34324.44</v>
      </c>
      <c r="V54" s="11">
        <f t="shared" si="71"/>
        <v>5259.0400000000009</v>
      </c>
    </row>
    <row r="55" spans="1:22" x14ac:dyDescent="0.3">
      <c r="A55" s="10" t="s">
        <v>70</v>
      </c>
      <c r="B55" s="11"/>
      <c r="C55" s="11"/>
      <c r="D55" s="16">
        <f t="shared" si="58"/>
        <v>0</v>
      </c>
      <c r="E55" s="11">
        <f>VLOOKUP(A55,'June,25-B'!$B$9:$C$46,2,0)</f>
        <v>41376</v>
      </c>
      <c r="F55" s="11">
        <f t="shared" si="81"/>
        <v>41376</v>
      </c>
      <c r="G55" s="11">
        <f>VLOOKUP(A55,'July-B'!$B$9:$C$51,2,0)</f>
        <v>41376</v>
      </c>
      <c r="H55" s="11">
        <f t="shared" si="64"/>
        <v>0</v>
      </c>
      <c r="I55" s="11">
        <f>VLOOKUP(A55,'TB-B-Aug'!$B$1:$C$53,2,0)</f>
        <v>41376</v>
      </c>
      <c r="J55" s="11">
        <f t="shared" si="65"/>
        <v>0</v>
      </c>
      <c r="K55" s="11">
        <f>VLOOKUP(A55,'TFB-Sept,25'!$B$9:$C$54,2,0)</f>
        <v>41376</v>
      </c>
      <c r="L55" s="11">
        <f t="shared" si="66"/>
        <v>0</v>
      </c>
      <c r="M55" s="11">
        <f>VLOOKUP(A55,'PL-TFB-Oct'!$B$9:$C$57,2,0)</f>
        <v>104517</v>
      </c>
      <c r="N55" s="11">
        <f t="shared" si="67"/>
        <v>63141</v>
      </c>
      <c r="O55" s="11" cm="1">
        <f t="array" ref="O55">VLOOKUP(A55,+'TFB-Nov,25'!$B$9:$C$58,2,0)</f>
        <v>104517</v>
      </c>
      <c r="P55" s="11">
        <f t="shared" ref="P55" si="93">+O55-M55</f>
        <v>0</v>
      </c>
      <c r="Q55" s="11">
        <f>VLOOKUP(A55,'TB -TFL-B-Dec,25'!$B$9:$C$62,2,0)</f>
        <v>104517</v>
      </c>
      <c r="R55" s="11">
        <f t="shared" si="69"/>
        <v>0</v>
      </c>
      <c r="S55" s="11">
        <f>VLOOKUP(A55,'TB-TFL-B-Jan,26'!$B$9:$C$67,2,0)</f>
        <v>104517</v>
      </c>
      <c r="T55" s="11">
        <f t="shared" si="70"/>
        <v>0</v>
      </c>
      <c r="U55" s="11">
        <f>VLOOKUP(A55,'TB-Feb,26-B'!$B$9:$C$67,2,0)</f>
        <v>104517</v>
      </c>
      <c r="V55" s="11">
        <f t="shared" si="71"/>
        <v>0</v>
      </c>
    </row>
    <row r="56" spans="1:22" x14ac:dyDescent="0.3">
      <c r="A56" t="s">
        <v>209</v>
      </c>
      <c r="B56" s="11"/>
      <c r="C56" s="11"/>
      <c r="D56" s="16">
        <f t="shared" si="58"/>
        <v>0</v>
      </c>
      <c r="E56" s="11"/>
      <c r="F56" s="11">
        <f t="shared" si="81"/>
        <v>0</v>
      </c>
      <c r="G56" s="11"/>
      <c r="H56" s="11">
        <f t="shared" si="64"/>
        <v>0</v>
      </c>
      <c r="I56" s="11"/>
      <c r="J56" s="11">
        <f t="shared" si="65"/>
        <v>0</v>
      </c>
      <c r="K56" s="11"/>
      <c r="L56" s="11">
        <f t="shared" si="66"/>
        <v>0</v>
      </c>
      <c r="M56" s="11"/>
      <c r="N56" s="11">
        <f t="shared" si="67"/>
        <v>0</v>
      </c>
      <c r="O56" s="11"/>
      <c r="P56" s="11">
        <f t="shared" ref="P56" si="94">+O56-M56</f>
        <v>0</v>
      </c>
      <c r="Q56" s="11"/>
      <c r="R56" s="11">
        <f t="shared" si="69"/>
        <v>0</v>
      </c>
      <c r="S56" s="11"/>
      <c r="T56" s="11">
        <f t="shared" si="70"/>
        <v>0</v>
      </c>
      <c r="U56" s="11"/>
      <c r="V56" s="11">
        <f t="shared" si="71"/>
        <v>0</v>
      </c>
    </row>
    <row r="57" spans="1:22" x14ac:dyDescent="0.3">
      <c r="A57" s="10" t="s">
        <v>72</v>
      </c>
      <c r="B57" s="11">
        <f>VLOOKUP(A57,'TFL- B-April,25'!$B$9:$C$64,2,0)</f>
        <v>28254</v>
      </c>
      <c r="C57" s="11">
        <f>VLOOKUP(A57,'May-B'!$B$9:$C$39,2,0)</f>
        <v>56508</v>
      </c>
      <c r="D57" s="16">
        <f t="shared" si="58"/>
        <v>28254</v>
      </c>
      <c r="E57" s="11">
        <f>VLOOKUP(A57,'June,25-B'!$B$9:$C$46,2,0)</f>
        <v>90527</v>
      </c>
      <c r="F57" s="11">
        <f t="shared" si="81"/>
        <v>34019</v>
      </c>
      <c r="G57" s="11">
        <f>VLOOKUP(A57,'July-B'!$B$9:$C$51,2,0)</f>
        <v>122051</v>
      </c>
      <c r="H57" s="11">
        <f t="shared" si="64"/>
        <v>31524</v>
      </c>
      <c r="I57" s="11">
        <f>VLOOKUP(A57,'TB-B-Aug'!$B$1:$C$53,2,0)</f>
        <v>159303</v>
      </c>
      <c r="J57" s="11">
        <f t="shared" si="65"/>
        <v>37252</v>
      </c>
      <c r="K57" s="11">
        <f>VLOOKUP(A57,'TFB-Sept,25'!$B$9:$C$54,2,0)</f>
        <v>196555</v>
      </c>
      <c r="L57" s="11">
        <f t="shared" si="66"/>
        <v>37252</v>
      </c>
      <c r="M57" s="11">
        <f>VLOOKUP(A57,'PL-TFB-Oct'!$B$9:$C$57,2,0)</f>
        <v>233987</v>
      </c>
      <c r="N57" s="11">
        <f t="shared" si="67"/>
        <v>37432</v>
      </c>
      <c r="O57" s="11" cm="1">
        <f t="array" ref="O57">VLOOKUP(A57,+'TFB-Nov,25'!$B$9:$C$58,2,0)</f>
        <v>271419</v>
      </c>
      <c r="P57" s="11">
        <f t="shared" ref="P57" si="95">+O57-M57</f>
        <v>37432</v>
      </c>
      <c r="Q57" s="11">
        <f>VLOOKUP(A57,'TB -TFL-B-Dec,25'!$B$9:$C$62,2,0)</f>
        <v>536273</v>
      </c>
      <c r="R57" s="11">
        <f t="shared" si="69"/>
        <v>264854</v>
      </c>
      <c r="S57" s="11">
        <f>VLOOKUP(A57,'TB-TFL-B-Jan,26'!$B$9:$C$67,2,0)</f>
        <v>580903</v>
      </c>
      <c r="T57" s="11">
        <f t="shared" si="70"/>
        <v>44630</v>
      </c>
      <c r="U57" s="11">
        <f>VLOOKUP(A57,'TB-Feb,26-B'!$B$9:$C$67,2,0)</f>
        <v>627503</v>
      </c>
      <c r="V57" s="11">
        <f t="shared" si="71"/>
        <v>46600</v>
      </c>
    </row>
    <row r="58" spans="1:22" x14ac:dyDescent="0.3">
      <c r="A58" s="10" t="s">
        <v>73</v>
      </c>
      <c r="B58" s="11">
        <f>VLOOKUP(A58,'TFL- B-April,25'!$B$9:$C$64,2,0)</f>
        <v>27212</v>
      </c>
      <c r="C58" s="11">
        <f>VLOOKUP(A58,'May-B'!$B$9:$C$39,2,0)</f>
        <v>54424</v>
      </c>
      <c r="D58" s="16">
        <f t="shared" si="58"/>
        <v>27212</v>
      </c>
      <c r="E58" s="11">
        <f>VLOOKUP(A58,'June,25-B'!$B$9:$C$46,2,0)</f>
        <v>86698</v>
      </c>
      <c r="F58" s="11">
        <f t="shared" si="81"/>
        <v>32274</v>
      </c>
      <c r="G58" s="11">
        <f>VLOOKUP(A58,'July-B'!$B$9:$C$51,2,0)</f>
        <v>116700</v>
      </c>
      <c r="H58" s="11">
        <f t="shared" si="64"/>
        <v>30002</v>
      </c>
      <c r="I58" s="11">
        <f>VLOOKUP(A58,'TB-B-Aug'!$B$1:$C$53,2,0)</f>
        <v>159304</v>
      </c>
      <c r="J58" s="11">
        <f t="shared" si="65"/>
        <v>42604</v>
      </c>
      <c r="K58" s="11">
        <f>VLOOKUP(A58,'TFB-Sept,25'!$B$9:$C$54,2,0)</f>
        <v>201908</v>
      </c>
      <c r="L58" s="11">
        <f t="shared" si="66"/>
        <v>42604</v>
      </c>
      <c r="M58" s="11">
        <f>VLOOKUP(A58,'PL-TFB-Oct'!$B$9:$C$57,2,0)</f>
        <v>245159</v>
      </c>
      <c r="N58" s="11">
        <f t="shared" si="67"/>
        <v>43251</v>
      </c>
      <c r="O58" s="11" cm="1">
        <f t="array" ref="O58">VLOOKUP(A58,+'TFB-Nov,25'!$B$9:$C$58,2,0)</f>
        <v>288410</v>
      </c>
      <c r="P58" s="11">
        <f t="shared" ref="P58" si="96">+O58-M58</f>
        <v>43251</v>
      </c>
      <c r="Q58" s="11">
        <f>VLOOKUP(A58,'TB -TFL-B-Dec,25'!$B$9:$C$62,2,0)</f>
        <v>337461</v>
      </c>
      <c r="R58" s="11">
        <f t="shared" si="69"/>
        <v>49051</v>
      </c>
      <c r="S58" s="11">
        <f>VLOOKUP(A58,'TB-TFL-B-Jan,26'!$B$9:$C$67,2,0)</f>
        <v>386512</v>
      </c>
      <c r="T58" s="11">
        <f t="shared" si="70"/>
        <v>49051</v>
      </c>
      <c r="U58" s="11">
        <f>VLOOKUP(A58,'TB-Feb,26-B'!$B$9:$C$67,2,0)</f>
        <v>431710</v>
      </c>
      <c r="V58" s="11">
        <f t="shared" si="71"/>
        <v>45198</v>
      </c>
    </row>
    <row r="59" spans="1:22" x14ac:dyDescent="0.3">
      <c r="A59" s="10" t="s">
        <v>74</v>
      </c>
      <c r="B59" s="11">
        <f>VLOOKUP(A59,'TFL- B-April,25'!$B$9:$C$64,2,0)</f>
        <v>42545</v>
      </c>
      <c r="C59" s="11">
        <f>VLOOKUP(A59,'May-B'!$B$9:$C$39,2,0)</f>
        <v>85090</v>
      </c>
      <c r="D59" s="16">
        <f t="shared" si="58"/>
        <v>42545</v>
      </c>
      <c r="E59" s="11">
        <f>VLOOKUP(A59,'June,25-B'!$B$9:$C$46,2,0)</f>
        <v>135257</v>
      </c>
      <c r="F59" s="11">
        <f t="shared" si="81"/>
        <v>50167</v>
      </c>
      <c r="G59" s="11">
        <f>VLOOKUP(A59,'July-B'!$B$9:$C$51,2,0)</f>
        <v>182900</v>
      </c>
      <c r="H59" s="11">
        <f t="shared" si="64"/>
        <v>47643</v>
      </c>
      <c r="I59" s="11">
        <f>VLOOKUP(A59,'TB-B-Aug'!$B$1:$C$53,2,0)</f>
        <v>238086</v>
      </c>
      <c r="J59" s="11">
        <f t="shared" si="65"/>
        <v>55186</v>
      </c>
      <c r="K59" s="11">
        <f>VLOOKUP(A59,'TFB-Sept,25'!$B$9:$C$54,2,0)</f>
        <v>293272</v>
      </c>
      <c r="L59" s="11">
        <f t="shared" si="66"/>
        <v>55186</v>
      </c>
      <c r="M59" s="11">
        <f>VLOOKUP(A59,'PL-TFB-Oct'!$B$9:$C$57,2,0)</f>
        <v>348638</v>
      </c>
      <c r="N59" s="11">
        <f t="shared" si="67"/>
        <v>55366</v>
      </c>
      <c r="O59" s="11" cm="1">
        <f t="array" ref="O59">VLOOKUP(A59,+'TFB-Nov,25'!$B$9:$C$58,2,0)</f>
        <v>404004</v>
      </c>
      <c r="P59" s="11">
        <f t="shared" ref="P59" si="97">+O59-M59</f>
        <v>55366</v>
      </c>
      <c r="Q59" s="11">
        <f>VLOOKUP(A59,'TB -TFL-B-Dec,25'!$B$9:$C$62,2,0)</f>
        <v>473767</v>
      </c>
      <c r="R59" s="11">
        <f t="shared" si="69"/>
        <v>69763</v>
      </c>
      <c r="S59" s="11">
        <f>VLOOKUP(A59,'TB-TFL-B-Jan,26'!$B$9:$C$67,2,0)</f>
        <v>543530</v>
      </c>
      <c r="T59" s="11">
        <f t="shared" si="70"/>
        <v>69763</v>
      </c>
      <c r="U59" s="11">
        <f>VLOOKUP(A59,'TB-Feb,26-B'!$B$9:$C$67,2,0)</f>
        <v>617231</v>
      </c>
      <c r="V59" s="11">
        <f t="shared" si="71"/>
        <v>73701</v>
      </c>
    </row>
    <row r="60" spans="1:22" x14ac:dyDescent="0.3">
      <c r="A60" s="10" t="s">
        <v>75</v>
      </c>
      <c r="B60" s="11"/>
      <c r="C60" s="11"/>
      <c r="D60" s="16">
        <f t="shared" si="58"/>
        <v>0</v>
      </c>
      <c r="E60" s="11"/>
      <c r="F60" s="16">
        <f t="shared" si="59"/>
        <v>0</v>
      </c>
      <c r="G60" s="11"/>
      <c r="H60" s="11">
        <f t="shared" si="64"/>
        <v>0</v>
      </c>
      <c r="I60" s="11"/>
      <c r="J60" s="11">
        <f t="shared" si="65"/>
        <v>0</v>
      </c>
      <c r="K60" s="11"/>
      <c r="L60" s="11">
        <f t="shared" si="66"/>
        <v>0</v>
      </c>
      <c r="M60" s="11"/>
      <c r="N60" s="11">
        <f t="shared" si="67"/>
        <v>0</v>
      </c>
      <c r="O60" s="11"/>
      <c r="P60" s="11">
        <f t="shared" ref="P60" si="98">+O60-M60</f>
        <v>0</v>
      </c>
      <c r="Q60" s="11">
        <f>VLOOKUP(A60,'TB -TFL-B-Dec,25'!$B$9:$C$62,2,0)</f>
        <v>1088</v>
      </c>
      <c r="R60" s="11">
        <f t="shared" si="69"/>
        <v>1088</v>
      </c>
      <c r="S60" s="11">
        <f>VLOOKUP(A60,'TB-TFL-B-Jan,26'!$B$9:$C$67,2,0)</f>
        <v>18176</v>
      </c>
      <c r="T60" s="11">
        <f t="shared" si="70"/>
        <v>17088</v>
      </c>
      <c r="U60" s="11">
        <f>VLOOKUP(A60,'TB-Feb,26-B'!$B$9:$C$67,2,0)</f>
        <v>27264</v>
      </c>
      <c r="V60" s="11">
        <f t="shared" si="71"/>
        <v>9088</v>
      </c>
    </row>
    <row r="61" spans="1:22" x14ac:dyDescent="0.3">
      <c r="A61" s="10" t="s">
        <v>210</v>
      </c>
      <c r="B61" s="11"/>
      <c r="C61" s="11"/>
      <c r="D61" s="16">
        <f t="shared" si="58"/>
        <v>0</v>
      </c>
      <c r="E61" s="11"/>
      <c r="F61" s="16">
        <f t="shared" si="59"/>
        <v>0</v>
      </c>
      <c r="G61" s="11"/>
      <c r="H61" s="11">
        <f t="shared" si="64"/>
        <v>0</v>
      </c>
      <c r="I61" s="11"/>
      <c r="J61" s="11">
        <f t="shared" si="65"/>
        <v>0</v>
      </c>
      <c r="K61" s="11"/>
      <c r="L61" s="11">
        <f t="shared" si="66"/>
        <v>0</v>
      </c>
      <c r="M61" s="11"/>
      <c r="N61" s="11">
        <f t="shared" si="67"/>
        <v>0</v>
      </c>
      <c r="O61" s="11"/>
      <c r="P61" s="11">
        <f t="shared" ref="P61" si="99">+O61-M61</f>
        <v>0</v>
      </c>
      <c r="Q61" s="11"/>
      <c r="R61" s="11">
        <f t="shared" si="69"/>
        <v>0</v>
      </c>
      <c r="S61" s="11"/>
      <c r="T61" s="11">
        <f t="shared" si="70"/>
        <v>0</v>
      </c>
      <c r="U61" s="11"/>
      <c r="V61" s="11">
        <f t="shared" si="71"/>
        <v>0</v>
      </c>
    </row>
    <row r="62" spans="1:22" x14ac:dyDescent="0.3">
      <c r="A62" s="10" t="s">
        <v>211</v>
      </c>
      <c r="B62" s="11"/>
      <c r="C62" s="11"/>
      <c r="D62" s="16">
        <f t="shared" si="58"/>
        <v>0</v>
      </c>
      <c r="E62" s="11"/>
      <c r="F62" s="16">
        <f t="shared" si="59"/>
        <v>0</v>
      </c>
      <c r="G62" s="11"/>
      <c r="H62" s="11">
        <f t="shared" si="64"/>
        <v>0</v>
      </c>
      <c r="I62" s="11"/>
      <c r="J62" s="11">
        <f t="shared" si="65"/>
        <v>0</v>
      </c>
      <c r="K62" s="11"/>
      <c r="L62" s="11">
        <f t="shared" si="66"/>
        <v>0</v>
      </c>
      <c r="M62" s="11"/>
      <c r="N62" s="11">
        <f t="shared" si="67"/>
        <v>0</v>
      </c>
      <c r="O62" s="11"/>
      <c r="P62" s="11">
        <f t="shared" ref="P62" si="100">+O62-M62</f>
        <v>0</v>
      </c>
      <c r="Q62" s="11"/>
      <c r="R62" s="11">
        <f t="shared" si="69"/>
        <v>0</v>
      </c>
      <c r="S62" s="11"/>
      <c r="T62" s="11">
        <f t="shared" si="70"/>
        <v>0</v>
      </c>
      <c r="U62" s="11"/>
      <c r="V62" s="11">
        <f t="shared" si="71"/>
        <v>0</v>
      </c>
    </row>
    <row r="63" spans="1:22" x14ac:dyDescent="0.3">
      <c r="A63" s="10" t="s">
        <v>212</v>
      </c>
      <c r="B63" s="11"/>
      <c r="C63" s="11"/>
      <c r="D63" s="16">
        <f t="shared" si="58"/>
        <v>0</v>
      </c>
      <c r="E63" s="11"/>
      <c r="F63" s="16">
        <f t="shared" si="59"/>
        <v>0</v>
      </c>
      <c r="G63" s="11"/>
      <c r="H63" s="11">
        <f t="shared" si="64"/>
        <v>0</v>
      </c>
      <c r="I63" s="11"/>
      <c r="J63" s="11">
        <f t="shared" si="65"/>
        <v>0</v>
      </c>
      <c r="K63" s="11"/>
      <c r="L63" s="11">
        <f t="shared" si="66"/>
        <v>0</v>
      </c>
      <c r="M63" s="11"/>
      <c r="N63" s="11">
        <f t="shared" si="67"/>
        <v>0</v>
      </c>
      <c r="O63" s="11"/>
      <c r="P63" s="11">
        <f t="shared" ref="P63" si="101">+O63-M63</f>
        <v>0</v>
      </c>
      <c r="Q63" s="11"/>
      <c r="R63" s="11">
        <f t="shared" si="69"/>
        <v>0</v>
      </c>
      <c r="S63" s="11"/>
      <c r="T63" s="11">
        <f t="shared" si="70"/>
        <v>0</v>
      </c>
      <c r="U63" s="11"/>
      <c r="V63" s="11">
        <f t="shared" si="71"/>
        <v>0</v>
      </c>
    </row>
    <row r="64" spans="1:22" x14ac:dyDescent="0.3">
      <c r="A64" s="10" t="s">
        <v>213</v>
      </c>
      <c r="B64" s="11"/>
      <c r="C64" s="11"/>
      <c r="D64" s="16">
        <f t="shared" si="58"/>
        <v>0</v>
      </c>
      <c r="E64" s="11"/>
      <c r="F64" s="16">
        <f t="shared" si="59"/>
        <v>0</v>
      </c>
      <c r="G64" s="11"/>
      <c r="H64" s="11">
        <f t="shared" si="64"/>
        <v>0</v>
      </c>
      <c r="I64" s="11"/>
      <c r="J64" s="11">
        <f t="shared" si="65"/>
        <v>0</v>
      </c>
      <c r="K64" s="11"/>
      <c r="L64" s="11">
        <f t="shared" si="66"/>
        <v>0</v>
      </c>
      <c r="M64" s="11"/>
      <c r="N64" s="11">
        <f t="shared" si="67"/>
        <v>0</v>
      </c>
      <c r="O64" s="11"/>
      <c r="P64" s="11">
        <f t="shared" ref="P64" si="102">+O64-M64</f>
        <v>0</v>
      </c>
      <c r="Q64" s="11"/>
      <c r="R64" s="11">
        <f t="shared" si="69"/>
        <v>0</v>
      </c>
      <c r="S64" s="11"/>
      <c r="T64" s="11">
        <f t="shared" si="70"/>
        <v>0</v>
      </c>
      <c r="U64" s="11"/>
      <c r="V64" s="11">
        <f t="shared" si="71"/>
        <v>0</v>
      </c>
    </row>
    <row r="65" spans="1:22" x14ac:dyDescent="0.3">
      <c r="A65" s="10" t="s">
        <v>77</v>
      </c>
      <c r="B65" s="11"/>
      <c r="C65" s="11"/>
      <c r="D65" s="16">
        <f t="shared" si="58"/>
        <v>0</v>
      </c>
      <c r="E65" s="11"/>
      <c r="F65" s="16">
        <f t="shared" si="59"/>
        <v>0</v>
      </c>
      <c r="G65" s="11"/>
      <c r="H65" s="11">
        <f t="shared" si="64"/>
        <v>0</v>
      </c>
      <c r="I65" s="11"/>
      <c r="J65" s="11">
        <f t="shared" si="65"/>
        <v>0</v>
      </c>
      <c r="K65" s="11"/>
      <c r="L65" s="11">
        <f t="shared" si="66"/>
        <v>0</v>
      </c>
      <c r="M65" s="11"/>
      <c r="N65" s="11">
        <f t="shared" si="67"/>
        <v>0</v>
      </c>
      <c r="O65" s="11"/>
      <c r="P65" s="11">
        <f t="shared" ref="P65" si="103">+O65-M65</f>
        <v>0</v>
      </c>
      <c r="Q65" s="11"/>
      <c r="R65" s="11">
        <f t="shared" si="69"/>
        <v>0</v>
      </c>
      <c r="S65" s="11"/>
      <c r="T65" s="11">
        <f t="shared" si="70"/>
        <v>0</v>
      </c>
      <c r="U65" s="11"/>
      <c r="V65" s="11">
        <f t="shared" si="71"/>
        <v>0</v>
      </c>
    </row>
    <row r="66" spans="1:22" x14ac:dyDescent="0.3">
      <c r="A66" s="10" t="s">
        <v>79</v>
      </c>
      <c r="B66" s="11"/>
      <c r="C66" s="11"/>
      <c r="D66" s="16">
        <f t="shared" si="58"/>
        <v>0</v>
      </c>
      <c r="E66" s="11"/>
      <c r="F66" s="16">
        <f t="shared" si="59"/>
        <v>0</v>
      </c>
      <c r="G66" s="11"/>
      <c r="H66" s="11">
        <f t="shared" si="64"/>
        <v>0</v>
      </c>
      <c r="I66" s="11"/>
      <c r="J66" s="11">
        <f t="shared" si="65"/>
        <v>0</v>
      </c>
      <c r="K66" s="11"/>
      <c r="L66" s="11">
        <f t="shared" si="66"/>
        <v>0</v>
      </c>
      <c r="M66" s="11"/>
      <c r="N66" s="11">
        <f t="shared" si="67"/>
        <v>0</v>
      </c>
      <c r="O66" s="11"/>
      <c r="P66" s="11">
        <f t="shared" ref="P66" si="104">+O66-M66</f>
        <v>0</v>
      </c>
      <c r="Q66" s="11"/>
      <c r="R66" s="11">
        <f t="shared" si="69"/>
        <v>0</v>
      </c>
      <c r="S66" s="11"/>
      <c r="T66" s="11">
        <f t="shared" si="70"/>
        <v>0</v>
      </c>
      <c r="U66" s="11"/>
      <c r="V66" s="11">
        <f t="shared" si="71"/>
        <v>0</v>
      </c>
    </row>
    <row r="67" spans="1:22" x14ac:dyDescent="0.3">
      <c r="A67" s="10" t="s">
        <v>80</v>
      </c>
      <c r="B67" s="11"/>
      <c r="C67" s="11"/>
      <c r="D67" s="16">
        <f t="shared" si="58"/>
        <v>0</v>
      </c>
      <c r="E67" s="11"/>
      <c r="F67" s="16">
        <f t="shared" si="59"/>
        <v>0</v>
      </c>
      <c r="G67" s="11"/>
      <c r="H67" s="11">
        <f t="shared" si="64"/>
        <v>0</v>
      </c>
      <c r="I67" s="11"/>
      <c r="J67" s="11">
        <f t="shared" si="65"/>
        <v>0</v>
      </c>
      <c r="K67" s="11"/>
      <c r="L67" s="11">
        <f t="shared" si="66"/>
        <v>0</v>
      </c>
      <c r="M67" s="11"/>
      <c r="N67" s="11">
        <f t="shared" si="67"/>
        <v>0</v>
      </c>
      <c r="O67" s="11"/>
      <c r="P67" s="11">
        <f t="shared" ref="P67" si="105">+O67-M67</f>
        <v>0</v>
      </c>
      <c r="Q67" s="11">
        <f>VLOOKUP(A67,'TB -TFL-B-Dec,25'!$B$9:$C$62,2,0)</f>
        <v>22904</v>
      </c>
      <c r="R67" s="11">
        <f t="shared" si="69"/>
        <v>22904</v>
      </c>
      <c r="S67" s="11">
        <f>VLOOKUP(A67,'TB-TFL-B-Jan,26'!$B$9:$C$67,2,0)</f>
        <v>22904</v>
      </c>
      <c r="T67" s="11">
        <f t="shared" si="70"/>
        <v>0</v>
      </c>
      <c r="U67" s="11">
        <f>VLOOKUP(A67,'TB-Feb,26-B'!$B$9:$C$67,2,0)</f>
        <v>22904</v>
      </c>
      <c r="V67" s="11">
        <f t="shared" si="71"/>
        <v>0</v>
      </c>
    </row>
    <row r="68" spans="1:22" x14ac:dyDescent="0.3">
      <c r="A68" s="10" t="s">
        <v>78</v>
      </c>
      <c r="B68" s="11">
        <f>VLOOKUP(A68,'TFL- B-April,25'!$B$9:$C$64,2,0)</f>
        <v>9623</v>
      </c>
      <c r="C68" s="11">
        <f>VLOOKUP(A68,'May-B'!$B$9:$C$39,2,0)</f>
        <v>19246</v>
      </c>
      <c r="D68" s="16">
        <f t="shared" si="58"/>
        <v>9623</v>
      </c>
      <c r="E68" s="11">
        <f>VLOOKUP(A68,'June,25-B'!$B$9:$C$46,2,0)</f>
        <v>31265</v>
      </c>
      <c r="F68" s="11">
        <f t="shared" ref="F68" si="106">+E68-C68</f>
        <v>12019</v>
      </c>
      <c r="G68" s="11">
        <f>VLOOKUP(A68,'July-B'!$B$9:$C$51,2,0)</f>
        <v>41414</v>
      </c>
      <c r="H68" s="11">
        <f t="shared" si="64"/>
        <v>10149</v>
      </c>
      <c r="I68" s="11">
        <f>VLOOKUP(A68,'TB-B-Aug'!$B$1:$C$53,2,0)</f>
        <v>51563</v>
      </c>
      <c r="J68" s="11">
        <f t="shared" si="65"/>
        <v>10149</v>
      </c>
      <c r="K68" s="11">
        <f>VLOOKUP(A68,'TFB-Sept,25'!$B$9:$C$54,2,0)</f>
        <v>61712</v>
      </c>
      <c r="L68" s="11">
        <f t="shared" si="66"/>
        <v>10149</v>
      </c>
      <c r="M68" s="11">
        <f>VLOOKUP(A68,'PL-TFB-Oct'!$B$9:$C$57,2,0)</f>
        <v>71861</v>
      </c>
      <c r="N68" s="11">
        <f t="shared" si="67"/>
        <v>10149</v>
      </c>
      <c r="O68" s="11" cm="1">
        <f t="array" ref="O68">VLOOKUP(A68,+'TFB-Nov,25'!$B$9:$C$58,2,0)</f>
        <v>82010</v>
      </c>
      <c r="P68" s="11">
        <f t="shared" ref="P68" si="107">+O68-M68</f>
        <v>10149</v>
      </c>
      <c r="Q68" s="11">
        <f>VLOOKUP(A68,'TB -TFL-B-Dec,25'!$B$9:$C$62,2,0)</f>
        <v>94625</v>
      </c>
      <c r="R68" s="11">
        <f t="shared" si="69"/>
        <v>12615</v>
      </c>
      <c r="S68" s="11">
        <f>VLOOKUP(A68,'TB-TFL-B-Jan,26'!$B$9:$C$67,2,0)</f>
        <v>107240</v>
      </c>
      <c r="T68" s="11">
        <f t="shared" si="70"/>
        <v>12615</v>
      </c>
      <c r="U68" s="11">
        <f>VLOOKUP(A68,'TB-Feb,26-B'!$B$9:$C$67,2,0)</f>
        <v>115884</v>
      </c>
      <c r="V68" s="11">
        <f t="shared" si="71"/>
        <v>8644</v>
      </c>
    </row>
    <row r="69" spans="1:22" x14ac:dyDescent="0.3">
      <c r="A69" s="10" t="s">
        <v>214</v>
      </c>
      <c r="B69" s="16"/>
      <c r="C69" s="16"/>
      <c r="D69" s="16">
        <f t="shared" si="58"/>
        <v>0</v>
      </c>
      <c r="E69" s="16"/>
      <c r="F69" s="16">
        <f t="shared" si="59"/>
        <v>0</v>
      </c>
      <c r="G69" s="11"/>
      <c r="H69" s="11">
        <f t="shared" si="64"/>
        <v>0</v>
      </c>
      <c r="I69" s="11"/>
      <c r="J69" s="11">
        <f t="shared" si="65"/>
        <v>0</v>
      </c>
      <c r="K69" s="11"/>
      <c r="L69" s="11">
        <f t="shared" si="66"/>
        <v>0</v>
      </c>
      <c r="M69" s="11"/>
      <c r="N69" s="11">
        <f t="shared" si="67"/>
        <v>0</v>
      </c>
      <c r="O69" s="11"/>
      <c r="P69" s="11">
        <f t="shared" ref="P69" si="108">+O69-M69</f>
        <v>0</v>
      </c>
      <c r="Q69" s="11"/>
      <c r="R69" s="11">
        <f t="shared" si="69"/>
        <v>0</v>
      </c>
      <c r="S69" s="11"/>
      <c r="T69" s="11">
        <f t="shared" si="70"/>
        <v>0</v>
      </c>
      <c r="U69" s="11"/>
      <c r="V69" s="11">
        <f t="shared" si="71"/>
        <v>0</v>
      </c>
    </row>
    <row r="70" spans="1:22" x14ac:dyDescent="0.3">
      <c r="A70" s="10" t="s">
        <v>105</v>
      </c>
      <c r="B70" s="11"/>
      <c r="C70" s="11"/>
      <c r="D70" s="16">
        <f t="shared" si="58"/>
        <v>0</v>
      </c>
      <c r="E70" s="11"/>
      <c r="F70" s="16">
        <f t="shared" si="59"/>
        <v>0</v>
      </c>
      <c r="G70" s="11"/>
      <c r="H70" s="11">
        <f t="shared" si="64"/>
        <v>0</v>
      </c>
      <c r="I70" s="11"/>
      <c r="J70" s="11">
        <f t="shared" si="65"/>
        <v>0</v>
      </c>
      <c r="K70" s="11"/>
      <c r="L70" s="11">
        <f t="shared" si="66"/>
        <v>0</v>
      </c>
      <c r="M70" s="11">
        <f>VLOOKUP(A70,'PL-TFB-Oct'!$B$9:$C$57,2,0)</f>
        <v>3781</v>
      </c>
      <c r="N70" s="11">
        <f t="shared" si="67"/>
        <v>3781</v>
      </c>
      <c r="O70" s="11" cm="1">
        <f t="array" ref="O70">VLOOKUP(A70,+'TFB-Nov,25'!$B$9:$C$58,2,0)</f>
        <v>3781</v>
      </c>
      <c r="P70" s="11">
        <f t="shared" ref="P70" si="109">+O70-M70</f>
        <v>0</v>
      </c>
      <c r="Q70" s="11">
        <f>VLOOKUP(A70,'TB -TFL-B-Dec,25'!$B$9:$C$62,2,0)</f>
        <v>3781</v>
      </c>
      <c r="R70" s="11">
        <f t="shared" si="69"/>
        <v>0</v>
      </c>
      <c r="S70" s="11">
        <f>VLOOKUP(A70,'TB-TFL-B-Jan,26'!$B$9:$C$67,2,0)</f>
        <v>3781</v>
      </c>
      <c r="T70" s="11">
        <f t="shared" si="70"/>
        <v>0</v>
      </c>
      <c r="U70" s="11">
        <f>VLOOKUP(A70,'TB-Feb,26-B'!$B$9:$C$67,2,0)</f>
        <v>3781</v>
      </c>
      <c r="V70" s="11">
        <f t="shared" si="71"/>
        <v>0</v>
      </c>
    </row>
    <row r="71" spans="1:22" x14ac:dyDescent="0.3">
      <c r="A71" s="10" t="s">
        <v>81</v>
      </c>
      <c r="B71" s="11">
        <f>VLOOKUP(A71,'TFL- B-April,25'!$B$9:$C$64,2,0)</f>
        <v>493048</v>
      </c>
      <c r="C71" s="11">
        <f>VLOOKUP(A71,'May-B'!$B$9:$C$39,2,0)</f>
        <v>970022</v>
      </c>
      <c r="D71" s="16">
        <f t="shared" si="58"/>
        <v>476974</v>
      </c>
      <c r="E71" s="11">
        <f>VLOOKUP(A71,'June,25-B'!$B$9:$C$46,2,0)</f>
        <v>1495652</v>
      </c>
      <c r="F71" s="11">
        <f t="shared" ref="F71:F73" si="110">+E71-C71</f>
        <v>525630</v>
      </c>
      <c r="G71" s="11">
        <f>VLOOKUP(A71,'July-B'!$B$9:$C$51,2,0)</f>
        <v>2000617</v>
      </c>
      <c r="H71" s="11">
        <f t="shared" si="64"/>
        <v>504965</v>
      </c>
      <c r="I71" s="11">
        <f>VLOOKUP(A71,'TB-B-Aug'!$B$1:$C$53,2,0)</f>
        <v>2515397</v>
      </c>
      <c r="J71" s="11">
        <f t="shared" si="65"/>
        <v>514780</v>
      </c>
      <c r="K71" s="11">
        <f>VLOOKUP(A71,'TFB-Sept,25'!$B$9:$C$54,2,0)</f>
        <v>3019319</v>
      </c>
      <c r="L71" s="11">
        <f t="shared" si="66"/>
        <v>503922</v>
      </c>
      <c r="M71" s="11">
        <f>VLOOKUP(A71,'PL-TFB-Oct'!$B$9:$C$57,2,0)</f>
        <v>3510753</v>
      </c>
      <c r="N71" s="11">
        <f t="shared" si="67"/>
        <v>491434</v>
      </c>
      <c r="O71" s="11" cm="1">
        <f t="array" ref="O71">VLOOKUP(A71,+'TFB-Nov,25'!$B$9:$C$58,2,0)</f>
        <v>3967232</v>
      </c>
      <c r="P71" s="11">
        <f t="shared" ref="P71" si="111">+O71-M71</f>
        <v>456479</v>
      </c>
      <c r="Q71" s="11">
        <f>VLOOKUP(A71,'TB -TFL-B-Dec,25'!$B$9:$C$62,2,0)</f>
        <v>4962944</v>
      </c>
      <c r="R71" s="11">
        <f t="shared" si="69"/>
        <v>995712</v>
      </c>
      <c r="S71" s="11">
        <f>VLOOKUP(A71,'TB-TFL-B-Jan,26'!$B$9:$C$67,2,0)</f>
        <v>5957223</v>
      </c>
      <c r="T71" s="11">
        <f t="shared" si="70"/>
        <v>994279</v>
      </c>
      <c r="U71" s="11">
        <f>VLOOKUP(A71,'TB-Feb,26-B'!$B$9:$C$67,2,0)</f>
        <v>7272326</v>
      </c>
      <c r="V71" s="11">
        <f t="shared" si="71"/>
        <v>1315103</v>
      </c>
    </row>
    <row r="72" spans="1:22" x14ac:dyDescent="0.3">
      <c r="A72" s="10" t="s">
        <v>215</v>
      </c>
      <c r="B72" s="11"/>
      <c r="C72" s="11"/>
      <c r="D72" s="16">
        <f t="shared" si="58"/>
        <v>0</v>
      </c>
      <c r="E72" s="11"/>
      <c r="F72" s="16">
        <f t="shared" si="59"/>
        <v>0</v>
      </c>
      <c r="G72" s="11"/>
      <c r="H72" s="11">
        <f t="shared" si="64"/>
        <v>0</v>
      </c>
      <c r="I72" s="11"/>
      <c r="J72" s="11">
        <f t="shared" si="65"/>
        <v>0</v>
      </c>
      <c r="K72" s="11"/>
      <c r="L72" s="11">
        <f t="shared" si="66"/>
        <v>0</v>
      </c>
      <c r="M72" s="11"/>
      <c r="N72" s="11">
        <f t="shared" si="67"/>
        <v>0</v>
      </c>
      <c r="O72" s="11"/>
      <c r="P72" s="11">
        <f t="shared" ref="P72" si="112">+O72-M72</f>
        <v>0</v>
      </c>
      <c r="Q72" s="11"/>
      <c r="R72" s="11">
        <f t="shared" si="69"/>
        <v>0</v>
      </c>
      <c r="S72" s="11"/>
      <c r="T72" s="11">
        <f t="shared" si="70"/>
        <v>0</v>
      </c>
      <c r="U72" s="11"/>
      <c r="V72" s="11">
        <f t="shared" si="71"/>
        <v>0</v>
      </c>
    </row>
    <row r="73" spans="1:22" x14ac:dyDescent="0.3">
      <c r="A73" s="10" t="s">
        <v>98</v>
      </c>
      <c r="B73" s="11">
        <f>VLOOKUP(A73,'TFL- B-April,25'!$B$9:$C$64,2,0)</f>
        <v>1881930</v>
      </c>
      <c r="C73" s="11">
        <f>VLOOKUP(A73,'May-B'!$B$9:$C$39,2,0)</f>
        <v>3641843</v>
      </c>
      <c r="D73" s="16">
        <f t="shared" si="58"/>
        <v>1759913</v>
      </c>
      <c r="E73" s="11">
        <f>VLOOKUP(A73,'June,25-B'!$B$9:$C$46,2,0)</f>
        <v>5730773</v>
      </c>
      <c r="F73" s="11">
        <f t="shared" si="110"/>
        <v>2088930</v>
      </c>
      <c r="G73" s="11">
        <f>VLOOKUP(A73,'July-B'!$B$9:$C$51,2,0)</f>
        <v>8148976</v>
      </c>
      <c r="H73" s="11">
        <f t="shared" si="64"/>
        <v>2418203</v>
      </c>
      <c r="I73" s="11">
        <f>VLOOKUP(A73,'TB-B-Aug'!$B$1:$C$53,2,0)</f>
        <v>10251653</v>
      </c>
      <c r="J73" s="11">
        <f t="shared" si="65"/>
        <v>2102677</v>
      </c>
      <c r="K73" s="11">
        <f>VLOOKUP(A73,'TFB-Sept,25'!$B$9:$C$54,2,0)-12970</f>
        <v>12556122</v>
      </c>
      <c r="L73" s="11">
        <f t="shared" si="66"/>
        <v>2304469</v>
      </c>
      <c r="M73" s="11">
        <f>VLOOKUP(A73,'PL-TFB-Oct'!$B$9:$C$57,2,0)</f>
        <v>14741990</v>
      </c>
      <c r="N73" s="11">
        <f t="shared" si="67"/>
        <v>2185868</v>
      </c>
      <c r="O73" s="11" cm="1">
        <f t="array" ref="O73">VLOOKUP(A73,+'TFB-Nov,25'!$B$9:$C$58,2,0)</f>
        <v>17161563</v>
      </c>
      <c r="P73" s="11">
        <f t="shared" ref="P73" si="113">+O73-M73</f>
        <v>2419573</v>
      </c>
      <c r="Q73" s="11">
        <f>VLOOKUP(A73,'TB -TFL-B-Dec,25'!$B$9:$C$62,2,0)+173787</f>
        <v>19622486</v>
      </c>
      <c r="R73" s="11">
        <f t="shared" si="69"/>
        <v>2460923</v>
      </c>
      <c r="S73" s="11">
        <f>VLOOKUP(A73,'TB-TFL-B-Jan,26'!$B$9:$C$67,2,0)</f>
        <v>22011730</v>
      </c>
      <c r="T73" s="11">
        <f t="shared" si="70"/>
        <v>2389244</v>
      </c>
      <c r="U73" s="11">
        <f>VLOOKUP(A73,'TB-Feb,26-B'!$B$9:$C$67,2,0)</f>
        <v>24213383</v>
      </c>
      <c r="V73" s="11">
        <f t="shared" si="71"/>
        <v>2201653</v>
      </c>
    </row>
    <row r="74" spans="1:22" x14ac:dyDescent="0.3">
      <c r="A74" s="10" t="s">
        <v>216</v>
      </c>
      <c r="B74" s="11"/>
      <c r="C74" s="11"/>
      <c r="D74" s="16">
        <f t="shared" si="58"/>
        <v>0</v>
      </c>
      <c r="E74" s="11"/>
      <c r="F74" s="16">
        <f t="shared" si="59"/>
        <v>0</v>
      </c>
      <c r="G74" s="11"/>
      <c r="H74" s="11">
        <f t="shared" si="64"/>
        <v>0</v>
      </c>
      <c r="I74" s="11"/>
      <c r="J74" s="11">
        <f t="shared" si="65"/>
        <v>0</v>
      </c>
      <c r="K74" s="11"/>
      <c r="L74" s="11">
        <f t="shared" si="66"/>
        <v>0</v>
      </c>
      <c r="M74" s="11"/>
      <c r="N74" s="11">
        <f t="shared" si="67"/>
        <v>0</v>
      </c>
      <c r="O74" s="11"/>
      <c r="P74" s="11">
        <f t="shared" ref="P74" si="114">+O74-M74</f>
        <v>0</v>
      </c>
      <c r="Q74" s="11"/>
      <c r="R74" s="11">
        <f t="shared" si="69"/>
        <v>0</v>
      </c>
      <c r="S74" s="11"/>
      <c r="T74" s="11">
        <f t="shared" si="70"/>
        <v>0</v>
      </c>
      <c r="U74" s="11"/>
      <c r="V74" s="11">
        <f t="shared" si="71"/>
        <v>0</v>
      </c>
    </row>
    <row r="75" spans="1:22" x14ac:dyDescent="0.3">
      <c r="A75" s="10" t="s">
        <v>217</v>
      </c>
      <c r="B75" s="11"/>
      <c r="C75" s="11"/>
      <c r="D75" s="16">
        <f t="shared" si="58"/>
        <v>0</v>
      </c>
      <c r="E75" s="11"/>
      <c r="F75" s="16">
        <f t="shared" si="59"/>
        <v>0</v>
      </c>
      <c r="G75" s="11"/>
      <c r="H75" s="11">
        <f t="shared" si="64"/>
        <v>0</v>
      </c>
      <c r="I75" s="11"/>
      <c r="J75" s="11">
        <f t="shared" si="65"/>
        <v>0</v>
      </c>
      <c r="K75" s="11"/>
      <c r="L75" s="11">
        <f t="shared" si="66"/>
        <v>0</v>
      </c>
      <c r="M75" s="11"/>
      <c r="N75" s="11">
        <f t="shared" si="67"/>
        <v>0</v>
      </c>
      <c r="O75" s="11"/>
      <c r="P75" s="11">
        <f t="shared" ref="P75" si="115">+O75-M75</f>
        <v>0</v>
      </c>
      <c r="Q75" s="11"/>
      <c r="R75" s="11">
        <f t="shared" si="69"/>
        <v>0</v>
      </c>
      <c r="S75" s="11"/>
      <c r="T75" s="11">
        <f t="shared" si="70"/>
        <v>0</v>
      </c>
      <c r="U75" s="11"/>
      <c r="V75" s="11">
        <f t="shared" si="71"/>
        <v>0</v>
      </c>
    </row>
    <row r="76" spans="1:22" x14ac:dyDescent="0.3">
      <c r="A76" s="10" t="s">
        <v>218</v>
      </c>
      <c r="B76" s="11"/>
      <c r="C76" s="11"/>
      <c r="D76" s="16">
        <f t="shared" si="58"/>
        <v>0</v>
      </c>
      <c r="E76" s="11"/>
      <c r="F76" s="16">
        <f t="shared" si="59"/>
        <v>0</v>
      </c>
      <c r="G76" s="11"/>
      <c r="H76" s="11">
        <f t="shared" si="64"/>
        <v>0</v>
      </c>
      <c r="I76" s="11"/>
      <c r="J76" s="11">
        <f t="shared" si="65"/>
        <v>0</v>
      </c>
      <c r="K76" s="11"/>
      <c r="L76" s="11">
        <f t="shared" si="66"/>
        <v>0</v>
      </c>
      <c r="M76" s="11"/>
      <c r="N76" s="11">
        <f t="shared" si="67"/>
        <v>0</v>
      </c>
      <c r="O76" s="11"/>
      <c r="P76" s="11">
        <f t="shared" ref="P76" si="116">+O76-M76</f>
        <v>0</v>
      </c>
      <c r="Q76" s="11"/>
      <c r="R76" s="11">
        <f t="shared" si="69"/>
        <v>0</v>
      </c>
      <c r="S76" s="11"/>
      <c r="T76" s="11">
        <f t="shared" si="70"/>
        <v>0</v>
      </c>
      <c r="U76" s="11"/>
      <c r="V76" s="11">
        <f t="shared" si="71"/>
        <v>0</v>
      </c>
    </row>
    <row r="77" spans="1:22" x14ac:dyDescent="0.3">
      <c r="A77" t="s">
        <v>101</v>
      </c>
      <c r="B77" s="11"/>
      <c r="C77" s="11"/>
      <c r="D77" s="16"/>
      <c r="E77" s="11"/>
      <c r="F77" s="16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>
        <f>VLOOKUP(A77,'TB -TFL-B-Dec,25'!$B$9:$C$62,2,0)</f>
        <v>15937.5</v>
      </c>
      <c r="R77" s="11">
        <f t="shared" si="69"/>
        <v>15937.5</v>
      </c>
      <c r="S77" s="11">
        <f>VLOOKUP(A77,'TB-TFL-B-Jan,26'!$B$9:$C$67,2,0)</f>
        <v>15937.5</v>
      </c>
      <c r="T77" s="11">
        <f t="shared" si="70"/>
        <v>0</v>
      </c>
      <c r="U77" s="11">
        <f>VLOOKUP(A77,'TB-Feb,26-B'!$B$9:$C$67,2,0)</f>
        <v>44687.5</v>
      </c>
      <c r="V77" s="11">
        <f t="shared" si="71"/>
        <v>28750</v>
      </c>
    </row>
    <row r="78" spans="1:22" x14ac:dyDescent="0.3">
      <c r="A78" s="10" t="s">
        <v>86</v>
      </c>
      <c r="B78" s="11">
        <f>VLOOKUP(A78,'TFL- B-April,25'!$B$9:$C$64,2,0)+42165</f>
        <v>0</v>
      </c>
      <c r="C78" s="11">
        <f>VLOOKUP(A78,'May-B'!$B$9:$C$39,2,0)+39562</f>
        <v>0</v>
      </c>
      <c r="D78" s="16">
        <f t="shared" si="58"/>
        <v>0</v>
      </c>
      <c r="E78" s="11">
        <f>VLOOKUP(A78,'June,25-B'!$B$9:$C$46,2,0)+41188</f>
        <v>0</v>
      </c>
      <c r="F78" s="11">
        <f t="shared" ref="F78:F83" si="117">+E78-C78</f>
        <v>0</v>
      </c>
      <c r="G78" s="11">
        <f>VLOOKUP(A78,'July-B'!$B$9:$C$51,2,0)+39939</f>
        <v>0</v>
      </c>
      <c r="H78" s="11">
        <f t="shared" si="64"/>
        <v>0</v>
      </c>
      <c r="I78" s="11">
        <f>VLOOKUP(A78,'TB-B-Aug'!$B$1:$C$53,2,0)+41057</f>
        <v>0</v>
      </c>
      <c r="J78" s="11">
        <f t="shared" si="65"/>
        <v>0</v>
      </c>
      <c r="K78" s="11">
        <f>VLOOKUP(A78,'TFB-Sept,25'!$B$9:$C$54,2,0)+39275</f>
        <v>0</v>
      </c>
      <c r="L78" s="11">
        <f t="shared" si="66"/>
        <v>0</v>
      </c>
      <c r="M78" s="11">
        <f>VLOOKUP(A78,'PL-TFB-Oct'!$B$9:$C$57,2,0)+40505</f>
        <v>0</v>
      </c>
      <c r="N78" s="11">
        <f t="shared" si="67"/>
        <v>0</v>
      </c>
      <c r="O78" s="11" cm="1">
        <f t="array" ref="O78">VLOOKUP(A78,+'TFB-Nov,25'!$B$9:$C$58,2,0)+36225</f>
        <v>0</v>
      </c>
      <c r="P78" s="11">
        <f t="shared" ref="P78" si="118">+O78-M78</f>
        <v>0</v>
      </c>
      <c r="Q78" s="11">
        <f>VLOOKUP(A78,'TB -TFL-B-Dec,25'!$B$9:$C$62,2,0)+91851</f>
        <v>0</v>
      </c>
      <c r="R78" s="11">
        <f t="shared" si="69"/>
        <v>0</v>
      </c>
      <c r="S78" s="11">
        <f>VLOOKUP(A78,'TB-TFL-B-Jan,26'!$B$9:$C$67,2,0)+91923</f>
        <v>0</v>
      </c>
      <c r="T78" s="11">
        <f t="shared" si="70"/>
        <v>0</v>
      </c>
      <c r="U78" s="11">
        <f>VLOOKUP(A78,'TB-Feb,26-B'!$B$9:$C$67,2,0)+123196</f>
        <v>0</v>
      </c>
      <c r="V78" s="11">
        <f t="shared" si="71"/>
        <v>0</v>
      </c>
    </row>
    <row r="79" spans="1:22" x14ac:dyDescent="0.3">
      <c r="A79" s="10" t="s">
        <v>83</v>
      </c>
      <c r="B79" s="11">
        <v>12294</v>
      </c>
      <c r="C79" s="11">
        <f>VLOOKUP(A79,'May-B'!$B$9:$C$39,2,0)+11019</f>
        <v>23313</v>
      </c>
      <c r="D79" s="16">
        <f t="shared" si="58"/>
        <v>11019</v>
      </c>
      <c r="E79" s="11">
        <f>VLOOKUP(A79,'June,25-B'!$B$9:$C$46,2,0)+11993</f>
        <v>35306</v>
      </c>
      <c r="F79" s="11">
        <f t="shared" si="117"/>
        <v>11993</v>
      </c>
      <c r="G79" s="11">
        <f>VLOOKUP(A79,'July-B'!$B$9:$C$51,2,0)+12284</f>
        <v>46616</v>
      </c>
      <c r="H79" s="11">
        <f t="shared" si="64"/>
        <v>11310</v>
      </c>
      <c r="I79" s="11">
        <f>VLOOKUP(A79,'TB-B-Aug'!$B$1:$C$53,2,0)+11331</f>
        <v>57947</v>
      </c>
      <c r="J79" s="11">
        <f t="shared" si="65"/>
        <v>11331</v>
      </c>
      <c r="K79" s="11">
        <f>VLOOKUP(A79,'TFB-Sept,25'!$B$9:$C$54,2,0)+10978</f>
        <v>68925</v>
      </c>
      <c r="L79" s="11">
        <f t="shared" si="66"/>
        <v>10978</v>
      </c>
      <c r="M79" s="11">
        <f>VLOOKUP(A79,'PL-TFB-Oct'!$B$9:$C$57,2,0)+10514</f>
        <v>79439</v>
      </c>
      <c r="N79" s="11">
        <f t="shared" si="67"/>
        <v>10514</v>
      </c>
      <c r="O79" s="11" cm="1">
        <f t="array" ref="O79">VLOOKUP(A79,+'TFB-Nov,25'!$B$9:$C$58,2,0)+9377</f>
        <v>88816</v>
      </c>
      <c r="P79" s="11">
        <f t="shared" ref="P79" si="119">+O79-M79</f>
        <v>9377</v>
      </c>
      <c r="Q79" s="11">
        <f>VLOOKUP(A79,'TB -TFL-B-Dec,25'!$B$9:$C$62,2,0)+24873</f>
        <v>113689</v>
      </c>
      <c r="R79" s="11">
        <f t="shared" si="69"/>
        <v>24873</v>
      </c>
      <c r="S79" s="11">
        <f>VLOOKUP(A79,'TB-TFL-B-Jan,26'!$B$9:$C$67,2,0)+24930</f>
        <v>138619</v>
      </c>
      <c r="T79" s="11">
        <f t="shared" si="70"/>
        <v>24930</v>
      </c>
      <c r="U79" s="11">
        <f>VLOOKUP(A79,'TB-Feb,26-B'!$B$9:$C$67,2,0)+32520</f>
        <v>171139</v>
      </c>
      <c r="V79" s="11">
        <f t="shared" si="71"/>
        <v>32520</v>
      </c>
    </row>
    <row r="80" spans="1:22" x14ac:dyDescent="0.3">
      <c r="A80" s="10" t="s">
        <v>82</v>
      </c>
      <c r="B80" s="11">
        <v>42165</v>
      </c>
      <c r="C80" s="11">
        <f>VLOOKUP(A80,'May-B'!$B$9:$C$39,2,0)+39562</f>
        <v>81727</v>
      </c>
      <c r="D80" s="16">
        <f t="shared" si="58"/>
        <v>39562</v>
      </c>
      <c r="E80" s="11">
        <f>VLOOKUP(A80,'June,25-B'!$B$9:$C$46,2,0)+41188</f>
        <v>122915</v>
      </c>
      <c r="F80" s="11">
        <f t="shared" si="117"/>
        <v>41188</v>
      </c>
      <c r="G80" s="11">
        <f>VLOOKUP(A80,'July-B'!$B$9:$C$51,2,0)+38313</f>
        <v>159602</v>
      </c>
      <c r="H80" s="11">
        <f t="shared" si="64"/>
        <v>36687</v>
      </c>
      <c r="I80" s="11">
        <f>VLOOKUP(A80,'TB-B-Aug'!$B$1:$C$53,2,0)+39431</f>
        <v>199033</v>
      </c>
      <c r="J80" s="11">
        <f t="shared" si="65"/>
        <v>39431</v>
      </c>
      <c r="K80" s="11">
        <f>VLOOKUP(A80,'TFB-Sept,25'!$B$9:$C$54,2,0)+37649</f>
        <v>236682</v>
      </c>
      <c r="L80" s="11">
        <f t="shared" si="66"/>
        <v>37649</v>
      </c>
      <c r="M80" s="11">
        <f>VLOOKUP(A80,'PL-TFB-Oct'!$B$9:$C$57,2,0)+38879</f>
        <v>275561</v>
      </c>
      <c r="N80" s="11">
        <f t="shared" si="67"/>
        <v>38879</v>
      </c>
      <c r="O80" s="11" cm="1">
        <f t="array" ref="O80">VLOOKUP(A80,+'TFB-Nov,25'!$B$9:$C$58,2,0)+34599</f>
        <v>310160</v>
      </c>
      <c r="P80" s="11">
        <f t="shared" ref="P80" si="120">+O80-M80</f>
        <v>34599</v>
      </c>
      <c r="Q80" s="11">
        <f>VLOOKUP(A80,'TB -TFL-B-Dec,25'!$B$9:$C$62,2,0)+90225</f>
        <v>400385</v>
      </c>
      <c r="R80" s="11">
        <f t="shared" si="69"/>
        <v>90225</v>
      </c>
      <c r="S80" s="11">
        <f>VLOOKUP(A80,'TB-TFL-B-Jan,26'!$B$9:$C$67,2,0)+90297</f>
        <v>490682</v>
      </c>
      <c r="T80" s="11">
        <f t="shared" si="70"/>
        <v>90297</v>
      </c>
      <c r="U80" s="11">
        <f>VLOOKUP(A80,'TB-Feb,26-B'!$B$9:$C$67,2,0)+123196</f>
        <v>613878</v>
      </c>
      <c r="V80" s="11">
        <f t="shared" si="71"/>
        <v>123196</v>
      </c>
    </row>
    <row r="81" spans="1:22" x14ac:dyDescent="0.3">
      <c r="A81" s="10" t="s">
        <v>85</v>
      </c>
      <c r="B81" s="11">
        <f>VLOOKUP(A81,'TFL- B-April,25'!$B$9:$C$64,2,0)+2838</f>
        <v>0</v>
      </c>
      <c r="C81" s="11">
        <f>VLOOKUP(A81,'May-B'!$B$9:$C$39,2,0)+2524</f>
        <v>0</v>
      </c>
      <c r="D81" s="16">
        <f t="shared" si="58"/>
        <v>0</v>
      </c>
      <c r="E81" s="11">
        <f>VLOOKUP(A81,'June,25-B'!$B$9:$C$46,2,0)+2757</f>
        <v>0</v>
      </c>
      <c r="F81" s="11">
        <f t="shared" si="117"/>
        <v>0</v>
      </c>
      <c r="G81" s="11">
        <f>VLOOKUP(A81,'July-B'!$B$9:$C$51,2,0)+3029</f>
        <v>0</v>
      </c>
      <c r="H81" s="11">
        <f t="shared" si="64"/>
        <v>0</v>
      </c>
      <c r="I81" s="11">
        <f>VLOOKUP(A81,'TB-B-Aug'!$B$1:$C$53,2,0)+2795</f>
        <v>0</v>
      </c>
      <c r="J81" s="11">
        <f t="shared" si="65"/>
        <v>0</v>
      </c>
      <c r="K81" s="11">
        <f>VLOOKUP(A81,'TFB-Sept,25'!$B$9:$C$54,2,0)+2698</f>
        <v>0</v>
      </c>
      <c r="L81" s="11">
        <f t="shared" si="66"/>
        <v>0</v>
      </c>
      <c r="M81" s="11">
        <f>VLOOKUP(A81,'PL-TFB-Oct'!$B$9:$C$57,2,0)+2573</f>
        <v>0</v>
      </c>
      <c r="N81" s="11">
        <f t="shared" si="67"/>
        <v>0</v>
      </c>
      <c r="O81" s="11" cm="1">
        <f t="array" ref="O81">VLOOKUP(A81,+'TFB-Nov,25'!$B$9:$C$58,2,0)+2294</f>
        <v>0</v>
      </c>
      <c r="P81" s="11">
        <f t="shared" ref="P81" si="121">+O81-M81</f>
        <v>0</v>
      </c>
      <c r="Q81" s="11">
        <f>VLOOKUP(A81,'TB -TFL-B-Dec,25'!$B$9:$C$62,2,0)+5852</f>
        <v>0</v>
      </c>
      <c r="R81" s="11">
        <f t="shared" si="69"/>
        <v>0</v>
      </c>
      <c r="S81" s="11">
        <f>VLOOKUP(A81,'TB-TFL-B-Jan,26'!$B$9:$C$67,2,0)+5839</f>
        <v>0</v>
      </c>
      <c r="T81" s="11">
        <f t="shared" si="70"/>
        <v>0</v>
      </c>
      <c r="U81" s="11">
        <f>VLOOKUP(A81,'TB-Feb,26-B'!$B$9:$C$67,2,0)+8130</f>
        <v>0</v>
      </c>
      <c r="V81" s="11">
        <f t="shared" si="71"/>
        <v>0</v>
      </c>
    </row>
    <row r="82" spans="1:22" x14ac:dyDescent="0.3">
      <c r="A82" s="10" t="s">
        <v>87</v>
      </c>
      <c r="B82" s="11"/>
      <c r="C82" s="11"/>
      <c r="D82" s="16">
        <f t="shared" si="58"/>
        <v>0</v>
      </c>
      <c r="E82" s="11">
        <f>VLOOKUP(A82,'June,25-B'!$B$9:$C$46,2,0)+3500*0+3500*4</f>
        <v>10500</v>
      </c>
      <c r="F82" s="11">
        <f t="shared" si="117"/>
        <v>10500</v>
      </c>
      <c r="G82" s="11">
        <f>VLOOKUP(A82,'July-B'!$B$9:$C$51,2,0)+3500*0</f>
        <v>10500</v>
      </c>
      <c r="H82" s="11">
        <f t="shared" si="64"/>
        <v>0</v>
      </c>
      <c r="I82" s="11">
        <f>VLOOKUP(A82,'TB-B-Aug'!$B$1:$C$53,2,0)</f>
        <v>10500</v>
      </c>
      <c r="J82" s="11">
        <f t="shared" si="65"/>
        <v>0</v>
      </c>
      <c r="K82" s="11">
        <f>VLOOKUP(A82,'TFB-Sept,25'!$B$9:$C$54,2,0)</f>
        <v>24500</v>
      </c>
      <c r="L82" s="11">
        <f t="shared" si="66"/>
        <v>14000</v>
      </c>
      <c r="M82" s="11">
        <f>VLOOKUP(A82,'PL-TFB-Oct'!$B$9:$C$57,2,0)</f>
        <v>24500</v>
      </c>
      <c r="N82" s="11">
        <f t="shared" si="67"/>
        <v>0</v>
      </c>
      <c r="O82" s="11" cm="1">
        <f t="array" ref="O82">VLOOKUP(A82,+'TFB-Nov,25'!$B$9:$C$58,2,0)</f>
        <v>24500</v>
      </c>
      <c r="P82" s="11">
        <f t="shared" ref="P82" si="122">+O82-M82</f>
        <v>0</v>
      </c>
      <c r="Q82" s="66">
        <f>VLOOKUP(A82,'TB -TFL-B-Dec,25'!$B$9:$C$62,2,0)+24500</f>
        <v>45330</v>
      </c>
      <c r="R82" s="11">
        <f t="shared" si="69"/>
        <v>20830</v>
      </c>
      <c r="S82" s="66">
        <f>VLOOKUP(A82,'TB-TFL-B-Jan,26'!$B$9:$C$67,2,0)</f>
        <v>35320</v>
      </c>
      <c r="T82" s="11">
        <f t="shared" si="70"/>
        <v>-10010</v>
      </c>
      <c r="U82" s="11">
        <f>VLOOKUP(A82,'TB-Feb,26-B'!$B$9:$C$67,2,0)</f>
        <v>35320</v>
      </c>
      <c r="V82" s="11">
        <f t="shared" si="71"/>
        <v>0</v>
      </c>
    </row>
    <row r="83" spans="1:22" x14ac:dyDescent="0.3">
      <c r="A83" s="10" t="s">
        <v>88</v>
      </c>
      <c r="B83" s="11">
        <v>3490</v>
      </c>
      <c r="C83" s="11">
        <f>VLOOKUP(A83,'May-B'!$B$9:$C$39,2,0)+3266</f>
        <v>6756</v>
      </c>
      <c r="D83" s="16">
        <f t="shared" si="58"/>
        <v>3266</v>
      </c>
      <c r="E83" s="11">
        <f>VLOOKUP(A83,'June,25-B'!$B$9:$C$46,2,0)+3500</f>
        <v>10256</v>
      </c>
      <c r="F83" s="11">
        <f t="shared" si="117"/>
        <v>3500</v>
      </c>
      <c r="G83" s="11">
        <f>VLOOKUP(A83,'July-B'!$B$9:$C$51,2,0)+3185</f>
        <v>13207</v>
      </c>
      <c r="H83" s="11">
        <f t="shared" si="64"/>
        <v>2951</v>
      </c>
      <c r="I83" s="11">
        <f>VLOOKUP(A83,'TB-B-Aug'!$B$1:$C$53,2,0)+3268</f>
        <v>16475</v>
      </c>
      <c r="J83" s="11">
        <f t="shared" si="65"/>
        <v>3268</v>
      </c>
      <c r="K83" s="11">
        <f>VLOOKUP(A83,'TFB-Sept,25'!$B$9:$C$54,2,0)+3125</f>
        <v>19600</v>
      </c>
      <c r="L83" s="11">
        <f t="shared" si="66"/>
        <v>3125</v>
      </c>
      <c r="M83" s="11">
        <f>VLOOKUP(A83,'PL-TFB-Oct'!$B$9:$C$57,2,0)+3217</f>
        <v>22817</v>
      </c>
      <c r="N83" s="11">
        <f t="shared" si="67"/>
        <v>3217</v>
      </c>
      <c r="O83" s="11" cm="1">
        <f t="array" ref="O83">VLOOKUP(A83,+'TFB-Nov,25'!$B$9:$C$58,2,0)+2874</f>
        <v>25691</v>
      </c>
      <c r="P83" s="11">
        <f t="shared" ref="P83" si="123">+O83-M83</f>
        <v>2874</v>
      </c>
      <c r="Q83" s="11">
        <f>VLOOKUP(A83,'TB -TFL-B-Dec,25'!$B$9:$C$62,2,0)+7345</f>
        <v>33036</v>
      </c>
      <c r="R83" s="11">
        <f t="shared" si="69"/>
        <v>7345</v>
      </c>
      <c r="S83" s="11">
        <f>VLOOKUP(A83,'TB-TFL-B-Jan,26'!$B$9:$C$67,2,0)+7394</f>
        <v>40430</v>
      </c>
      <c r="T83" s="11">
        <f t="shared" si="70"/>
        <v>7394</v>
      </c>
      <c r="U83" s="11">
        <f>VLOOKUP(A83,'TB-Feb,26-B'!$B$9:$C$67,2,0)+10000</f>
        <v>50430</v>
      </c>
      <c r="V83" s="11">
        <f t="shared" si="71"/>
        <v>10000</v>
      </c>
    </row>
    <row r="84" spans="1:22" x14ac:dyDescent="0.3">
      <c r="A84" t="s">
        <v>219</v>
      </c>
      <c r="B84" s="11"/>
      <c r="C84" s="11"/>
      <c r="D84" s="16">
        <f t="shared" si="58"/>
        <v>0</v>
      </c>
      <c r="E84" s="11"/>
      <c r="F84" s="16">
        <f t="shared" si="59"/>
        <v>0</v>
      </c>
      <c r="G84" s="11"/>
      <c r="H84" s="11">
        <f t="shared" si="64"/>
        <v>0</v>
      </c>
      <c r="I84" s="11"/>
      <c r="J84" s="11">
        <f t="shared" si="65"/>
        <v>0</v>
      </c>
      <c r="K84" s="11"/>
      <c r="L84" s="11">
        <f t="shared" si="66"/>
        <v>0</v>
      </c>
      <c r="M84" s="11"/>
      <c r="N84" s="11">
        <f t="shared" si="67"/>
        <v>0</v>
      </c>
      <c r="O84" s="11"/>
      <c r="P84" s="11">
        <f t="shared" ref="P84" si="124">+O84-M84</f>
        <v>0</v>
      </c>
      <c r="Q84" s="11"/>
      <c r="R84" s="11">
        <f t="shared" si="69"/>
        <v>0</v>
      </c>
      <c r="S84" s="11"/>
      <c r="T84" s="11">
        <f t="shared" si="70"/>
        <v>0</v>
      </c>
      <c r="U84" s="11"/>
      <c r="V84" s="11">
        <f t="shared" si="71"/>
        <v>0</v>
      </c>
    </row>
    <row r="85" spans="1:22" x14ac:dyDescent="0.3">
      <c r="A85" s="10" t="s">
        <v>220</v>
      </c>
      <c r="B85" s="11"/>
      <c r="C85" s="11"/>
      <c r="D85" s="16">
        <f t="shared" si="58"/>
        <v>0</v>
      </c>
      <c r="E85" s="11"/>
      <c r="F85" s="16">
        <f t="shared" si="59"/>
        <v>0</v>
      </c>
      <c r="G85" s="11">
        <f>VLOOKUP(A85,'July-B'!$B$9:$C$51,2,0)</f>
        <v>532</v>
      </c>
      <c r="H85" s="11">
        <f t="shared" si="64"/>
        <v>532</v>
      </c>
      <c r="I85" s="11">
        <f>VLOOKUP(A85,'TB-B-Aug'!$B$1:$C$53,2,0)</f>
        <v>1632</v>
      </c>
      <c r="J85" s="11">
        <f t="shared" si="65"/>
        <v>1100</v>
      </c>
      <c r="K85" s="11">
        <f>VLOOKUP(A85,'TFB-Sept,25'!$B$9:$C$54,2,0)</f>
        <v>1632</v>
      </c>
      <c r="L85" s="11">
        <f t="shared" si="66"/>
        <v>0</v>
      </c>
      <c r="M85" s="11">
        <f>VLOOKUP(A85,'PL-TFB-Oct'!$B$9:$C$57,2,0)</f>
        <v>1632</v>
      </c>
      <c r="N85" s="11">
        <f t="shared" si="67"/>
        <v>0</v>
      </c>
      <c r="O85" s="11" cm="1">
        <f t="array" ref="O85">VLOOKUP(A85,+'TFB-Nov,25'!$B$9:$C$58,2,0)</f>
        <v>1632</v>
      </c>
      <c r="P85" s="11">
        <f t="shared" ref="P85" si="125">+O85-M85</f>
        <v>0</v>
      </c>
      <c r="Q85" s="11">
        <f>VLOOKUP(A85,'TB -TFL-B-Dec,25'!$B$9:$C$62,2,0)</f>
        <v>1632</v>
      </c>
      <c r="R85" s="11">
        <f t="shared" si="69"/>
        <v>0</v>
      </c>
      <c r="S85" s="11">
        <f>VLOOKUP(A85,'TB-TFL-B-Jan,26'!$B$9:$C$67,2,0)</f>
        <v>1632</v>
      </c>
      <c r="T85" s="11">
        <f t="shared" si="70"/>
        <v>0</v>
      </c>
      <c r="U85" s="11">
        <f>VLOOKUP(A85,'TB-Feb,26-B'!$B$9:$C$67,2,0)</f>
        <v>2422</v>
      </c>
      <c r="V85" s="11">
        <f t="shared" si="71"/>
        <v>790</v>
      </c>
    </row>
    <row r="86" spans="1:22" x14ac:dyDescent="0.3">
      <c r="A86" s="10" t="s">
        <v>89</v>
      </c>
      <c r="B86" s="11">
        <f>VLOOKUP(A86,'TFL- B-April,25'!$B$9:$C$64,2,0)+31352</f>
        <v>37219</v>
      </c>
      <c r="C86" s="11">
        <f>VLOOKUP(A86,'May-B'!$B$9:$C$39,2,0)</f>
        <v>65954</v>
      </c>
      <c r="D86" s="16">
        <f t="shared" si="58"/>
        <v>28735</v>
      </c>
      <c r="E86" s="11">
        <f>VLOOKUP(A86,'June,25-B'!$B$9:$C$46,2,0)</f>
        <v>125970</v>
      </c>
      <c r="F86" s="11">
        <f t="shared" ref="F86" si="126">+E86-C86</f>
        <v>60016</v>
      </c>
      <c r="G86" s="11">
        <f>VLOOKUP(A86,'July-B'!$B$9:$C$51,2,0)+34004</f>
        <v>163724</v>
      </c>
      <c r="H86" s="11">
        <f t="shared" si="64"/>
        <v>37754</v>
      </c>
      <c r="I86" s="11">
        <f>VLOOKUP(A86,'TB-B-Aug'!$B$1:$C$53,2,0)+29725</f>
        <v>196299</v>
      </c>
      <c r="J86" s="11">
        <f t="shared" si="65"/>
        <v>32575</v>
      </c>
      <c r="K86" s="11">
        <f>VLOOKUP(A86,'TFB-Sept,25'!$B$9:$C$54,2,0)</f>
        <v>230778</v>
      </c>
      <c r="L86" s="11">
        <f t="shared" si="66"/>
        <v>34479</v>
      </c>
      <c r="M86" s="11">
        <f>VLOOKUP(A86,'PL-TFB-Oct'!$B$9:$C$57,2,0)</f>
        <v>244832</v>
      </c>
      <c r="N86" s="11">
        <f t="shared" si="67"/>
        <v>14054</v>
      </c>
      <c r="O86" s="11" cm="1">
        <f t="array" ref="O86">VLOOKUP(A86,+'TFB-Nov,25'!$B$9:$C$58,2,0)+35776</f>
        <v>359238</v>
      </c>
      <c r="P86" s="11">
        <f t="shared" ref="P86" si="127">+O86-M86</f>
        <v>114406</v>
      </c>
      <c r="Q86" s="11">
        <f>VLOOKUP(A86,'TB -TFL-B-Dec,25'!$B$9:$C$62,2,0)</f>
        <v>371638</v>
      </c>
      <c r="R86" s="11">
        <f t="shared" si="69"/>
        <v>12400</v>
      </c>
      <c r="S86" s="11">
        <f>VLOOKUP(A86,'TB-TFL-B-Jan,26'!$B$9:$C$67,2,0)+700</f>
        <v>416918</v>
      </c>
      <c r="T86" s="11">
        <f t="shared" si="70"/>
        <v>45280</v>
      </c>
      <c r="U86" s="11">
        <f>VLOOKUP(A86,'TB-Feb,26-B'!$B$9:$C$67,2,0)</f>
        <v>490220</v>
      </c>
      <c r="V86" s="11">
        <f t="shared" si="71"/>
        <v>73302</v>
      </c>
    </row>
    <row r="87" spans="1:22" x14ac:dyDescent="0.3">
      <c r="A87" s="10" t="s">
        <v>221</v>
      </c>
      <c r="B87" s="11"/>
      <c r="C87" s="11"/>
      <c r="D87" s="16">
        <f t="shared" si="58"/>
        <v>0</v>
      </c>
      <c r="E87" s="11"/>
      <c r="F87" s="16">
        <f t="shared" si="59"/>
        <v>0</v>
      </c>
      <c r="G87" s="11"/>
      <c r="H87" s="11">
        <f t="shared" si="64"/>
        <v>0</v>
      </c>
      <c r="I87" s="11"/>
      <c r="J87" s="11">
        <f t="shared" si="65"/>
        <v>0</v>
      </c>
      <c r="K87" s="11"/>
      <c r="L87" s="11">
        <f t="shared" si="66"/>
        <v>0</v>
      </c>
      <c r="M87" s="11"/>
      <c r="N87" s="11">
        <f t="shared" si="67"/>
        <v>0</v>
      </c>
      <c r="O87" s="11"/>
      <c r="P87" s="11">
        <f t="shared" ref="P87" si="128">+O87-M87</f>
        <v>0</v>
      </c>
      <c r="Q87" s="11"/>
      <c r="R87" s="11">
        <f t="shared" si="69"/>
        <v>0</v>
      </c>
      <c r="S87" s="11"/>
      <c r="T87" s="11">
        <f t="shared" si="70"/>
        <v>0</v>
      </c>
      <c r="U87" s="11"/>
      <c r="V87" s="11">
        <f t="shared" si="71"/>
        <v>0</v>
      </c>
    </row>
    <row r="88" spans="1:22" x14ac:dyDescent="0.3">
      <c r="A88" t="s">
        <v>56</v>
      </c>
      <c r="B88" s="11"/>
      <c r="C88" s="11"/>
      <c r="D88" s="16">
        <f t="shared" si="58"/>
        <v>0</v>
      </c>
      <c r="E88" s="11"/>
      <c r="F88" s="16">
        <f t="shared" si="59"/>
        <v>0</v>
      </c>
      <c r="G88" s="11"/>
      <c r="H88" s="11">
        <f t="shared" si="64"/>
        <v>0</v>
      </c>
      <c r="I88" s="11"/>
      <c r="J88" s="11">
        <f t="shared" si="65"/>
        <v>0</v>
      </c>
      <c r="K88" s="11"/>
      <c r="L88" s="11">
        <f t="shared" si="66"/>
        <v>0</v>
      </c>
      <c r="M88" s="11"/>
      <c r="N88" s="11">
        <f t="shared" si="67"/>
        <v>0</v>
      </c>
      <c r="O88" s="11"/>
      <c r="P88" s="11">
        <f t="shared" ref="P88" si="129">+O88-M88</f>
        <v>0</v>
      </c>
      <c r="Q88" s="11"/>
      <c r="R88" s="11">
        <f t="shared" si="69"/>
        <v>0</v>
      </c>
      <c r="S88" s="11"/>
      <c r="T88" s="11">
        <f t="shared" si="70"/>
        <v>0</v>
      </c>
      <c r="U88" s="11"/>
      <c r="V88" s="11">
        <f t="shared" si="71"/>
        <v>0</v>
      </c>
    </row>
    <row r="89" spans="1:22" x14ac:dyDescent="0.3">
      <c r="A89" s="10" t="s">
        <v>76</v>
      </c>
      <c r="B89" s="11"/>
      <c r="C89" s="11"/>
      <c r="D89" s="16">
        <f t="shared" si="58"/>
        <v>0</v>
      </c>
      <c r="E89" s="11"/>
      <c r="F89" s="16">
        <f t="shared" si="59"/>
        <v>0</v>
      </c>
      <c r="G89" s="11"/>
      <c r="H89" s="11">
        <f t="shared" si="64"/>
        <v>0</v>
      </c>
      <c r="I89" s="11"/>
      <c r="J89" s="11">
        <f t="shared" si="65"/>
        <v>0</v>
      </c>
      <c r="K89" s="11"/>
      <c r="L89" s="11">
        <f t="shared" si="66"/>
        <v>0</v>
      </c>
      <c r="M89" s="11"/>
      <c r="N89" s="11">
        <f t="shared" si="67"/>
        <v>0</v>
      </c>
      <c r="O89" s="11"/>
      <c r="P89" s="11">
        <f t="shared" ref="P89" si="130">+O89-M89</f>
        <v>0</v>
      </c>
      <c r="Q89" s="11"/>
      <c r="R89" s="11">
        <f t="shared" si="69"/>
        <v>0</v>
      </c>
      <c r="S89" s="11"/>
      <c r="T89" s="11">
        <f t="shared" si="70"/>
        <v>0</v>
      </c>
      <c r="U89" s="11"/>
      <c r="V89" s="11">
        <f t="shared" si="71"/>
        <v>0</v>
      </c>
    </row>
    <row r="90" spans="1:22" x14ac:dyDescent="0.3">
      <c r="A90" t="s">
        <v>222</v>
      </c>
      <c r="B90" s="11"/>
      <c r="C90" s="11"/>
      <c r="D90" s="16">
        <f t="shared" si="58"/>
        <v>0</v>
      </c>
      <c r="E90" s="11"/>
      <c r="F90" s="16">
        <f t="shared" si="59"/>
        <v>0</v>
      </c>
      <c r="G90" s="11"/>
      <c r="H90" s="11">
        <f t="shared" si="64"/>
        <v>0</v>
      </c>
      <c r="I90" s="11"/>
      <c r="J90" s="11">
        <f t="shared" si="65"/>
        <v>0</v>
      </c>
      <c r="K90" s="11"/>
      <c r="L90" s="11">
        <f t="shared" si="66"/>
        <v>0</v>
      </c>
      <c r="M90" s="11"/>
      <c r="N90" s="11">
        <f t="shared" si="67"/>
        <v>0</v>
      </c>
      <c r="O90" s="11"/>
      <c r="P90" s="11">
        <f t="shared" ref="P90" si="131">+O90-M90</f>
        <v>0</v>
      </c>
      <c r="Q90" s="11"/>
      <c r="R90" s="11">
        <f t="shared" si="69"/>
        <v>0</v>
      </c>
      <c r="S90" s="11"/>
      <c r="T90" s="11">
        <f t="shared" si="70"/>
        <v>0</v>
      </c>
      <c r="U90" s="11"/>
      <c r="V90" s="11">
        <f t="shared" si="71"/>
        <v>0</v>
      </c>
    </row>
    <row r="91" spans="1:22" x14ac:dyDescent="0.3">
      <c r="A91" s="10" t="s">
        <v>223</v>
      </c>
      <c r="B91" s="11"/>
      <c r="C91" s="11"/>
      <c r="D91" s="16">
        <f t="shared" si="58"/>
        <v>0</v>
      </c>
      <c r="E91" s="11"/>
      <c r="F91" s="16">
        <f t="shared" si="59"/>
        <v>0</v>
      </c>
      <c r="G91" s="11"/>
      <c r="H91" s="11">
        <f t="shared" si="64"/>
        <v>0</v>
      </c>
      <c r="I91" s="11"/>
      <c r="J91" s="11">
        <f t="shared" si="65"/>
        <v>0</v>
      </c>
      <c r="K91" s="11"/>
      <c r="L91" s="11">
        <f t="shared" si="66"/>
        <v>0</v>
      </c>
      <c r="M91" s="11">
        <v>6000</v>
      </c>
      <c r="N91" s="11">
        <f t="shared" si="67"/>
        <v>6000</v>
      </c>
      <c r="O91" s="11" cm="1">
        <f t="array" ref="O91">VLOOKUP(A91,+'TFB-Nov,25'!$B$9:$C$58,2,0)</f>
        <v>6000</v>
      </c>
      <c r="P91" s="11">
        <f t="shared" ref="P91" si="132">+O91-M91</f>
        <v>0</v>
      </c>
      <c r="Q91" s="11">
        <f>VLOOKUP(A91,'TB -TFL-B-Dec,25'!$B$9:$C$62,2,0)</f>
        <v>6000</v>
      </c>
      <c r="R91" s="11">
        <f t="shared" si="69"/>
        <v>0</v>
      </c>
      <c r="S91" s="11">
        <f>VLOOKUP(A91,'TB-TFL-B-Jan,26'!$B$9:$C$67,2,0)</f>
        <v>6000</v>
      </c>
      <c r="T91" s="11">
        <f t="shared" si="70"/>
        <v>0</v>
      </c>
      <c r="U91" s="11">
        <f>VLOOKUP(A91,'TB-Feb,26-B'!$B$9:$C$67,2,0)</f>
        <v>6000</v>
      </c>
      <c r="V91" s="11">
        <f t="shared" si="71"/>
        <v>0</v>
      </c>
    </row>
    <row r="92" spans="1:22" x14ac:dyDescent="0.3">
      <c r="A92" s="10" t="s">
        <v>224</v>
      </c>
      <c r="B92" s="11"/>
      <c r="C92" s="11"/>
      <c r="D92" s="16">
        <f t="shared" si="58"/>
        <v>0</v>
      </c>
      <c r="E92" s="11"/>
      <c r="F92" s="16">
        <f t="shared" si="59"/>
        <v>0</v>
      </c>
      <c r="G92" s="11"/>
      <c r="H92" s="11">
        <f t="shared" si="64"/>
        <v>0</v>
      </c>
      <c r="I92" s="11"/>
      <c r="J92" s="11">
        <f t="shared" si="65"/>
        <v>0</v>
      </c>
      <c r="K92" s="11"/>
      <c r="L92" s="11">
        <f t="shared" si="66"/>
        <v>0</v>
      </c>
      <c r="M92" s="11"/>
      <c r="N92" s="11">
        <f t="shared" si="67"/>
        <v>0</v>
      </c>
      <c r="O92" s="11"/>
      <c r="P92" s="11">
        <f t="shared" ref="P92" si="133">+O92-M92</f>
        <v>0</v>
      </c>
      <c r="Q92" s="11"/>
      <c r="R92" s="11">
        <f t="shared" si="69"/>
        <v>0</v>
      </c>
      <c r="S92" s="11"/>
      <c r="T92" s="11">
        <f t="shared" si="70"/>
        <v>0</v>
      </c>
      <c r="U92" s="11"/>
      <c r="V92" s="11">
        <f t="shared" si="71"/>
        <v>0</v>
      </c>
    </row>
    <row r="93" spans="1:22" x14ac:dyDescent="0.3">
      <c r="A93" s="10" t="s">
        <v>225</v>
      </c>
      <c r="B93" s="11"/>
      <c r="C93" s="11">
        <f>VLOOKUP(A93,'May-B'!$B$9:$C$39,2,0)</f>
        <v>5549.18</v>
      </c>
      <c r="D93" s="16">
        <f t="shared" si="58"/>
        <v>5549.18</v>
      </c>
      <c r="E93" s="11">
        <f>VLOOKUP(A93,'June,25-B'!$B$9:$C$46,2,0)</f>
        <v>16928.78</v>
      </c>
      <c r="F93" s="11">
        <f t="shared" ref="F93" si="134">+E93-C93</f>
        <v>11379.599999999999</v>
      </c>
      <c r="G93" s="11">
        <f>VLOOKUP(A93,'July-B'!$B$9:$C$51,2,0)</f>
        <v>16928.78</v>
      </c>
      <c r="H93" s="11">
        <f t="shared" si="64"/>
        <v>0</v>
      </c>
      <c r="I93" s="11">
        <f>VLOOKUP(A93,'TB-B-Aug'!$B$1:$C$53,2,0)</f>
        <v>16928.78</v>
      </c>
      <c r="J93" s="11">
        <f t="shared" si="65"/>
        <v>0</v>
      </c>
      <c r="K93" s="11">
        <f>VLOOKUP(A93,'TFB-Sept,25'!$B$9:$C$54,2,0)</f>
        <v>16928.78</v>
      </c>
      <c r="L93" s="11">
        <f t="shared" si="66"/>
        <v>0</v>
      </c>
      <c r="M93" s="11">
        <f>VLOOKUP(A93,'PL-TFB-Oct'!$B$9:$C$57,2,0)</f>
        <v>16928.78</v>
      </c>
      <c r="N93" s="11">
        <f t="shared" si="67"/>
        <v>0</v>
      </c>
      <c r="O93" s="11" cm="1">
        <f t="array" ref="O93">VLOOKUP(A93,+'TFB-Nov,25'!$B$9:$C$58,2,0)</f>
        <v>16928.78</v>
      </c>
      <c r="P93" s="11">
        <f t="shared" ref="P93" si="135">+O93-M93</f>
        <v>0</v>
      </c>
      <c r="Q93" s="11">
        <f>VLOOKUP(A93,'TB -TFL-B-Dec,25'!$B$9:$C$62,2,0)</f>
        <v>16928.78</v>
      </c>
      <c r="R93" s="11">
        <f t="shared" si="69"/>
        <v>0</v>
      </c>
      <c r="S93" s="11">
        <f>VLOOKUP(A93,'TB-TFL-B-Jan,26'!$B$9:$C$67,2,0)</f>
        <v>16928.78</v>
      </c>
      <c r="T93" s="11">
        <f t="shared" si="70"/>
        <v>0</v>
      </c>
      <c r="U93" s="11">
        <f>VLOOKUP(A93,'TB-Feb,26-B'!$B$9:$C$67,2,0)</f>
        <v>16928.78</v>
      </c>
      <c r="V93" s="11">
        <f t="shared" si="71"/>
        <v>0</v>
      </c>
    </row>
    <row r="94" spans="1:22" x14ac:dyDescent="0.3">
      <c r="A94" s="10" t="s">
        <v>226</v>
      </c>
      <c r="B94" s="11"/>
      <c r="C94" s="11"/>
      <c r="D94" s="16">
        <f t="shared" si="58"/>
        <v>0</v>
      </c>
      <c r="E94" s="11"/>
      <c r="F94" s="16">
        <f t="shared" si="59"/>
        <v>0</v>
      </c>
      <c r="G94" s="11"/>
      <c r="H94" s="11">
        <f t="shared" si="64"/>
        <v>0</v>
      </c>
      <c r="I94" s="11"/>
      <c r="J94" s="11">
        <f t="shared" si="65"/>
        <v>0</v>
      </c>
      <c r="K94" s="11"/>
      <c r="L94" s="11">
        <f t="shared" si="66"/>
        <v>0</v>
      </c>
      <c r="M94" s="11"/>
      <c r="N94" s="11">
        <f t="shared" si="67"/>
        <v>0</v>
      </c>
      <c r="O94" s="11"/>
      <c r="P94" s="11">
        <f t="shared" ref="P94:P128" si="136">+O94-M94</f>
        <v>0</v>
      </c>
      <c r="Q94" s="11"/>
      <c r="R94" s="11">
        <f t="shared" si="69"/>
        <v>0</v>
      </c>
      <c r="S94" s="11"/>
      <c r="T94" s="11">
        <f t="shared" si="70"/>
        <v>0</v>
      </c>
      <c r="U94" s="11"/>
      <c r="V94" s="11">
        <f t="shared" si="71"/>
        <v>0</v>
      </c>
    </row>
    <row r="95" spans="1:22" x14ac:dyDescent="0.3">
      <c r="A95" s="10" t="s">
        <v>227</v>
      </c>
      <c r="B95" s="11"/>
      <c r="C95" s="11"/>
      <c r="D95" s="16">
        <f t="shared" si="58"/>
        <v>0</v>
      </c>
      <c r="E95" s="11"/>
      <c r="F95" s="16">
        <f t="shared" si="59"/>
        <v>0</v>
      </c>
      <c r="G95" s="11"/>
      <c r="H95" s="11">
        <f t="shared" si="64"/>
        <v>0</v>
      </c>
      <c r="I95" s="11"/>
      <c r="J95" s="11">
        <f t="shared" si="65"/>
        <v>0</v>
      </c>
      <c r="K95" s="11"/>
      <c r="L95" s="11">
        <f t="shared" si="66"/>
        <v>0</v>
      </c>
      <c r="M95" s="11"/>
      <c r="N95" s="11">
        <f t="shared" si="67"/>
        <v>0</v>
      </c>
      <c r="O95" s="11"/>
      <c r="P95" s="11">
        <f t="shared" si="136"/>
        <v>0</v>
      </c>
      <c r="Q95" s="11"/>
      <c r="R95" s="11">
        <f t="shared" si="69"/>
        <v>0</v>
      </c>
      <c r="S95" s="11"/>
      <c r="T95" s="11">
        <f t="shared" si="70"/>
        <v>0</v>
      </c>
      <c r="U95" s="11"/>
      <c r="V95" s="11">
        <f t="shared" si="71"/>
        <v>0</v>
      </c>
    </row>
    <row r="96" spans="1:22" x14ac:dyDescent="0.3">
      <c r="A96" s="10" t="s">
        <v>90</v>
      </c>
      <c r="B96" s="11">
        <f>VLOOKUP(A96,'TFL- B-April,25'!$B$9:$C$64,2,0)</f>
        <v>9860</v>
      </c>
      <c r="C96" s="11">
        <f>VLOOKUP(A96,'May-B'!$B$9:$C$39,2,0)</f>
        <v>36466.69</v>
      </c>
      <c r="D96" s="16">
        <f t="shared" si="58"/>
        <v>26606.690000000002</v>
      </c>
      <c r="E96" s="11">
        <f>VLOOKUP(A96,'June,25-B'!$B$9:$C$46,2,0)</f>
        <v>36466.69</v>
      </c>
      <c r="F96" s="11">
        <f t="shared" ref="F96" si="137">+E96-C96</f>
        <v>0</v>
      </c>
      <c r="G96" s="11">
        <f>VLOOKUP(A96,'July-B'!$B$9:$C$51,2,0)</f>
        <v>41609.69</v>
      </c>
      <c r="H96" s="11">
        <f t="shared" si="64"/>
        <v>5143</v>
      </c>
      <c r="I96" s="11">
        <f>VLOOKUP(A96,'TB-B-Aug'!$B$1:$C$53,2,0)</f>
        <v>72873.789999999994</v>
      </c>
      <c r="J96" s="11">
        <f t="shared" si="65"/>
        <v>31264.099999999991</v>
      </c>
      <c r="K96" s="11">
        <f>VLOOKUP(A96,'TFB-Sept,25'!$B$9:$C$54,2,0)</f>
        <v>72873.789999999994</v>
      </c>
      <c r="L96" s="11">
        <f t="shared" si="66"/>
        <v>0</v>
      </c>
      <c r="M96" s="11">
        <f>VLOOKUP(A96,'PL-TFB-Oct'!$B$9:$C$57,2,0)</f>
        <v>85306.79</v>
      </c>
      <c r="N96" s="11">
        <f t="shared" si="67"/>
        <v>12433</v>
      </c>
      <c r="O96" s="11" cm="1">
        <f t="array" ref="O96">VLOOKUP(A96,+'TFB-Nov,25'!$B$9:$C$58,2,0)</f>
        <v>85306.79</v>
      </c>
      <c r="P96" s="11">
        <f t="shared" si="136"/>
        <v>0</v>
      </c>
      <c r="Q96" s="11">
        <f>VLOOKUP(A96,'TB -TFL-B-Dec,25'!$B$9:$C$62,2,0)</f>
        <v>85306.79</v>
      </c>
      <c r="R96" s="11">
        <f t="shared" si="69"/>
        <v>0</v>
      </c>
      <c r="S96" s="11">
        <f>VLOOKUP(A96,'TB-TFL-B-Jan,26'!$B$9:$C$67,2,0)</f>
        <v>143251.89000000001</v>
      </c>
      <c r="T96" s="11">
        <f t="shared" si="70"/>
        <v>57945.10000000002</v>
      </c>
      <c r="U96" s="11">
        <f>VLOOKUP(A96,'TB-Feb,26-B'!$B$9:$C$67,2,0)</f>
        <v>171571.89</v>
      </c>
      <c r="V96" s="11">
        <f t="shared" si="71"/>
        <v>28320</v>
      </c>
    </row>
    <row r="97" spans="1:22" x14ac:dyDescent="0.3">
      <c r="A97" s="10" t="s">
        <v>62</v>
      </c>
      <c r="B97" s="11"/>
      <c r="C97" s="11"/>
      <c r="D97" s="16">
        <f t="shared" si="58"/>
        <v>0</v>
      </c>
      <c r="E97" s="11"/>
      <c r="F97" s="16">
        <f t="shared" si="59"/>
        <v>0</v>
      </c>
      <c r="G97" s="11"/>
      <c r="H97" s="11">
        <f t="shared" si="64"/>
        <v>0</v>
      </c>
      <c r="I97" s="11"/>
      <c r="J97" s="11">
        <f t="shared" si="65"/>
        <v>0</v>
      </c>
      <c r="K97" s="11"/>
      <c r="L97" s="11">
        <f t="shared" si="66"/>
        <v>0</v>
      </c>
      <c r="M97" s="11"/>
      <c r="N97" s="11">
        <f t="shared" si="67"/>
        <v>0</v>
      </c>
      <c r="O97" s="11"/>
      <c r="P97" s="11">
        <f t="shared" si="136"/>
        <v>0</v>
      </c>
      <c r="Q97" s="11"/>
      <c r="R97" s="11">
        <f t="shared" si="69"/>
        <v>0</v>
      </c>
      <c r="S97" s="11"/>
      <c r="T97" s="11">
        <f t="shared" si="70"/>
        <v>0</v>
      </c>
      <c r="U97" s="11"/>
      <c r="V97" s="11">
        <f t="shared" si="71"/>
        <v>0</v>
      </c>
    </row>
    <row r="98" spans="1:22" x14ac:dyDescent="0.3">
      <c r="A98" s="10" t="s">
        <v>228</v>
      </c>
      <c r="B98" s="11"/>
      <c r="C98" s="11"/>
      <c r="D98" s="16">
        <f t="shared" si="58"/>
        <v>0</v>
      </c>
      <c r="E98" s="11"/>
      <c r="F98" s="16">
        <f t="shared" si="59"/>
        <v>0</v>
      </c>
      <c r="G98" s="11"/>
      <c r="H98" s="11">
        <f t="shared" si="64"/>
        <v>0</v>
      </c>
      <c r="I98" s="11"/>
      <c r="J98" s="11">
        <f t="shared" si="65"/>
        <v>0</v>
      </c>
      <c r="K98" s="11"/>
      <c r="L98" s="11">
        <f t="shared" si="66"/>
        <v>0</v>
      </c>
      <c r="M98" s="11">
        <f>VLOOKUP(A98,'PL-TFB-Oct'!$B$9:$C$57,2,0)</f>
        <v>3971</v>
      </c>
      <c r="N98" s="11">
        <f t="shared" si="67"/>
        <v>3971</v>
      </c>
      <c r="O98" s="11" cm="1">
        <f t="array" ref="O98">VLOOKUP(A98,+'TFB-Nov,25'!$B$9:$C$58,2,0)</f>
        <v>3971</v>
      </c>
      <c r="P98" s="11">
        <f t="shared" si="136"/>
        <v>0</v>
      </c>
      <c r="Q98" s="11">
        <f>VLOOKUP(A98,'TB -TFL-B-Dec,25'!$B$9:$C$62,2,0)</f>
        <v>3971</v>
      </c>
      <c r="R98" s="11">
        <f t="shared" si="69"/>
        <v>0</v>
      </c>
      <c r="S98" s="11">
        <f>VLOOKUP(A98,'TB-TFL-B-Jan,26'!$B$9:$C$67,2,0)</f>
        <v>3971</v>
      </c>
      <c r="T98" s="11">
        <f t="shared" si="70"/>
        <v>0</v>
      </c>
      <c r="U98" s="11">
        <f>VLOOKUP(A98,'TB-Feb,26-B'!$B$9:$C$67,2,0)</f>
        <v>3971</v>
      </c>
      <c r="V98" s="11">
        <f t="shared" si="71"/>
        <v>0</v>
      </c>
    </row>
    <row r="99" spans="1:22" x14ac:dyDescent="0.3">
      <c r="A99" s="10" t="s">
        <v>229</v>
      </c>
      <c r="B99" s="11"/>
      <c r="C99" s="11">
        <f>VLOOKUP(A99,'May-B'!$B$9:$C$39,2,0)</f>
        <v>20000</v>
      </c>
      <c r="D99" s="16">
        <f t="shared" si="58"/>
        <v>20000</v>
      </c>
      <c r="E99" s="11">
        <f>VLOOKUP(A99,'June,25-B'!$B$9:$C$46,2,0)</f>
        <v>20000</v>
      </c>
      <c r="F99" s="16">
        <f t="shared" si="59"/>
        <v>0</v>
      </c>
      <c r="G99" s="11">
        <f>VLOOKUP(A99,'July-B'!$B$9:$C$51,2,0)</f>
        <v>20000</v>
      </c>
      <c r="H99" s="11">
        <f t="shared" ref="H99:H128" si="138">+G99-E99</f>
        <v>0</v>
      </c>
      <c r="I99" s="11">
        <f>VLOOKUP(A99,'TB-B-Aug'!$B$1:$C$53,2,0)</f>
        <v>20000</v>
      </c>
      <c r="J99" s="11">
        <f t="shared" ref="J99:J128" si="139">+I99-G99</f>
        <v>0</v>
      </c>
      <c r="K99" s="11">
        <f>VLOOKUP(A99,'TFB-Sept,25'!$B$9:$C$54,2,0)</f>
        <v>20000</v>
      </c>
      <c r="L99" s="11">
        <f t="shared" ref="L99:L128" si="140">+K99-I99</f>
        <v>0</v>
      </c>
      <c r="M99" s="11">
        <f>VLOOKUP(A99,'PL-TFB-Oct'!$B$9:$C$57,2,0)</f>
        <v>20000</v>
      </c>
      <c r="N99" s="11">
        <f t="shared" ref="N99:N128" si="141">+M99-K99</f>
        <v>0</v>
      </c>
      <c r="O99" s="11" cm="1">
        <f t="array" ref="O99">VLOOKUP(A99,+'TFB-Nov,25'!$B$9:$C$58,2,0)</f>
        <v>20000</v>
      </c>
      <c r="P99" s="11">
        <f t="shared" si="136"/>
        <v>0</v>
      </c>
      <c r="Q99" s="11">
        <f>VLOOKUP(A99,'TB -TFL-B-Dec,25'!$B$9:$C$62,2,0)</f>
        <v>30000</v>
      </c>
      <c r="R99" s="11">
        <f t="shared" ref="R99:R128" si="142">+Q99-O99</f>
        <v>10000</v>
      </c>
      <c r="S99" s="11">
        <f>VLOOKUP(A99,'TB-TFL-B-Jan,26'!$B$9:$C$67,2,0)</f>
        <v>30000</v>
      </c>
      <c r="T99" s="11">
        <f t="shared" ref="T99:T128" si="143">+S99-Q99</f>
        <v>0</v>
      </c>
      <c r="U99" s="11">
        <f>VLOOKUP(A99,'TB-Feb,26-B'!$B$9:$C$67,2,0)</f>
        <v>30000</v>
      </c>
      <c r="V99" s="11">
        <f t="shared" ref="V99:V128" si="144">+U99-S99</f>
        <v>0</v>
      </c>
    </row>
    <row r="100" spans="1:22" x14ac:dyDescent="0.3">
      <c r="A100" s="10" t="s">
        <v>94</v>
      </c>
      <c r="B100" s="11"/>
      <c r="C100" s="11"/>
      <c r="D100" s="16">
        <f t="shared" si="58"/>
        <v>0</v>
      </c>
      <c r="E100" s="11"/>
      <c r="F100" s="16">
        <f t="shared" si="59"/>
        <v>0</v>
      </c>
      <c r="G100" s="11"/>
      <c r="H100" s="11">
        <f t="shared" si="138"/>
        <v>0</v>
      </c>
      <c r="I100" s="11"/>
      <c r="J100" s="11">
        <f t="shared" si="139"/>
        <v>0</v>
      </c>
      <c r="K100" s="11"/>
      <c r="L100" s="11">
        <f t="shared" si="140"/>
        <v>0</v>
      </c>
      <c r="M100" s="11"/>
      <c r="N100" s="11">
        <f t="shared" si="141"/>
        <v>0</v>
      </c>
      <c r="O100" s="11"/>
      <c r="P100" s="11">
        <f t="shared" si="136"/>
        <v>0</v>
      </c>
      <c r="Q100" s="11"/>
      <c r="R100" s="11">
        <f t="shared" si="142"/>
        <v>0</v>
      </c>
      <c r="S100" s="11"/>
      <c r="T100" s="11">
        <f t="shared" si="143"/>
        <v>0</v>
      </c>
      <c r="U100" s="11"/>
      <c r="V100" s="11">
        <f t="shared" si="144"/>
        <v>0</v>
      </c>
    </row>
    <row r="101" spans="1:22" x14ac:dyDescent="0.3">
      <c r="A101" s="10" t="s">
        <v>61</v>
      </c>
      <c r="B101" s="11"/>
      <c r="C101" s="11"/>
      <c r="D101" s="16">
        <f t="shared" si="58"/>
        <v>0</v>
      </c>
      <c r="E101" s="11"/>
      <c r="F101" s="16">
        <f t="shared" si="59"/>
        <v>0</v>
      </c>
      <c r="G101" s="11"/>
      <c r="H101" s="11">
        <f t="shared" si="138"/>
        <v>0</v>
      </c>
      <c r="I101" s="11"/>
      <c r="J101" s="11">
        <f t="shared" si="139"/>
        <v>0</v>
      </c>
      <c r="K101" s="11"/>
      <c r="L101" s="11">
        <f t="shared" si="140"/>
        <v>0</v>
      </c>
      <c r="M101" s="11"/>
      <c r="N101" s="11">
        <f t="shared" si="141"/>
        <v>0</v>
      </c>
      <c r="O101" s="11"/>
      <c r="P101" s="11">
        <f t="shared" si="136"/>
        <v>0</v>
      </c>
      <c r="Q101" s="11"/>
      <c r="R101" s="11">
        <f t="shared" si="142"/>
        <v>0</v>
      </c>
      <c r="S101" s="11">
        <f>VLOOKUP(A101,'TB-TFL-B-Jan,26'!$B$9:$C$67,2,0)</f>
        <v>84000</v>
      </c>
      <c r="T101" s="11">
        <f t="shared" si="143"/>
        <v>84000</v>
      </c>
      <c r="U101" s="11">
        <f>VLOOKUP(A101,'TB-Feb,26-B'!$B$9:$C$67,2,0)</f>
        <v>84000</v>
      </c>
      <c r="V101" s="11">
        <f t="shared" si="144"/>
        <v>0</v>
      </c>
    </row>
    <row r="102" spans="1:22" x14ac:dyDescent="0.3">
      <c r="A102" s="10" t="s">
        <v>91</v>
      </c>
      <c r="B102" s="11"/>
      <c r="C102" s="11"/>
      <c r="D102" s="16">
        <f t="shared" si="58"/>
        <v>0</v>
      </c>
      <c r="E102" s="11"/>
      <c r="F102" s="16">
        <f t="shared" si="59"/>
        <v>0</v>
      </c>
      <c r="G102" s="11">
        <f>VLOOKUP(A102,'July-B'!$B$9:$C$51,2,0)</f>
        <v>8800</v>
      </c>
      <c r="H102" s="11">
        <f t="shared" si="138"/>
        <v>8800</v>
      </c>
      <c r="I102" s="11">
        <f>VLOOKUP(A102,'TB-B-Aug'!$B$1:$C$53,2,0)</f>
        <v>8800</v>
      </c>
      <c r="J102" s="11">
        <f t="shared" si="139"/>
        <v>0</v>
      </c>
      <c r="K102" s="11">
        <f>VLOOKUP(A102,'TFB-Sept,25'!$B$9:$C$54,2,0)</f>
        <v>18200</v>
      </c>
      <c r="L102" s="11">
        <f t="shared" si="140"/>
        <v>9400</v>
      </c>
      <c r="M102" s="11">
        <f>VLOOKUP(A102,'PL-TFB-Oct'!$B$9:$C$57,2,0)</f>
        <v>18200</v>
      </c>
      <c r="N102" s="11">
        <f t="shared" si="141"/>
        <v>0</v>
      </c>
      <c r="O102" s="11" cm="1">
        <f t="array" ref="O102">VLOOKUP(A102,+'TFB-Nov,25'!$B$9:$C$58,2,0)</f>
        <v>18200</v>
      </c>
      <c r="P102" s="11">
        <f t="shared" si="136"/>
        <v>0</v>
      </c>
      <c r="Q102" s="11">
        <f>VLOOKUP(A102,'TB -TFL-B-Dec,25'!$B$9:$C$62,2,0)</f>
        <v>22600</v>
      </c>
      <c r="R102" s="11">
        <f t="shared" si="142"/>
        <v>4400</v>
      </c>
      <c r="S102" s="11">
        <f>VLOOKUP(A102,'TB-TFL-B-Jan,26'!$B$9:$C$67,2,0)</f>
        <v>47600</v>
      </c>
      <c r="T102" s="11">
        <f t="shared" si="143"/>
        <v>25000</v>
      </c>
      <c r="U102" s="11">
        <f>VLOOKUP(A102,'TB-Feb,26-B'!$B$9:$C$67,2,0)</f>
        <v>52000</v>
      </c>
      <c r="V102" s="11">
        <f t="shared" si="144"/>
        <v>4400</v>
      </c>
    </row>
    <row r="103" spans="1:22" x14ac:dyDescent="0.3">
      <c r="A103" t="s">
        <v>230</v>
      </c>
      <c r="B103" s="11"/>
      <c r="C103" s="11"/>
      <c r="D103" s="16">
        <f t="shared" si="58"/>
        <v>0</v>
      </c>
      <c r="E103" s="11"/>
      <c r="F103" s="16">
        <f t="shared" si="59"/>
        <v>0</v>
      </c>
      <c r="G103" s="11"/>
      <c r="H103" s="11">
        <f t="shared" si="138"/>
        <v>0</v>
      </c>
      <c r="I103" s="11"/>
      <c r="J103" s="11">
        <f t="shared" si="139"/>
        <v>0</v>
      </c>
      <c r="K103" s="11"/>
      <c r="L103" s="11">
        <f t="shared" si="140"/>
        <v>0</v>
      </c>
      <c r="M103" s="11"/>
      <c r="N103" s="11">
        <f t="shared" si="141"/>
        <v>0</v>
      </c>
      <c r="O103" s="11"/>
      <c r="P103" s="11">
        <f t="shared" si="136"/>
        <v>0</v>
      </c>
      <c r="Q103" s="11"/>
      <c r="R103" s="11">
        <f t="shared" si="142"/>
        <v>0</v>
      </c>
      <c r="S103" s="11"/>
      <c r="T103" s="11">
        <f t="shared" si="143"/>
        <v>0</v>
      </c>
      <c r="U103" s="11"/>
      <c r="V103" s="11">
        <f t="shared" si="144"/>
        <v>0</v>
      </c>
    </row>
    <row r="104" spans="1:22" x14ac:dyDescent="0.3">
      <c r="A104" s="10" t="s">
        <v>92</v>
      </c>
      <c r="B104" s="11"/>
      <c r="C104" s="11"/>
      <c r="D104" s="16">
        <f t="shared" ref="D104:D126" si="145">+C104-B104</f>
        <v>0</v>
      </c>
      <c r="E104" s="11">
        <f>VLOOKUP(A104,'June,25-B'!$B$9:$C$46,2,0)</f>
        <v>93670</v>
      </c>
      <c r="F104" s="11">
        <f t="shared" ref="F104:F105" si="146">+E104-C104</f>
        <v>93670</v>
      </c>
      <c r="G104" s="11">
        <f>VLOOKUP(A104,'July-B'!$B$9:$C$51,2,0)</f>
        <v>93670</v>
      </c>
      <c r="H104" s="11">
        <f t="shared" si="138"/>
        <v>0</v>
      </c>
      <c r="I104" s="11">
        <f>VLOOKUP(A104,'TB-B-Aug'!$B$1:$C$53,2,0)</f>
        <v>93670</v>
      </c>
      <c r="J104" s="11">
        <f t="shared" si="139"/>
        <v>0</v>
      </c>
      <c r="K104" s="11">
        <f>VLOOKUP(A104,'TFB-Sept,25'!$B$9:$C$54,2,0)</f>
        <v>93670</v>
      </c>
      <c r="L104" s="11">
        <f t="shared" si="140"/>
        <v>0</v>
      </c>
      <c r="M104" s="11">
        <f>VLOOKUP(A104,'PL-TFB-Oct'!$B$9:$C$57,2,0)</f>
        <v>122670</v>
      </c>
      <c r="N104" s="11">
        <f t="shared" si="141"/>
        <v>29000</v>
      </c>
      <c r="O104" s="11" cm="1">
        <f t="array" ref="O104">VLOOKUP(A104,+'TFB-Nov,25'!$B$9:$C$58,2,0)</f>
        <v>122670</v>
      </c>
      <c r="P104" s="11">
        <f t="shared" si="136"/>
        <v>0</v>
      </c>
      <c r="Q104" s="11">
        <f>VLOOKUP(A104,'TB -TFL-B-Dec,25'!$B$9:$C$62,2,0)</f>
        <v>122670</v>
      </c>
      <c r="R104" s="11">
        <f t="shared" si="142"/>
        <v>0</v>
      </c>
      <c r="S104" s="11">
        <f>VLOOKUP(A104,'TB-TFL-B-Jan,26'!$B$9:$C$67,2,0)</f>
        <v>122670</v>
      </c>
      <c r="T104" s="11">
        <f t="shared" si="143"/>
        <v>0</v>
      </c>
      <c r="U104" s="11">
        <f>VLOOKUP(A104,'TB-Feb,26-B'!$B$9:$C$67,2,0)</f>
        <v>122670</v>
      </c>
      <c r="V104" s="11">
        <f t="shared" si="144"/>
        <v>0</v>
      </c>
    </row>
    <row r="105" spans="1:22" x14ac:dyDescent="0.3">
      <c r="A105" s="10" t="s">
        <v>57</v>
      </c>
      <c r="B105" s="11">
        <f>VLOOKUP(A105,'TFL- B-April,25'!$B$9:$C$64,2,0)+68</f>
        <v>64.92</v>
      </c>
      <c r="C105" s="11">
        <f>VLOOKUP(A105,'May-B'!$B$9:$C$39,2,0)</f>
        <v>2.5</v>
      </c>
      <c r="D105" s="16">
        <f t="shared" si="145"/>
        <v>-62.42</v>
      </c>
      <c r="E105" s="11">
        <f>VLOOKUP(A105,'June,25-B'!$B$9:$C$46,2,0)</f>
        <v>-2.5</v>
      </c>
      <c r="F105" s="11">
        <f t="shared" si="146"/>
        <v>-5</v>
      </c>
      <c r="G105" s="11">
        <f>VLOOKUP(A105,'July-B'!$B$9:$C$51,2,0)</f>
        <v>-2.4900000000000002</v>
      </c>
      <c r="H105" s="11">
        <f t="shared" si="138"/>
        <v>9.9999999999997868E-3</v>
      </c>
      <c r="I105" s="11">
        <f>VLOOKUP(A105,'TB-B-Aug'!$B$1:$C$53,2,0)</f>
        <v>-7.97</v>
      </c>
      <c r="J105" s="11">
        <f t="shared" si="139"/>
        <v>-5.4799999999999995</v>
      </c>
      <c r="K105" s="11">
        <f>VLOOKUP(A105,'TFB-Sept,25'!$B$9:$C$54,2,0)</f>
        <v>-8.85</v>
      </c>
      <c r="L105" s="11">
        <f t="shared" si="140"/>
        <v>-0.87999999999999989</v>
      </c>
      <c r="M105" s="11">
        <f>VLOOKUP(A105,'PL-TFB-Oct'!$B$9:$C$57,2,0)</f>
        <v>-11.31</v>
      </c>
      <c r="N105" s="11">
        <f t="shared" si="141"/>
        <v>-2.4600000000000009</v>
      </c>
      <c r="O105" s="11" cm="1">
        <f t="array" ref="O105">VLOOKUP(A105,+'TFB-Nov,25'!$B$9:$C$58,2,0)</f>
        <v>-11.31</v>
      </c>
      <c r="P105" s="11">
        <f t="shared" si="136"/>
        <v>0</v>
      </c>
      <c r="Q105" s="11">
        <f>VLOOKUP(A105,'TB -TFL-B-Dec,25'!$B$9:$C$62,2,0)</f>
        <v>-11.31</v>
      </c>
      <c r="R105" s="11">
        <f t="shared" si="142"/>
        <v>0</v>
      </c>
      <c r="S105" s="11">
        <f>VLOOKUP(A105,'TB-TFL-B-Jan,26'!$B$9:$C$67,2,0)</f>
        <v>-12.3</v>
      </c>
      <c r="T105" s="11">
        <f t="shared" si="143"/>
        <v>-0.99000000000000021</v>
      </c>
      <c r="U105" s="11">
        <f>VLOOKUP(A105,'TB-Feb,26-B'!$B$9:$C$67,2,0)</f>
        <v>-12.3</v>
      </c>
      <c r="V105" s="11">
        <f t="shared" si="144"/>
        <v>0</v>
      </c>
    </row>
    <row r="106" spans="1:22" x14ac:dyDescent="0.3">
      <c r="A106" s="10" t="s">
        <v>63</v>
      </c>
      <c r="B106" s="11"/>
      <c r="C106" s="11"/>
      <c r="D106" s="16">
        <f t="shared" si="145"/>
        <v>0</v>
      </c>
      <c r="E106" s="11"/>
      <c r="F106" s="16">
        <f t="shared" ref="F106:F126" si="147">+E106-D106</f>
        <v>0</v>
      </c>
      <c r="G106" s="11"/>
      <c r="H106" s="11">
        <f t="shared" si="138"/>
        <v>0</v>
      </c>
      <c r="I106" s="11"/>
      <c r="J106" s="11">
        <f t="shared" si="139"/>
        <v>0</v>
      </c>
      <c r="K106" s="11"/>
      <c r="L106" s="11">
        <f t="shared" si="140"/>
        <v>0</v>
      </c>
      <c r="M106" s="11"/>
      <c r="N106" s="11">
        <f t="shared" si="141"/>
        <v>0</v>
      </c>
      <c r="O106" s="11"/>
      <c r="P106" s="11">
        <f t="shared" si="136"/>
        <v>0</v>
      </c>
      <c r="Q106" s="11"/>
      <c r="R106" s="11">
        <f t="shared" si="142"/>
        <v>0</v>
      </c>
      <c r="S106" s="11"/>
      <c r="T106" s="11">
        <f t="shared" si="143"/>
        <v>0</v>
      </c>
      <c r="U106" s="11"/>
      <c r="V106" s="11">
        <f t="shared" si="144"/>
        <v>0</v>
      </c>
    </row>
    <row r="107" spans="1:22" x14ac:dyDescent="0.3">
      <c r="A107" s="10" t="s">
        <v>64</v>
      </c>
      <c r="B107" s="11"/>
      <c r="C107" s="11"/>
      <c r="D107" s="16">
        <f t="shared" si="145"/>
        <v>0</v>
      </c>
      <c r="E107" s="11"/>
      <c r="F107" s="16">
        <f t="shared" si="147"/>
        <v>0</v>
      </c>
      <c r="G107" s="11"/>
      <c r="H107" s="11">
        <f t="shared" si="138"/>
        <v>0</v>
      </c>
      <c r="I107" s="11"/>
      <c r="J107" s="11">
        <f t="shared" si="139"/>
        <v>0</v>
      </c>
      <c r="K107" s="11"/>
      <c r="L107" s="11">
        <f t="shared" si="140"/>
        <v>0</v>
      </c>
      <c r="M107" s="11"/>
      <c r="N107" s="11">
        <f t="shared" si="141"/>
        <v>0</v>
      </c>
      <c r="O107" s="11"/>
      <c r="P107" s="11">
        <f t="shared" si="136"/>
        <v>0</v>
      </c>
      <c r="Q107" s="11"/>
      <c r="R107" s="11">
        <f t="shared" si="142"/>
        <v>0</v>
      </c>
      <c r="S107" s="11"/>
      <c r="T107" s="11">
        <f t="shared" si="143"/>
        <v>0</v>
      </c>
      <c r="U107" s="11"/>
      <c r="V107" s="11">
        <f t="shared" si="144"/>
        <v>0</v>
      </c>
    </row>
    <row r="108" spans="1:22" x14ac:dyDescent="0.3">
      <c r="A108" s="10" t="s">
        <v>65</v>
      </c>
      <c r="B108" s="11"/>
      <c r="C108" s="11"/>
      <c r="D108" s="16">
        <f t="shared" si="145"/>
        <v>0</v>
      </c>
      <c r="E108" s="11"/>
      <c r="F108" s="16">
        <f t="shared" si="147"/>
        <v>0</v>
      </c>
      <c r="G108" s="11"/>
      <c r="H108" s="11">
        <f t="shared" si="138"/>
        <v>0</v>
      </c>
      <c r="I108" s="11"/>
      <c r="J108" s="11">
        <f t="shared" si="139"/>
        <v>0</v>
      </c>
      <c r="K108" s="11"/>
      <c r="L108" s="11">
        <f t="shared" si="140"/>
        <v>0</v>
      </c>
      <c r="M108" s="11"/>
      <c r="N108" s="11">
        <f t="shared" si="141"/>
        <v>0</v>
      </c>
      <c r="O108" s="11"/>
      <c r="P108" s="11">
        <f t="shared" si="136"/>
        <v>0</v>
      </c>
      <c r="Q108" s="11"/>
      <c r="R108" s="11">
        <f t="shared" si="142"/>
        <v>0</v>
      </c>
      <c r="S108" s="11"/>
      <c r="T108" s="11">
        <f t="shared" si="143"/>
        <v>0</v>
      </c>
      <c r="U108" s="11"/>
      <c r="V108" s="11">
        <f t="shared" si="144"/>
        <v>0</v>
      </c>
    </row>
    <row r="109" spans="1:22" x14ac:dyDescent="0.3">
      <c r="A109" s="10" t="s">
        <v>231</v>
      </c>
      <c r="B109" s="11"/>
      <c r="C109" s="11"/>
      <c r="D109" s="16">
        <f t="shared" si="145"/>
        <v>0</v>
      </c>
      <c r="E109" s="11"/>
      <c r="F109" s="16">
        <f t="shared" si="147"/>
        <v>0</v>
      </c>
      <c r="G109" s="11"/>
      <c r="H109" s="11">
        <f t="shared" si="138"/>
        <v>0</v>
      </c>
      <c r="I109" s="11"/>
      <c r="J109" s="11">
        <f t="shared" si="139"/>
        <v>0</v>
      </c>
      <c r="K109" s="11"/>
      <c r="L109" s="11">
        <f t="shared" si="140"/>
        <v>0</v>
      </c>
      <c r="M109" s="11"/>
      <c r="N109" s="11">
        <f t="shared" si="141"/>
        <v>0</v>
      </c>
      <c r="O109" s="11"/>
      <c r="P109" s="11">
        <f t="shared" si="136"/>
        <v>0</v>
      </c>
      <c r="Q109" s="11"/>
      <c r="R109" s="11">
        <f t="shared" si="142"/>
        <v>0</v>
      </c>
      <c r="S109" s="11"/>
      <c r="T109" s="11">
        <f t="shared" si="143"/>
        <v>0</v>
      </c>
      <c r="U109" s="11"/>
      <c r="V109" s="11">
        <f t="shared" si="144"/>
        <v>0</v>
      </c>
    </row>
    <row r="110" spans="1:22" x14ac:dyDescent="0.3">
      <c r="A110" s="10" t="s">
        <v>113</v>
      </c>
      <c r="B110" s="11">
        <f>VLOOKUP(A110,'TFL- B-April,25'!$B$9:$C$64,2,0)</f>
        <v>151700</v>
      </c>
      <c r="C110" s="11">
        <f>VLOOKUP(A110,'May-B'!$B$9:$C$39,2,0)</f>
        <v>322900</v>
      </c>
      <c r="D110" s="16">
        <f t="shared" si="145"/>
        <v>171200</v>
      </c>
      <c r="E110" s="11">
        <f>VLOOKUP(A110,'June,25-B'!$B$9:$C$46,2,0)</f>
        <v>471100</v>
      </c>
      <c r="F110" s="11">
        <f t="shared" ref="F110" si="148">+E110-C110</f>
        <v>148200</v>
      </c>
      <c r="G110" s="11">
        <f>VLOOKUP(A110,'July-B'!$B$9:$C$51,2,0)</f>
        <v>645800</v>
      </c>
      <c r="H110" s="11">
        <f t="shared" si="138"/>
        <v>174700</v>
      </c>
      <c r="I110" s="11">
        <f>VLOOKUP(A110,'TB-B-Aug'!$B$1:$C$53,2,0)</f>
        <v>809000</v>
      </c>
      <c r="J110" s="11">
        <f t="shared" si="139"/>
        <v>163200</v>
      </c>
      <c r="K110" s="11">
        <f>VLOOKUP(A110,'TFB-Sept,25'!$B$9:$C$54,2,0)</f>
        <v>957200</v>
      </c>
      <c r="L110" s="11">
        <f t="shared" si="140"/>
        <v>148200</v>
      </c>
      <c r="M110" s="11">
        <f>VLOOKUP(A110,'PL-TFB-Oct'!$B$9:$C$57,2,0)</f>
        <v>1361900</v>
      </c>
      <c r="N110" s="66">
        <f t="shared" si="141"/>
        <v>404700</v>
      </c>
      <c r="O110" s="11" cm="1">
        <f t="array" ref="O110">VLOOKUP(A110,+'TFB-Nov,25'!$B$9:$C$58,2,0)+10000</f>
        <v>1768600</v>
      </c>
      <c r="P110" s="66">
        <f t="shared" si="136"/>
        <v>406700</v>
      </c>
      <c r="Q110" s="11">
        <f>VLOOKUP(A110,'TB -TFL-B-Dec,25'!$B$9:$C$62,2,0)</f>
        <v>2008600</v>
      </c>
      <c r="R110" s="11">
        <f t="shared" si="142"/>
        <v>240000</v>
      </c>
      <c r="S110" s="11">
        <f>VLOOKUP(A110,'TB-TFL-B-Jan,26'!$B$9:$C$67,2,0)</f>
        <v>2401534</v>
      </c>
      <c r="T110" s="11">
        <f t="shared" si="143"/>
        <v>392934</v>
      </c>
      <c r="U110" s="11">
        <f>VLOOKUP(A110,'TB-Feb,26-B'!$B$9:$C$67,2,0)</f>
        <v>2656534</v>
      </c>
      <c r="V110" s="11">
        <f t="shared" si="144"/>
        <v>255000</v>
      </c>
    </row>
    <row r="111" spans="1:22" x14ac:dyDescent="0.3">
      <c r="A111" s="10" t="s">
        <v>232</v>
      </c>
      <c r="B111" s="11"/>
      <c r="C111" s="11"/>
      <c r="D111" s="16">
        <f t="shared" si="145"/>
        <v>0</v>
      </c>
      <c r="E111" s="11"/>
      <c r="F111" s="16">
        <f t="shared" si="147"/>
        <v>0</v>
      </c>
      <c r="G111" s="11"/>
      <c r="H111" s="11">
        <f t="shared" si="138"/>
        <v>0</v>
      </c>
      <c r="I111" s="11"/>
      <c r="J111" s="11">
        <f t="shared" si="139"/>
        <v>0</v>
      </c>
      <c r="K111" s="11"/>
      <c r="L111" s="11">
        <f t="shared" si="140"/>
        <v>0</v>
      </c>
      <c r="M111" s="11"/>
      <c r="N111" s="11">
        <f t="shared" si="141"/>
        <v>0</v>
      </c>
      <c r="O111" s="11"/>
      <c r="P111" s="11">
        <f t="shared" si="136"/>
        <v>0</v>
      </c>
      <c r="Q111" s="11"/>
      <c r="R111" s="11">
        <f t="shared" si="142"/>
        <v>0</v>
      </c>
      <c r="S111" s="11"/>
      <c r="T111" s="11">
        <f t="shared" si="143"/>
        <v>0</v>
      </c>
      <c r="U111" s="11"/>
      <c r="V111" s="11">
        <f t="shared" si="144"/>
        <v>0</v>
      </c>
    </row>
    <row r="112" spans="1:22" x14ac:dyDescent="0.3">
      <c r="A112" t="s">
        <v>99</v>
      </c>
      <c r="B112" s="11"/>
      <c r="C112" s="11"/>
      <c r="D112" s="16">
        <f t="shared" si="145"/>
        <v>0</v>
      </c>
      <c r="E112" s="11"/>
      <c r="F112" s="16">
        <f t="shared" si="147"/>
        <v>0</v>
      </c>
      <c r="G112" s="11"/>
      <c r="H112" s="11">
        <f t="shared" si="138"/>
        <v>0</v>
      </c>
      <c r="I112" s="11"/>
      <c r="J112" s="11">
        <f t="shared" si="139"/>
        <v>0</v>
      </c>
      <c r="K112" s="11"/>
      <c r="L112" s="11">
        <f t="shared" si="140"/>
        <v>0</v>
      </c>
      <c r="M112" s="11">
        <f>VLOOKUP(A112,'PL-TFB-Oct'!$B$9:$C$57,2,0)</f>
        <v>16000</v>
      </c>
      <c r="N112" s="11">
        <f t="shared" si="141"/>
        <v>16000</v>
      </c>
      <c r="O112" s="11" cm="1">
        <f t="array" ref="O112">VLOOKUP(A112,+'TFB-Nov,25'!$B$9:$C$58,2,0)</f>
        <v>16000</v>
      </c>
      <c r="P112" s="11">
        <f t="shared" si="136"/>
        <v>0</v>
      </c>
      <c r="Q112" s="11">
        <f>VLOOKUP(A112,'TB -TFL-B-Dec,25'!$B$9:$C$62,2,0)</f>
        <v>16000</v>
      </c>
      <c r="R112" s="11">
        <f t="shared" si="142"/>
        <v>0</v>
      </c>
      <c r="S112" s="11">
        <f>VLOOKUP(A112,'TB-TFL-B-Jan,26'!$B$9:$C$67,2,0)</f>
        <v>16000</v>
      </c>
      <c r="T112" s="11">
        <f t="shared" si="143"/>
        <v>0</v>
      </c>
      <c r="U112" s="11">
        <f>VLOOKUP(A112,'TB-Feb,26-B'!$B$9:$C$67,2,0)</f>
        <v>16000</v>
      </c>
      <c r="V112" s="11">
        <f t="shared" si="144"/>
        <v>0</v>
      </c>
    </row>
    <row r="113" spans="1:22" x14ac:dyDescent="0.3">
      <c r="A113" s="10" t="s">
        <v>109</v>
      </c>
      <c r="B113" s="11">
        <f>VLOOKUP(A113,'TFL- B-April,25'!$B$9:$C$64,2,0)</f>
        <v>765.82</v>
      </c>
      <c r="C113" s="11">
        <f>VLOOKUP(A113,'May-B'!$B$9:$C$39,2,0)</f>
        <v>1498.6</v>
      </c>
      <c r="D113" s="16">
        <f t="shared" si="145"/>
        <v>732.77999999999986</v>
      </c>
      <c r="E113" s="11">
        <f>VLOOKUP(A113,'June,25-B'!$B$9:$C$46,2,0)</f>
        <v>2302.1799999999998</v>
      </c>
      <c r="F113" s="11">
        <f t="shared" ref="F113:F115" si="149">+E113-C113</f>
        <v>803.57999999999993</v>
      </c>
      <c r="G113" s="11">
        <f>VLOOKUP(A113,'July-B'!$B$9:$C$51,2,0)</f>
        <v>8820.5</v>
      </c>
      <c r="H113" s="11">
        <f t="shared" si="138"/>
        <v>6518.32</v>
      </c>
      <c r="I113" s="11">
        <f>VLOOKUP(A113,'TB-B-Aug'!$B$1:$C$53,2,0)</f>
        <v>9600.48</v>
      </c>
      <c r="J113" s="11">
        <f t="shared" si="139"/>
        <v>779.97999999999956</v>
      </c>
      <c r="K113" s="11">
        <f>VLOOKUP(A113,'TFB-Sept,25'!$B$9:$C$54,2,0)</f>
        <v>10472.5</v>
      </c>
      <c r="L113" s="11">
        <f t="shared" si="140"/>
        <v>872.02000000000044</v>
      </c>
      <c r="M113" s="11">
        <f>VLOOKUP(A113,'PL-TFB-Oct'!$B$9:$C$57,2,0)</f>
        <v>11202.92</v>
      </c>
      <c r="N113" s="11">
        <f t="shared" si="141"/>
        <v>730.42000000000007</v>
      </c>
      <c r="O113" s="11" cm="1">
        <f t="array" ref="O113">VLOOKUP(A113,+'TFB-Nov,25'!$B$9:$C$58,2,0)</f>
        <v>13927.54</v>
      </c>
      <c r="P113" s="11">
        <f t="shared" si="136"/>
        <v>2724.6200000000008</v>
      </c>
      <c r="Q113" s="11">
        <f>VLOOKUP(A113,'TB -TFL-B-Dec,25'!$B$9:$C$62,2,0)</f>
        <v>14974.2</v>
      </c>
      <c r="R113" s="11">
        <f t="shared" si="142"/>
        <v>1046.6599999999999</v>
      </c>
      <c r="S113" s="11">
        <f>VLOOKUP(A113,'TB-TFL-B-Jan,26'!$B$9:$C$67,2,0)</f>
        <v>15810.82</v>
      </c>
      <c r="T113" s="11">
        <f t="shared" si="143"/>
        <v>836.61999999999898</v>
      </c>
      <c r="U113" s="11">
        <f>VLOOKUP(A113,'TB-Feb,26-B'!$B$9:$C$67,2,0)</f>
        <v>16458.64</v>
      </c>
      <c r="V113" s="11">
        <f t="shared" si="144"/>
        <v>647.81999999999971</v>
      </c>
    </row>
    <row r="114" spans="1:22" x14ac:dyDescent="0.3">
      <c r="A114" s="10" t="s">
        <v>106</v>
      </c>
      <c r="B114" s="11"/>
      <c r="C114" s="11"/>
      <c r="D114" s="16">
        <f t="shared" si="145"/>
        <v>0</v>
      </c>
      <c r="E114" s="11"/>
      <c r="F114" s="16">
        <f t="shared" si="147"/>
        <v>0</v>
      </c>
      <c r="G114" s="11"/>
      <c r="H114" s="11">
        <f t="shared" si="138"/>
        <v>0</v>
      </c>
      <c r="I114" s="11"/>
      <c r="J114" s="11">
        <f t="shared" si="139"/>
        <v>0</v>
      </c>
      <c r="K114" s="11"/>
      <c r="L114" s="11">
        <f t="shared" si="140"/>
        <v>0</v>
      </c>
      <c r="M114" s="11"/>
      <c r="N114" s="11">
        <f t="shared" si="141"/>
        <v>0</v>
      </c>
      <c r="O114" s="11"/>
      <c r="P114" s="11">
        <f t="shared" si="136"/>
        <v>0</v>
      </c>
      <c r="Q114" s="11"/>
      <c r="R114" s="11">
        <f t="shared" si="142"/>
        <v>0</v>
      </c>
      <c r="S114" s="11">
        <f>VLOOKUP(A114,'TB-TFL-B-Jan,26'!$B$9:$C$67,2,0)</f>
        <v>2000</v>
      </c>
      <c r="T114" s="11">
        <f t="shared" si="143"/>
        <v>2000</v>
      </c>
      <c r="U114" s="11">
        <f>VLOOKUP(A114,'TB-Feb,26-B'!$B$9:$C$67,2,0)</f>
        <v>2000</v>
      </c>
      <c r="V114" s="11">
        <f t="shared" si="144"/>
        <v>0</v>
      </c>
    </row>
    <row r="115" spans="1:22" x14ac:dyDescent="0.3">
      <c r="A115" s="10" t="s">
        <v>58</v>
      </c>
      <c r="B115" s="11">
        <f>VLOOKUP(A115,'TFL- B-April,25'!$B$9:$C$64,2,0)</f>
        <v>910</v>
      </c>
      <c r="C115" s="11">
        <f>VLOOKUP(A115,'May-B'!$B$9:$C$39,2,0)</f>
        <v>4620</v>
      </c>
      <c r="D115" s="16">
        <f t="shared" si="145"/>
        <v>3710</v>
      </c>
      <c r="E115" s="11">
        <f>VLOOKUP(A115,'June,25-B'!$B$9:$C$46,2,0)</f>
        <v>4620</v>
      </c>
      <c r="F115" s="11">
        <f t="shared" si="149"/>
        <v>0</v>
      </c>
      <c r="G115" s="11">
        <f>VLOOKUP(A115,'July-B'!$B$9:$C$51,2,0)</f>
        <v>7250</v>
      </c>
      <c r="H115" s="11">
        <f t="shared" si="138"/>
        <v>2630</v>
      </c>
      <c r="I115" s="11">
        <f>VLOOKUP(A115,'TB-B-Aug'!$B$1:$C$53,2,0)</f>
        <v>11400</v>
      </c>
      <c r="J115" s="11">
        <f t="shared" si="139"/>
        <v>4150</v>
      </c>
      <c r="K115" s="11">
        <f>VLOOKUP(A115,'TFB-Sept,25'!$B$9:$C$54,2,0)</f>
        <v>11400</v>
      </c>
      <c r="L115" s="11">
        <f t="shared" si="140"/>
        <v>0</v>
      </c>
      <c r="M115" s="11">
        <f>VLOOKUP(A115,'PL-TFB-Oct'!$B$9:$C$57,2,0)</f>
        <v>19250</v>
      </c>
      <c r="N115" s="11">
        <f t="shared" si="141"/>
        <v>7850</v>
      </c>
      <c r="O115" s="11" cm="1">
        <f t="array" ref="O115">VLOOKUP(A115,+'TFB-Nov,25'!$B$9:$C$58,2,0)</f>
        <v>21360</v>
      </c>
      <c r="P115" s="11">
        <f t="shared" si="136"/>
        <v>2110</v>
      </c>
      <c r="Q115" s="11">
        <f>VLOOKUP(A115,'TB -TFL-B-Dec,25'!$B$9:$C$62,2,0)</f>
        <v>21360</v>
      </c>
      <c r="R115" s="11">
        <f t="shared" si="142"/>
        <v>0</v>
      </c>
      <c r="S115" s="11">
        <f>VLOOKUP(A115,'TB-TFL-B-Jan,26'!$B$9:$C$67,2,0)</f>
        <v>24220</v>
      </c>
      <c r="T115" s="11">
        <f t="shared" si="143"/>
        <v>2860</v>
      </c>
      <c r="U115" s="11">
        <f>VLOOKUP(A115,'TB-Feb,26-B'!$B$9:$C$67,2,0)</f>
        <v>27820</v>
      </c>
      <c r="V115" s="11">
        <f t="shared" si="144"/>
        <v>3600</v>
      </c>
    </row>
    <row r="116" spans="1:22" x14ac:dyDescent="0.3">
      <c r="A116" s="10" t="s">
        <v>45</v>
      </c>
      <c r="B116" s="11"/>
      <c r="C116" s="11"/>
      <c r="D116" s="16">
        <f t="shared" si="145"/>
        <v>0</v>
      </c>
      <c r="E116" s="11"/>
      <c r="F116" s="16">
        <f t="shared" si="147"/>
        <v>0</v>
      </c>
      <c r="G116" s="11"/>
      <c r="H116" s="11">
        <f t="shared" si="138"/>
        <v>0</v>
      </c>
      <c r="I116" s="11"/>
      <c r="J116" s="11">
        <f t="shared" si="139"/>
        <v>0</v>
      </c>
      <c r="K116" s="11"/>
      <c r="L116" s="11">
        <f t="shared" si="140"/>
        <v>0</v>
      </c>
      <c r="M116" s="11"/>
      <c r="N116" s="11">
        <f t="shared" si="141"/>
        <v>0</v>
      </c>
      <c r="O116" s="11"/>
      <c r="P116" s="11">
        <f t="shared" si="136"/>
        <v>0</v>
      </c>
      <c r="Q116" s="11"/>
      <c r="R116" s="11">
        <f t="shared" si="142"/>
        <v>0</v>
      </c>
      <c r="S116" s="11"/>
      <c r="T116" s="11">
        <f t="shared" si="143"/>
        <v>0</v>
      </c>
      <c r="U116" s="11"/>
      <c r="V116" s="11">
        <f t="shared" si="144"/>
        <v>0</v>
      </c>
    </row>
    <row r="117" spans="1:22" x14ac:dyDescent="0.3">
      <c r="A117" s="10" t="s">
        <v>104</v>
      </c>
      <c r="B117" s="11"/>
      <c r="C117" s="11"/>
      <c r="D117" s="16">
        <f t="shared" si="145"/>
        <v>0</v>
      </c>
      <c r="E117" s="11"/>
      <c r="F117" s="16">
        <f t="shared" si="147"/>
        <v>0</v>
      </c>
      <c r="G117" s="11"/>
      <c r="H117" s="11">
        <f t="shared" si="138"/>
        <v>0</v>
      </c>
      <c r="I117" s="11"/>
      <c r="J117" s="11">
        <f t="shared" si="139"/>
        <v>0</v>
      </c>
      <c r="K117" s="11"/>
      <c r="L117" s="11">
        <f t="shared" si="140"/>
        <v>0</v>
      </c>
      <c r="M117" s="11"/>
      <c r="N117" s="11">
        <f t="shared" si="141"/>
        <v>0</v>
      </c>
      <c r="O117" s="11"/>
      <c r="P117" s="11">
        <f t="shared" si="136"/>
        <v>0</v>
      </c>
      <c r="Q117" s="11"/>
      <c r="R117" s="11">
        <f t="shared" si="142"/>
        <v>0</v>
      </c>
      <c r="S117" s="11"/>
      <c r="T117" s="11">
        <f t="shared" si="143"/>
        <v>0</v>
      </c>
      <c r="U117" s="11"/>
      <c r="V117" s="11">
        <f t="shared" si="144"/>
        <v>0</v>
      </c>
    </row>
    <row r="118" spans="1:22" x14ac:dyDescent="0.3">
      <c r="A118" t="s">
        <v>68</v>
      </c>
      <c r="B118" s="11"/>
      <c r="C118" s="11"/>
      <c r="D118" s="16"/>
      <c r="E118" s="11"/>
      <c r="F118" s="16"/>
      <c r="G118" s="11"/>
      <c r="H118" s="11"/>
      <c r="I118" s="11">
        <f>VLOOKUP(A118,'TB-B-Aug'!$B$1:$C$53,2,0)</f>
        <v>4900</v>
      </c>
      <c r="J118" s="11">
        <f t="shared" si="139"/>
        <v>4900</v>
      </c>
      <c r="K118" s="11">
        <f>VLOOKUP(A118,'TFB-Sept,25'!$B$9:$C$54,2,0)</f>
        <v>4900</v>
      </c>
      <c r="L118" s="11">
        <f t="shared" si="140"/>
        <v>0</v>
      </c>
      <c r="M118" s="11">
        <f>VLOOKUP(A118,'PL-TFB-Oct'!$B$9:$C$57,2,0)</f>
        <v>4900</v>
      </c>
      <c r="N118" s="11">
        <f t="shared" si="141"/>
        <v>0</v>
      </c>
      <c r="O118" s="11" cm="1">
        <f t="array" ref="O118">VLOOKUP(A118,+'TFB-Nov,25'!$B$9:$C$58,2,0)</f>
        <v>4900</v>
      </c>
      <c r="P118" s="11">
        <f t="shared" si="136"/>
        <v>0</v>
      </c>
      <c r="Q118" s="11">
        <f>VLOOKUP(A118,'TB -TFL-B-Dec,25'!$B$9:$C$62,2,0)</f>
        <v>4900</v>
      </c>
      <c r="R118" s="11">
        <f t="shared" si="142"/>
        <v>0</v>
      </c>
      <c r="S118" s="11">
        <f>VLOOKUP(A118,'TB-TFL-B-Jan,26'!$B$9:$C$67,2,0)</f>
        <v>4900</v>
      </c>
      <c r="T118" s="11">
        <f t="shared" si="143"/>
        <v>0</v>
      </c>
      <c r="U118" s="11">
        <f>VLOOKUP(A118,'TB-Feb,26-B'!$B$9:$C$67,2,0)</f>
        <v>4900</v>
      </c>
      <c r="V118" s="11">
        <f t="shared" si="144"/>
        <v>0</v>
      </c>
    </row>
    <row r="119" spans="1:22" x14ac:dyDescent="0.3">
      <c r="A119" s="10" t="s">
        <v>111</v>
      </c>
      <c r="B119" s="11"/>
      <c r="C119" s="11"/>
      <c r="D119" s="16">
        <f t="shared" si="145"/>
        <v>0</v>
      </c>
      <c r="E119" s="11"/>
      <c r="F119" s="16">
        <f t="shared" si="147"/>
        <v>0</v>
      </c>
      <c r="G119" s="11"/>
      <c r="H119" s="11">
        <f t="shared" si="138"/>
        <v>0</v>
      </c>
      <c r="I119" s="11"/>
      <c r="J119" s="11">
        <f t="shared" si="139"/>
        <v>0</v>
      </c>
      <c r="K119" s="11"/>
      <c r="L119" s="11">
        <f t="shared" si="140"/>
        <v>0</v>
      </c>
      <c r="M119" s="11"/>
      <c r="N119" s="11">
        <f t="shared" si="141"/>
        <v>0</v>
      </c>
      <c r="O119" s="11"/>
      <c r="P119" s="11">
        <f t="shared" si="136"/>
        <v>0</v>
      </c>
      <c r="Q119" s="11"/>
      <c r="R119" s="11">
        <f t="shared" si="142"/>
        <v>0</v>
      </c>
      <c r="S119" s="11"/>
      <c r="T119" s="11">
        <f t="shared" si="143"/>
        <v>0</v>
      </c>
      <c r="U119" s="11"/>
      <c r="V119" s="11">
        <f t="shared" si="144"/>
        <v>0</v>
      </c>
    </row>
    <row r="120" spans="1:22" x14ac:dyDescent="0.3">
      <c r="A120" s="10" t="s">
        <v>123</v>
      </c>
      <c r="B120" s="11"/>
      <c r="C120" s="11"/>
      <c r="D120" s="16">
        <f t="shared" si="145"/>
        <v>0</v>
      </c>
      <c r="E120" s="11"/>
      <c r="F120" s="16">
        <f t="shared" si="147"/>
        <v>0</v>
      </c>
      <c r="G120" s="11"/>
      <c r="H120" s="11">
        <f t="shared" si="138"/>
        <v>0</v>
      </c>
      <c r="I120" s="11"/>
      <c r="J120" s="11">
        <f t="shared" si="139"/>
        <v>0</v>
      </c>
      <c r="K120" s="11"/>
      <c r="L120" s="11">
        <f t="shared" si="140"/>
        <v>0</v>
      </c>
      <c r="M120" s="11"/>
      <c r="N120" s="11">
        <f t="shared" si="141"/>
        <v>0</v>
      </c>
      <c r="O120" s="11"/>
      <c r="P120" s="11">
        <f t="shared" si="136"/>
        <v>0</v>
      </c>
      <c r="Q120" s="11"/>
      <c r="R120" s="11">
        <f t="shared" si="142"/>
        <v>0</v>
      </c>
      <c r="S120" s="11">
        <f>-'TB-TFL-B-Jan,26'!C12</f>
        <v>-320</v>
      </c>
      <c r="T120" s="11">
        <f t="shared" si="143"/>
        <v>-320</v>
      </c>
      <c r="U120" s="11"/>
      <c r="V120" s="11">
        <f t="shared" si="144"/>
        <v>320</v>
      </c>
    </row>
    <row r="121" spans="1:22" x14ac:dyDescent="0.3">
      <c r="A121" s="10" t="s">
        <v>115</v>
      </c>
      <c r="B121" s="11">
        <v>225000</v>
      </c>
      <c r="C121" s="11">
        <f>225000*2</f>
        <v>450000</v>
      </c>
      <c r="D121" s="16">
        <f t="shared" si="145"/>
        <v>225000</v>
      </c>
      <c r="E121" s="11">
        <f>225000*3</f>
        <v>675000</v>
      </c>
      <c r="F121" s="11">
        <f t="shared" ref="F121" si="150">+E121-C121</f>
        <v>225000</v>
      </c>
      <c r="G121" s="11">
        <f>225000*4</f>
        <v>900000</v>
      </c>
      <c r="H121" s="11">
        <f t="shared" si="138"/>
        <v>225000</v>
      </c>
      <c r="I121" s="11">
        <f>225000*5</f>
        <v>1125000</v>
      </c>
      <c r="J121" s="11">
        <f t="shared" si="139"/>
        <v>225000</v>
      </c>
      <c r="K121" s="11">
        <f>225000*6</f>
        <v>1350000</v>
      </c>
      <c r="L121" s="11">
        <f t="shared" si="140"/>
        <v>225000</v>
      </c>
      <c r="M121" s="11">
        <f>225000*7</f>
        <v>1575000</v>
      </c>
      <c r="N121" s="11">
        <f t="shared" si="141"/>
        <v>225000</v>
      </c>
      <c r="O121" s="11">
        <f>225000*8</f>
        <v>1800000</v>
      </c>
      <c r="P121" s="11">
        <f t="shared" si="136"/>
        <v>225000</v>
      </c>
      <c r="Q121" s="11">
        <f>225000*9</f>
        <v>2025000</v>
      </c>
      <c r="R121" s="11">
        <f t="shared" si="142"/>
        <v>225000</v>
      </c>
      <c r="S121" s="11">
        <f>225000*10</f>
        <v>2250000</v>
      </c>
      <c r="T121" s="11">
        <f t="shared" si="143"/>
        <v>225000</v>
      </c>
      <c r="U121" s="11">
        <f>225000*11</f>
        <v>2475000</v>
      </c>
      <c r="V121" s="11">
        <f t="shared" si="144"/>
        <v>225000</v>
      </c>
    </row>
    <row r="122" spans="1:22" x14ac:dyDescent="0.3">
      <c r="A122" s="10" t="s">
        <v>108</v>
      </c>
      <c r="B122" s="11"/>
      <c r="C122" s="11"/>
      <c r="D122" s="16">
        <f t="shared" si="145"/>
        <v>0</v>
      </c>
      <c r="E122" s="11"/>
      <c r="F122" s="16">
        <f t="shared" si="147"/>
        <v>0</v>
      </c>
      <c r="G122" s="11"/>
      <c r="H122" s="11">
        <f t="shared" si="138"/>
        <v>0</v>
      </c>
      <c r="I122" s="11"/>
      <c r="J122" s="11">
        <f t="shared" si="139"/>
        <v>0</v>
      </c>
      <c r="K122" s="11"/>
      <c r="L122" s="11">
        <f t="shared" si="140"/>
        <v>0</v>
      </c>
      <c r="M122" s="11"/>
      <c r="N122" s="11">
        <f t="shared" si="141"/>
        <v>0</v>
      </c>
      <c r="O122" s="11"/>
      <c r="P122" s="11">
        <f t="shared" si="136"/>
        <v>0</v>
      </c>
      <c r="Q122" s="11"/>
      <c r="R122" s="11">
        <f t="shared" si="142"/>
        <v>0</v>
      </c>
      <c r="S122" s="11"/>
      <c r="T122" s="11">
        <f t="shared" si="143"/>
        <v>0</v>
      </c>
      <c r="U122" s="11"/>
      <c r="V122" s="11">
        <f t="shared" si="144"/>
        <v>0</v>
      </c>
    </row>
    <row r="123" spans="1:22" x14ac:dyDescent="0.3">
      <c r="A123" s="10" t="s">
        <v>233</v>
      </c>
      <c r="B123" s="11"/>
      <c r="C123" s="11"/>
      <c r="D123" s="16">
        <f t="shared" si="145"/>
        <v>0</v>
      </c>
      <c r="E123" s="11"/>
      <c r="F123" s="16">
        <f t="shared" si="147"/>
        <v>0</v>
      </c>
      <c r="G123" s="11"/>
      <c r="H123" s="11">
        <f t="shared" si="138"/>
        <v>0</v>
      </c>
      <c r="I123" s="11"/>
      <c r="J123" s="11">
        <f t="shared" si="139"/>
        <v>0</v>
      </c>
      <c r="K123" s="11"/>
      <c r="L123" s="11">
        <f t="shared" si="140"/>
        <v>0</v>
      </c>
      <c r="M123" s="11"/>
      <c r="N123" s="11">
        <f t="shared" si="141"/>
        <v>0</v>
      </c>
      <c r="O123" s="11"/>
      <c r="P123" s="11">
        <f t="shared" si="136"/>
        <v>0</v>
      </c>
      <c r="Q123" s="11"/>
      <c r="R123" s="11">
        <f t="shared" si="142"/>
        <v>0</v>
      </c>
      <c r="S123" s="11"/>
      <c r="T123" s="11">
        <f t="shared" si="143"/>
        <v>0</v>
      </c>
      <c r="U123" s="11"/>
      <c r="V123" s="11">
        <f t="shared" si="144"/>
        <v>0</v>
      </c>
    </row>
    <row r="124" spans="1:22" x14ac:dyDescent="0.3">
      <c r="A124" s="10" t="s">
        <v>234</v>
      </c>
      <c r="B124" s="11"/>
      <c r="C124" s="11"/>
      <c r="D124" s="16">
        <f t="shared" si="145"/>
        <v>0</v>
      </c>
      <c r="E124" s="11"/>
      <c r="F124" s="16">
        <f t="shared" si="147"/>
        <v>0</v>
      </c>
      <c r="G124" s="11"/>
      <c r="H124" s="11">
        <f t="shared" si="138"/>
        <v>0</v>
      </c>
      <c r="I124" s="11"/>
      <c r="J124" s="11">
        <f t="shared" si="139"/>
        <v>0</v>
      </c>
      <c r="K124" s="11"/>
      <c r="L124" s="11">
        <f t="shared" si="140"/>
        <v>0</v>
      </c>
      <c r="M124" s="11"/>
      <c r="N124" s="11">
        <f t="shared" si="141"/>
        <v>0</v>
      </c>
      <c r="O124" s="11"/>
      <c r="P124" s="11">
        <f t="shared" si="136"/>
        <v>0</v>
      </c>
      <c r="Q124" s="11"/>
      <c r="R124" s="11">
        <f t="shared" si="142"/>
        <v>0</v>
      </c>
      <c r="S124" s="11"/>
      <c r="T124" s="11">
        <f t="shared" si="143"/>
        <v>0</v>
      </c>
      <c r="U124" s="11"/>
      <c r="V124" s="11">
        <f t="shared" si="144"/>
        <v>0</v>
      </c>
    </row>
    <row r="125" spans="1:22" x14ac:dyDescent="0.3">
      <c r="A125" s="10" t="s">
        <v>235</v>
      </c>
      <c r="B125" s="11"/>
      <c r="C125" s="11"/>
      <c r="D125" s="16">
        <f t="shared" si="145"/>
        <v>0</v>
      </c>
      <c r="E125" s="11"/>
      <c r="F125" s="16">
        <f t="shared" si="147"/>
        <v>0</v>
      </c>
      <c r="G125" s="11"/>
      <c r="H125" s="11">
        <f t="shared" si="138"/>
        <v>0</v>
      </c>
      <c r="I125" s="11"/>
      <c r="J125" s="11">
        <f t="shared" si="139"/>
        <v>0</v>
      </c>
      <c r="K125" s="11"/>
      <c r="L125" s="11">
        <f t="shared" si="140"/>
        <v>0</v>
      </c>
      <c r="M125" s="11"/>
      <c r="N125" s="11">
        <f t="shared" si="141"/>
        <v>0</v>
      </c>
      <c r="O125" s="11"/>
      <c r="P125" s="11">
        <f t="shared" si="136"/>
        <v>0</v>
      </c>
      <c r="Q125" s="11"/>
      <c r="R125" s="11">
        <f t="shared" si="142"/>
        <v>0</v>
      </c>
      <c r="S125" s="11"/>
      <c r="T125" s="11">
        <f t="shared" si="143"/>
        <v>0</v>
      </c>
      <c r="U125" s="11"/>
      <c r="V125" s="11">
        <f t="shared" si="144"/>
        <v>0</v>
      </c>
    </row>
    <row r="126" spans="1:22" x14ac:dyDescent="0.3">
      <c r="A126" s="10" t="s">
        <v>112</v>
      </c>
      <c r="B126" s="11"/>
      <c r="C126" s="11"/>
      <c r="D126" s="16">
        <f t="shared" si="145"/>
        <v>0</v>
      </c>
      <c r="E126" s="11"/>
      <c r="F126" s="16">
        <f t="shared" si="147"/>
        <v>0</v>
      </c>
      <c r="G126" s="11"/>
      <c r="H126" s="11">
        <f t="shared" si="138"/>
        <v>0</v>
      </c>
      <c r="I126" s="11"/>
      <c r="J126" s="11">
        <f t="shared" si="139"/>
        <v>0</v>
      </c>
      <c r="K126" s="11"/>
      <c r="L126" s="11">
        <f t="shared" si="140"/>
        <v>0</v>
      </c>
      <c r="M126" s="11"/>
      <c r="N126" s="11">
        <f t="shared" si="141"/>
        <v>0</v>
      </c>
      <c r="O126" s="11"/>
      <c r="P126" s="11">
        <f t="shared" si="136"/>
        <v>0</v>
      </c>
      <c r="Q126" s="11"/>
      <c r="R126" s="11">
        <f t="shared" si="142"/>
        <v>0</v>
      </c>
      <c r="S126" s="11"/>
      <c r="T126" s="11">
        <f t="shared" si="143"/>
        <v>0</v>
      </c>
      <c r="U126" s="11"/>
      <c r="V126" s="11">
        <f t="shared" si="144"/>
        <v>0</v>
      </c>
    </row>
    <row r="127" spans="1:22" x14ac:dyDescent="0.3">
      <c r="A127" s="10" t="s">
        <v>236</v>
      </c>
      <c r="B127" s="16">
        <v>359041</v>
      </c>
      <c r="C127" s="16">
        <v>776849</v>
      </c>
      <c r="D127" s="16">
        <f>+C127-B127</f>
        <v>417808</v>
      </c>
      <c r="E127" s="11">
        <v>1203973</v>
      </c>
      <c r="F127" s="11">
        <f t="shared" ref="F127" si="151">+E127-C127</f>
        <v>427124</v>
      </c>
      <c r="G127" s="11">
        <v>1680137</v>
      </c>
      <c r="H127" s="11">
        <f t="shared" si="138"/>
        <v>476164</v>
      </c>
      <c r="I127" s="11">
        <v>2202877</v>
      </c>
      <c r="J127" s="11">
        <f t="shared" si="139"/>
        <v>522740</v>
      </c>
      <c r="K127" s="11">
        <v>2729726</v>
      </c>
      <c r="L127" s="11">
        <f t="shared" si="140"/>
        <v>526849</v>
      </c>
      <c r="M127" s="11">
        <v>3327123</v>
      </c>
      <c r="N127" s="11">
        <f t="shared" si="141"/>
        <v>597397</v>
      </c>
      <c r="O127" s="11">
        <v>3936986</v>
      </c>
      <c r="P127" s="11">
        <f t="shared" si="136"/>
        <v>609863</v>
      </c>
      <c r="Q127" s="11">
        <v>4622630</v>
      </c>
      <c r="R127" s="11">
        <f t="shared" si="142"/>
        <v>685644</v>
      </c>
      <c r="S127" s="11">
        <v>5361874</v>
      </c>
      <c r="T127" s="11">
        <f t="shared" si="143"/>
        <v>739244</v>
      </c>
      <c r="U127" s="11">
        <v>6070126</v>
      </c>
      <c r="V127" s="11">
        <f t="shared" si="144"/>
        <v>708252</v>
      </c>
    </row>
    <row r="128" spans="1:22" x14ac:dyDescent="0.3">
      <c r="A128" s="10" t="s">
        <v>114</v>
      </c>
      <c r="B128" s="11"/>
      <c r="C128" s="11"/>
      <c r="D128" s="11"/>
      <c r="E128" s="11"/>
      <c r="F128" s="11"/>
      <c r="G128" s="11"/>
      <c r="H128" s="11">
        <f t="shared" si="138"/>
        <v>0</v>
      </c>
      <c r="I128" s="11"/>
      <c r="J128" s="11">
        <f t="shared" si="139"/>
        <v>0</v>
      </c>
      <c r="K128" s="11"/>
      <c r="L128" s="11">
        <f t="shared" si="140"/>
        <v>0</v>
      </c>
      <c r="M128" s="11"/>
      <c r="N128" s="11">
        <f t="shared" si="141"/>
        <v>0</v>
      </c>
      <c r="O128" s="11"/>
      <c r="P128" s="11">
        <f t="shared" si="136"/>
        <v>0</v>
      </c>
      <c r="Q128" s="11"/>
      <c r="R128" s="11">
        <f t="shared" si="142"/>
        <v>0</v>
      </c>
      <c r="S128" s="11"/>
      <c r="T128" s="11">
        <f t="shared" si="143"/>
        <v>0</v>
      </c>
      <c r="U128" s="11"/>
      <c r="V128" s="11">
        <f t="shared" si="144"/>
        <v>0</v>
      </c>
    </row>
    <row r="129" spans="1:23" x14ac:dyDescent="0.3">
      <c r="A129" s="13" t="s">
        <v>116</v>
      </c>
      <c r="B129" s="14">
        <f t="shared" ref="B129:H129" si="152">SUM(B33:B128)</f>
        <v>3597181.6599999997</v>
      </c>
      <c r="C129" s="14">
        <f t="shared" si="152"/>
        <v>7175776.5499999998</v>
      </c>
      <c r="D129" s="14">
        <f t="shared" si="152"/>
        <v>3578594.89</v>
      </c>
      <c r="E129" s="14">
        <f t="shared" si="152"/>
        <v>11323389.869999997</v>
      </c>
      <c r="F129" s="14">
        <f t="shared" si="152"/>
        <v>4147613.3200000003</v>
      </c>
      <c r="G129" s="14">
        <f t="shared" si="152"/>
        <v>15805939.679999998</v>
      </c>
      <c r="H129" s="14">
        <f t="shared" si="152"/>
        <v>4482549.8099999996</v>
      </c>
      <c r="I129" s="14">
        <f t="shared" ref="I129:J129" si="153">SUM(I33:I128)</f>
        <v>19930527.879999999</v>
      </c>
      <c r="J129" s="14">
        <f t="shared" si="153"/>
        <v>4124588.2</v>
      </c>
      <c r="K129" s="14">
        <f t="shared" ref="K129:L129" si="154">SUM(K33:K128)</f>
        <v>24072254.479999997</v>
      </c>
      <c r="L129" s="14">
        <f t="shared" si="154"/>
        <v>4141726.6</v>
      </c>
      <c r="M129" s="14">
        <f t="shared" ref="M129:N129" si="155">SUM(M33:M128)</f>
        <v>28597607.440000001</v>
      </c>
      <c r="N129" s="14">
        <f t="shared" si="155"/>
        <v>4525352.96</v>
      </c>
      <c r="O129" s="14">
        <f t="shared" ref="O129:P129" si="156">SUM(O33:O128)</f>
        <v>33385942.41</v>
      </c>
      <c r="P129" s="14">
        <f t="shared" si="156"/>
        <v>4788334.9700000007</v>
      </c>
      <c r="Q129" s="14">
        <f t="shared" ref="Q129:R129" si="157">SUM(Q33:Q128)</f>
        <v>39066947.640000001</v>
      </c>
      <c r="R129" s="14">
        <f t="shared" si="157"/>
        <v>5681005.2300000004</v>
      </c>
      <c r="S129" s="14">
        <f t="shared" ref="S129:T129" si="158">SUM(S33:S128)</f>
        <v>44603061.390000008</v>
      </c>
      <c r="T129" s="14">
        <f t="shared" si="158"/>
        <v>5536113.75</v>
      </c>
      <c r="U129" s="14">
        <f t="shared" ref="U129:V129" si="159">SUM(U33:U128)</f>
        <v>50661862.780000001</v>
      </c>
      <c r="V129" s="14">
        <f t="shared" si="159"/>
        <v>6058801.3900000006</v>
      </c>
    </row>
    <row r="130" spans="1:23" x14ac:dyDescent="0.3">
      <c r="A130" s="8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spans="1:23" x14ac:dyDescent="0.3">
      <c r="A131" s="13" t="s">
        <v>117</v>
      </c>
      <c r="B131" s="14">
        <f t="shared" ref="B131:H131" si="160">+B129+B29</f>
        <v>3597181.6599999997</v>
      </c>
      <c r="C131" s="14">
        <f t="shared" si="160"/>
        <v>7175776.5499999998</v>
      </c>
      <c r="D131" s="14">
        <f t="shared" si="160"/>
        <v>3578594.89</v>
      </c>
      <c r="E131" s="14">
        <f t="shared" si="160"/>
        <v>11323389.869999997</v>
      </c>
      <c r="F131" s="14">
        <f t="shared" si="160"/>
        <v>4147613.3200000003</v>
      </c>
      <c r="G131" s="14">
        <f t="shared" si="160"/>
        <v>15806339.679999998</v>
      </c>
      <c r="H131" s="14">
        <f t="shared" si="160"/>
        <v>4482949.8099999996</v>
      </c>
      <c r="I131" s="14">
        <f t="shared" ref="I131:J131" si="161">+I129+I29</f>
        <v>19930927.879999999</v>
      </c>
      <c r="J131" s="14">
        <f t="shared" si="161"/>
        <v>4124588.2</v>
      </c>
      <c r="K131" s="14">
        <f t="shared" ref="K131:L131" si="162">+K129+K29</f>
        <v>24072654.479999997</v>
      </c>
      <c r="L131" s="14">
        <f t="shared" si="162"/>
        <v>4141726.6</v>
      </c>
      <c r="M131" s="14">
        <f t="shared" ref="M131:N131" si="163">+M129+M29</f>
        <v>28599077.440000001</v>
      </c>
      <c r="N131" s="14">
        <f t="shared" si="163"/>
        <v>4526422.96</v>
      </c>
      <c r="O131" s="14">
        <f t="shared" ref="O131:P131" si="164">+O129+O29</f>
        <v>33399132.41</v>
      </c>
      <c r="P131" s="14">
        <f t="shared" si="164"/>
        <v>4800054.9700000007</v>
      </c>
      <c r="Q131" s="14">
        <f t="shared" ref="Q131:R131" si="165">+Q129+Q29</f>
        <v>39114387.640000001</v>
      </c>
      <c r="R131" s="14">
        <f t="shared" si="165"/>
        <v>5715255.2300000004</v>
      </c>
      <c r="S131" s="14">
        <f t="shared" ref="S131:T131" si="166">+S129+S29</f>
        <v>44700882.590000011</v>
      </c>
      <c r="T131" s="14">
        <f t="shared" si="166"/>
        <v>5586494.9500000002</v>
      </c>
      <c r="U131" s="14">
        <f t="shared" ref="U131:V131" si="167">+U129+U29</f>
        <v>50851400.68</v>
      </c>
      <c r="V131" s="14">
        <f t="shared" si="167"/>
        <v>6150518.0900000008</v>
      </c>
    </row>
    <row r="132" spans="1:23" x14ac:dyDescent="0.3">
      <c r="A132" s="8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spans="1:23" x14ac:dyDescent="0.3">
      <c r="A133" s="8" t="s">
        <v>118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3" x14ac:dyDescent="0.3">
      <c r="A134" s="10" t="s">
        <v>120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3" x14ac:dyDescent="0.3">
      <c r="A135" s="20" t="s">
        <v>119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3" x14ac:dyDescent="0.3">
      <c r="A136" s="20" t="s">
        <v>237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3" x14ac:dyDescent="0.3">
      <c r="A137" t="s">
        <v>124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>
        <f>VLOOKUP(A137,'TB-Feb,26-B'!$B$9:$C$67,2,0)</f>
        <v>320</v>
      </c>
      <c r="V137" s="11">
        <f t="shared" ref="V137" si="168">+U137-S137</f>
        <v>320</v>
      </c>
    </row>
    <row r="138" spans="1:23" x14ac:dyDescent="0.3">
      <c r="A138" s="10" t="s">
        <v>122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3" x14ac:dyDescent="0.3">
      <c r="A139" s="13" t="s">
        <v>126</v>
      </c>
      <c r="B139" s="41">
        <f t="shared" ref="B139:C139" si="169">SUM(B134:B138)</f>
        <v>0</v>
      </c>
      <c r="C139" s="41">
        <f t="shared" si="169"/>
        <v>0</v>
      </c>
      <c r="D139" s="41">
        <f t="shared" ref="D139:F139" si="170">SUM(D134:D138)</f>
        <v>0</v>
      </c>
      <c r="E139" s="41">
        <f t="shared" ref="E139:H139" si="171">SUM(E134:E138)</f>
        <v>0</v>
      </c>
      <c r="F139" s="41">
        <f t="shared" si="170"/>
        <v>0</v>
      </c>
      <c r="G139" s="41">
        <f t="shared" si="171"/>
        <v>0</v>
      </c>
      <c r="H139" s="41">
        <f t="shared" si="171"/>
        <v>0</v>
      </c>
      <c r="I139" s="41">
        <f t="shared" ref="I139:J139" si="172">SUM(I134:I138)</f>
        <v>0</v>
      </c>
      <c r="J139" s="41">
        <f t="shared" si="172"/>
        <v>0</v>
      </c>
      <c r="K139" s="41">
        <f t="shared" ref="K139:L139" si="173">SUM(K134:K138)</f>
        <v>0</v>
      </c>
      <c r="L139" s="41">
        <f t="shared" si="173"/>
        <v>0</v>
      </c>
      <c r="M139" s="41">
        <f t="shared" ref="M139:N139" si="174">SUM(M134:M138)</f>
        <v>0</v>
      </c>
      <c r="N139" s="41">
        <f t="shared" si="174"/>
        <v>0</v>
      </c>
      <c r="O139" s="41">
        <f t="shared" ref="O139:P139" si="175">SUM(O134:O138)</f>
        <v>0</v>
      </c>
      <c r="P139" s="41">
        <f t="shared" si="175"/>
        <v>0</v>
      </c>
      <c r="Q139" s="41">
        <f t="shared" ref="Q139:R139" si="176">SUM(Q134:Q138)</f>
        <v>0</v>
      </c>
      <c r="R139" s="41">
        <f t="shared" si="176"/>
        <v>0</v>
      </c>
      <c r="S139" s="41">
        <f t="shared" ref="S139:T139" si="177">SUM(S134:S138)</f>
        <v>0</v>
      </c>
      <c r="T139" s="41">
        <f t="shared" si="177"/>
        <v>0</v>
      </c>
      <c r="U139" s="41">
        <f t="shared" ref="U139:V139" si="178">SUM(U134:U138)</f>
        <v>320</v>
      </c>
      <c r="V139" s="41">
        <f t="shared" si="178"/>
        <v>320</v>
      </c>
    </row>
    <row r="140" spans="1:23" x14ac:dyDescent="0.3">
      <c r="A140" s="8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spans="1:23" s="15" customFormat="1" x14ac:dyDescent="0.3">
      <c r="A141" s="17" t="s">
        <v>127</v>
      </c>
      <c r="B141" s="42">
        <f t="shared" ref="B141:H141" si="179">+B20-B131+B139</f>
        <v>-2095309.6599999997</v>
      </c>
      <c r="C141" s="42">
        <f t="shared" si="179"/>
        <v>-4674678.55</v>
      </c>
      <c r="D141" s="42">
        <f t="shared" si="179"/>
        <v>-2579368.89</v>
      </c>
      <c r="E141" s="42">
        <f t="shared" si="179"/>
        <v>-6049710.8699999973</v>
      </c>
      <c r="F141" s="42">
        <f t="shared" si="179"/>
        <v>-1375032.3200000003</v>
      </c>
      <c r="G141" s="42">
        <f t="shared" si="179"/>
        <v>-6792256.6699999981</v>
      </c>
      <c r="H141" s="42">
        <f t="shared" si="179"/>
        <v>-742545.79999999981</v>
      </c>
      <c r="I141" s="42">
        <f t="shared" ref="I141:J141" si="180">+I20-I131+I139</f>
        <v>-7749895.8699999992</v>
      </c>
      <c r="J141" s="42">
        <f t="shared" si="180"/>
        <v>-957639.20000000019</v>
      </c>
      <c r="K141" s="42">
        <f t="shared" ref="K141:L141" si="181">+K20-K131+K139</f>
        <v>-8702240.4699999969</v>
      </c>
      <c r="L141" s="42">
        <f t="shared" si="181"/>
        <v>-952344.60000000009</v>
      </c>
      <c r="M141" s="42">
        <f t="shared" ref="M141:N141" si="182">+M20-M131+M139</f>
        <v>-12193869.430000002</v>
      </c>
      <c r="N141" s="42">
        <f t="shared" si="182"/>
        <v>-3491628.96</v>
      </c>
      <c r="O141" s="42">
        <f t="shared" ref="O141:P141" si="183">+O20-O131+O139</f>
        <v>-14893052.390000001</v>
      </c>
      <c r="P141" s="42">
        <f t="shared" si="183"/>
        <v>-2699182.9600000009</v>
      </c>
      <c r="Q141" s="42">
        <f t="shared" ref="Q141:R141" si="184">+Q20-Q131+Q139</f>
        <v>-17420056.629999999</v>
      </c>
      <c r="R141" s="42">
        <f t="shared" si="184"/>
        <v>-2527004.2399999984</v>
      </c>
      <c r="S141" s="42">
        <f t="shared" ref="S141:T141" si="185">+S20-S131+S139</f>
        <v>-19718994.580000009</v>
      </c>
      <c r="T141" s="42">
        <f t="shared" si="185"/>
        <v>-2298937.9500000002</v>
      </c>
      <c r="U141" s="42">
        <f t="shared" ref="U141:V141" si="186">+U20-U131+U139</f>
        <v>-23835515.669999998</v>
      </c>
      <c r="V141" s="42">
        <f t="shared" si="186"/>
        <v>-4116521.0900000008</v>
      </c>
      <c r="W141" s="15">
        <f>+'TB-Feb,26-B'!C69</f>
        <v>-14813750.649999995</v>
      </c>
    </row>
    <row r="142" spans="1:23" s="15" customFormat="1" x14ac:dyDescent="0.3">
      <c r="B142" s="43"/>
      <c r="C142" s="43"/>
      <c r="D142" s="43"/>
      <c r="E142" s="43"/>
      <c r="F142" s="43">
        <f>+E141-C141</f>
        <v>-1375032.3199999975</v>
      </c>
      <c r="G142" s="43">
        <f>+'July-B'!C53</f>
        <v>-3895683.67</v>
      </c>
      <c r="H142" s="43">
        <f>+G141-E141</f>
        <v>-742545.80000000075</v>
      </c>
      <c r="I142" s="43">
        <f>+'July-B'!E53</f>
        <v>0</v>
      </c>
      <c r="J142" s="43">
        <f>+I141-G141</f>
        <v>-957639.20000000112</v>
      </c>
      <c r="K142" s="43">
        <f>+'July-B'!G53</f>
        <v>0</v>
      </c>
      <c r="L142" s="43">
        <f>+K141-I141</f>
        <v>-952344.59999999776</v>
      </c>
      <c r="M142" s="43">
        <f>+'PL-TFB-Oct'!C59</f>
        <v>-7120592.4200000018</v>
      </c>
      <c r="N142" s="43">
        <f>+M141-K141</f>
        <v>-3491628.9600000046</v>
      </c>
      <c r="O142" s="43">
        <v>-8827224.3900000006</v>
      </c>
      <c r="P142" s="43">
        <f>+O141-M141</f>
        <v>-2699182.959999999</v>
      </c>
      <c r="Q142" s="43">
        <v>-17420056.629999999</v>
      </c>
      <c r="R142" s="43">
        <f>+Q141-O141</f>
        <v>-2527004.2399999984</v>
      </c>
      <c r="S142" s="43"/>
      <c r="T142" s="43"/>
      <c r="U142" s="43"/>
      <c r="V142" s="43"/>
      <c r="W142" s="12">
        <f>+U141-W141</f>
        <v>-9021765.0200000033</v>
      </c>
    </row>
    <row r="143" spans="1:23" s="15" customFormat="1" x14ac:dyDescent="0.3">
      <c r="B143" s="43"/>
      <c r="C143" s="43"/>
      <c r="D143" s="43"/>
      <c r="E143" s="43"/>
      <c r="F143" s="43">
        <f t="shared" ref="F143:L143" si="187">+F141-F142</f>
        <v>-2.7939677238464355E-9</v>
      </c>
      <c r="G143" s="43">
        <f t="shared" si="187"/>
        <v>-2896572.9999999981</v>
      </c>
      <c r="H143" s="43">
        <f t="shared" si="187"/>
        <v>9.3132257461547852E-10</v>
      </c>
      <c r="I143" s="43">
        <f t="shared" si="187"/>
        <v>-7749895.8699999992</v>
      </c>
      <c r="J143" s="43">
        <f t="shared" si="187"/>
        <v>9.3132257461547852E-10</v>
      </c>
      <c r="K143" s="43">
        <f t="shared" si="187"/>
        <v>-8702240.4699999969</v>
      </c>
      <c r="L143" s="43">
        <f t="shared" si="187"/>
        <v>-2.3283064365386963E-9</v>
      </c>
      <c r="M143" s="43">
        <f>+M141-M142</f>
        <v>-5073277.01</v>
      </c>
      <c r="N143" s="43">
        <f t="shared" ref="N143:P143" si="188">+N141-N142</f>
        <v>4.6566128730773926E-9</v>
      </c>
      <c r="O143" s="43">
        <f>+O141-O142</f>
        <v>-6065828</v>
      </c>
      <c r="P143" s="43">
        <f t="shared" si="188"/>
        <v>0</v>
      </c>
      <c r="Q143" s="43">
        <f>+Q141-Q142</f>
        <v>0</v>
      </c>
      <c r="R143" s="43">
        <f>+R141-R142</f>
        <v>0</v>
      </c>
      <c r="S143" s="43"/>
      <c r="T143" s="43"/>
      <c r="U143" s="43">
        <f>+U141-U142</f>
        <v>-23835515.669999998</v>
      </c>
      <c r="V143" s="43">
        <f>+V141-V142</f>
        <v>-4116521.0900000008</v>
      </c>
    </row>
    <row r="144" spans="1:23" s="15" customFormat="1" x14ac:dyDescent="0.3"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>
        <v>4255828</v>
      </c>
      <c r="P144" s="43"/>
      <c r="Q144" s="43"/>
      <c r="R144" s="43"/>
      <c r="S144" s="43"/>
      <c r="T144" s="43"/>
      <c r="U144" s="43"/>
      <c r="V144" s="43"/>
    </row>
    <row r="145" spans="1:23" s="15" customFormat="1" x14ac:dyDescent="0.3">
      <c r="A145" s="15" t="s">
        <v>128</v>
      </c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>
        <f>+O143+O144</f>
        <v>-1810000</v>
      </c>
      <c r="P145" s="43"/>
      <c r="Q145" s="43"/>
      <c r="R145" s="43"/>
      <c r="S145" s="43"/>
      <c r="T145" s="43"/>
      <c r="U145" s="43"/>
      <c r="V145" s="43"/>
    </row>
    <row r="146" spans="1:23" s="15" customFormat="1" x14ac:dyDescent="0.3"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12">
        <f>+U141-W141</f>
        <v>-9021765.0200000033</v>
      </c>
    </row>
    <row r="147" spans="1:23" s="15" customFormat="1" hidden="1" x14ac:dyDescent="0.3">
      <c r="A147" s="20" t="s">
        <v>129</v>
      </c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 spans="1:23" s="15" customFormat="1" hidden="1" x14ac:dyDescent="0.3">
      <c r="A148" s="20" t="s">
        <v>130</v>
      </c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 spans="1:23" s="15" customFormat="1" hidden="1" x14ac:dyDescent="0.3">
      <c r="A149" s="20" t="s">
        <v>131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 spans="1:23" s="15" customFormat="1" hidden="1" x14ac:dyDescent="0.3">
      <c r="A150" s="20" t="s">
        <v>132</v>
      </c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 spans="1:23" s="15" customFormat="1" hidden="1" x14ac:dyDescent="0.3">
      <c r="A151" s="46" t="s">
        <v>136</v>
      </c>
      <c r="B151" s="47">
        <f t="shared" ref="B151:C151" si="189">+SUM(B147:B150)</f>
        <v>0</v>
      </c>
      <c r="C151" s="47">
        <f t="shared" si="189"/>
        <v>0</v>
      </c>
      <c r="D151" s="47">
        <f t="shared" ref="D151:F151" si="190">+SUM(D147:D150)</f>
        <v>0</v>
      </c>
      <c r="E151" s="47">
        <f t="shared" ref="E151:G151" si="191">+SUM(E147:E150)</f>
        <v>0</v>
      </c>
      <c r="F151" s="47">
        <f t="shared" si="190"/>
        <v>0</v>
      </c>
      <c r="G151" s="47">
        <f t="shared" si="191"/>
        <v>0</v>
      </c>
      <c r="H151" s="47">
        <f t="shared" ref="H151:I151" si="192">+SUM(H147:H150)</f>
        <v>0</v>
      </c>
      <c r="I151" s="47">
        <f t="shared" si="192"/>
        <v>0</v>
      </c>
      <c r="J151" s="47">
        <f t="shared" ref="J151:K151" si="193">+SUM(J147:J150)</f>
        <v>0</v>
      </c>
      <c r="K151" s="47">
        <f t="shared" si="193"/>
        <v>0</v>
      </c>
      <c r="L151" s="47">
        <f t="shared" ref="L151:M151" si="194">+SUM(L147:L150)</f>
        <v>0</v>
      </c>
      <c r="M151" s="47">
        <f t="shared" si="194"/>
        <v>0</v>
      </c>
      <c r="N151" s="47">
        <f t="shared" ref="N151:P151" si="195">+SUM(N147:N150)</f>
        <v>0</v>
      </c>
      <c r="O151" s="47">
        <f t="shared" si="195"/>
        <v>0</v>
      </c>
      <c r="P151" s="47">
        <f t="shared" si="195"/>
        <v>0</v>
      </c>
      <c r="Q151" s="47">
        <f t="shared" ref="Q151:R151" si="196">+SUM(Q147:Q150)</f>
        <v>0</v>
      </c>
      <c r="R151" s="47">
        <f t="shared" si="196"/>
        <v>0</v>
      </c>
      <c r="S151" s="47">
        <f t="shared" ref="S151:T151" si="197">+SUM(S147:S150)</f>
        <v>0</v>
      </c>
      <c r="T151" s="47">
        <f t="shared" si="197"/>
        <v>0</v>
      </c>
      <c r="U151" s="47">
        <f t="shared" ref="U151:V151" si="198">+SUM(U147:U150)</f>
        <v>0</v>
      </c>
      <c r="V151" s="47">
        <f t="shared" si="198"/>
        <v>0</v>
      </c>
    </row>
    <row r="152" spans="1:23" s="15" customFormat="1" x14ac:dyDescent="0.3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</row>
    <row r="153" spans="1:23" s="15" customFormat="1" x14ac:dyDescent="0.3">
      <c r="A153" s="48" t="s">
        <v>238</v>
      </c>
      <c r="B153" s="49">
        <f t="shared" ref="B153:C153" si="199">+B141-B151</f>
        <v>-2095309.6599999997</v>
      </c>
      <c r="C153" s="49">
        <f t="shared" si="199"/>
        <v>-4674678.55</v>
      </c>
      <c r="D153" s="49">
        <f t="shared" ref="D153:E153" si="200">+D141-D151</f>
        <v>-2579368.89</v>
      </c>
      <c r="E153" s="49">
        <f t="shared" si="200"/>
        <v>-6049710.8699999973</v>
      </c>
      <c r="F153" s="49">
        <f t="shared" ref="F153:G153" si="201">+F141-F151</f>
        <v>-1375032.3200000003</v>
      </c>
      <c r="G153" s="49">
        <f t="shared" si="201"/>
        <v>-6792256.6699999981</v>
      </c>
      <c r="H153" s="49">
        <f t="shared" ref="H153:I153" si="202">+H141-H151</f>
        <v>-742545.79999999981</v>
      </c>
      <c r="I153" s="49">
        <f t="shared" si="202"/>
        <v>-7749895.8699999992</v>
      </c>
      <c r="J153" s="49">
        <f t="shared" ref="J153:K153" si="203">+J141-J151</f>
        <v>-957639.20000000019</v>
      </c>
      <c r="K153" s="49">
        <f t="shared" si="203"/>
        <v>-8702240.4699999969</v>
      </c>
      <c r="L153" s="49">
        <f t="shared" ref="L153:M153" si="204">+L141-L151</f>
        <v>-952344.60000000009</v>
      </c>
      <c r="M153" s="49">
        <f t="shared" si="204"/>
        <v>-12193869.430000002</v>
      </c>
      <c r="N153" s="49">
        <f t="shared" ref="N153:P153" si="205">+N141-N151</f>
        <v>-3491628.96</v>
      </c>
      <c r="O153" s="49">
        <f t="shared" si="205"/>
        <v>-14893052.390000001</v>
      </c>
      <c r="P153" s="49">
        <f t="shared" si="205"/>
        <v>-2699182.9600000009</v>
      </c>
      <c r="Q153" s="49">
        <f t="shared" ref="Q153:R153" si="206">+Q141-Q151</f>
        <v>-17420056.629999999</v>
      </c>
      <c r="R153" s="49">
        <f t="shared" si="206"/>
        <v>-2527004.2399999984</v>
      </c>
      <c r="S153" s="49">
        <f t="shared" ref="S153:T153" si="207">+S141-S151</f>
        <v>-19718994.580000009</v>
      </c>
      <c r="T153" s="49">
        <f t="shared" si="207"/>
        <v>-2298937.9500000002</v>
      </c>
      <c r="U153" s="49">
        <f t="shared" ref="U153:V153" si="208">+U141-U151</f>
        <v>-23835515.669999998</v>
      </c>
      <c r="V153" s="49">
        <f t="shared" si="208"/>
        <v>-4116521.0900000008</v>
      </c>
    </row>
    <row r="154" spans="1:23" s="15" customFormat="1" x14ac:dyDescent="0.3"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</row>
    <row r="155" spans="1:23" x14ac:dyDescent="0.3">
      <c r="A155" s="48" t="s">
        <v>138</v>
      </c>
      <c r="B155" s="51">
        <f t="shared" ref="B155:C155" si="209">+B153+B128+B127+B126+B121</f>
        <v>-1511268.6599999997</v>
      </c>
      <c r="C155" s="51">
        <f t="shared" si="209"/>
        <v>-3447829.55</v>
      </c>
      <c r="D155" s="51">
        <f t="shared" ref="D155:E155" si="210">+D153+D128+D127+D126+D121</f>
        <v>-1936560.8900000001</v>
      </c>
      <c r="E155" s="51">
        <f t="shared" si="210"/>
        <v>-4170737.8699999973</v>
      </c>
      <c r="F155" s="51">
        <f t="shared" ref="F155:G155" si="211">+F153+F128+F127+F126+F121</f>
        <v>-722908.3200000003</v>
      </c>
      <c r="G155" s="51">
        <f t="shared" si="211"/>
        <v>-4212119.6699999981</v>
      </c>
      <c r="H155" s="51">
        <f t="shared" ref="H155:I155" si="212">+H153+H128+H127+H126+H121</f>
        <v>-41381.799999999814</v>
      </c>
      <c r="I155" s="51">
        <f t="shared" si="212"/>
        <v>-4422018.8699999992</v>
      </c>
      <c r="J155" s="51">
        <f t="shared" ref="J155:K155" si="213">+J153+J128+J127+J126+J121</f>
        <v>-209899.20000000019</v>
      </c>
      <c r="K155" s="51">
        <f t="shared" si="213"/>
        <v>-4622514.4699999969</v>
      </c>
      <c r="L155" s="51">
        <f t="shared" ref="L155:M155" si="214">+L153+L128+L127+L126+L121</f>
        <v>-200495.60000000009</v>
      </c>
      <c r="M155" s="51">
        <f t="shared" si="214"/>
        <v>-7291746.4300000016</v>
      </c>
      <c r="N155" s="51">
        <f t="shared" ref="N155:P155" si="215">+N153+N128+N127+N126+N121</f>
        <v>-2669231.96</v>
      </c>
      <c r="O155" s="51">
        <f t="shared" si="215"/>
        <v>-9156066.3900000006</v>
      </c>
      <c r="P155" s="51">
        <f t="shared" si="215"/>
        <v>-1864319.9600000009</v>
      </c>
      <c r="Q155" s="51">
        <f t="shared" ref="Q155:R155" si="216">+Q153+Q128+Q127+Q126+Q121</f>
        <v>-10772426.629999999</v>
      </c>
      <c r="R155" s="51">
        <f t="shared" si="216"/>
        <v>-1616360.2399999984</v>
      </c>
      <c r="S155" s="51">
        <f t="shared" ref="S155:T155" si="217">+S153+S128+S127+S126+S121</f>
        <v>-12107120.580000009</v>
      </c>
      <c r="T155" s="51">
        <f t="shared" si="217"/>
        <v>-1334693.9500000002</v>
      </c>
      <c r="U155" s="51">
        <f t="shared" ref="U155:V155" si="218">+U153+U128+U127+U126+U121</f>
        <v>-15290389.669999998</v>
      </c>
      <c r="V155" s="51">
        <f t="shared" si="218"/>
        <v>-3183269.0900000008</v>
      </c>
    </row>
    <row r="157" spans="1:23" x14ac:dyDescent="0.3">
      <c r="A157" s="48" t="s">
        <v>139</v>
      </c>
      <c r="B157" s="49">
        <f t="shared" ref="B157:C157" si="219">+B153+B121</f>
        <v>-1870309.6599999997</v>
      </c>
      <c r="C157" s="49">
        <f t="shared" si="219"/>
        <v>-4224678.55</v>
      </c>
      <c r="D157" s="49">
        <f t="shared" ref="D157:E157" si="220">+D153+D121</f>
        <v>-2354368.89</v>
      </c>
      <c r="E157" s="49">
        <f t="shared" si="220"/>
        <v>-5374710.8699999973</v>
      </c>
      <c r="F157" s="49">
        <f t="shared" ref="F157:G157" si="221">+F153+F121</f>
        <v>-1150032.3200000003</v>
      </c>
      <c r="G157" s="49">
        <f t="shared" si="221"/>
        <v>-5892256.6699999981</v>
      </c>
      <c r="H157" s="49">
        <f t="shared" ref="H157:I157" si="222">+H153+H121</f>
        <v>-517545.79999999981</v>
      </c>
      <c r="I157" s="49">
        <f t="shared" si="222"/>
        <v>-6624895.8699999992</v>
      </c>
      <c r="J157" s="49">
        <f t="shared" ref="J157:K157" si="223">+J153+J121</f>
        <v>-732639.20000000019</v>
      </c>
      <c r="K157" s="49">
        <f t="shared" si="223"/>
        <v>-7352240.4699999969</v>
      </c>
      <c r="L157" s="49">
        <f t="shared" ref="L157:M157" si="224">+L153+L121</f>
        <v>-727344.60000000009</v>
      </c>
      <c r="M157" s="49">
        <f t="shared" si="224"/>
        <v>-10618869.430000002</v>
      </c>
      <c r="N157" s="49">
        <f t="shared" ref="N157:P157" si="225">+N153+N121</f>
        <v>-3266628.96</v>
      </c>
      <c r="O157" s="49">
        <f t="shared" si="225"/>
        <v>-13093052.390000001</v>
      </c>
      <c r="P157" s="49">
        <f t="shared" si="225"/>
        <v>-2474182.9600000009</v>
      </c>
      <c r="Q157" s="49">
        <f t="shared" ref="Q157:R157" si="226">+Q153+Q121</f>
        <v>-15395056.629999999</v>
      </c>
      <c r="R157" s="49">
        <f t="shared" si="226"/>
        <v>-2302004.2399999984</v>
      </c>
      <c r="S157" s="49">
        <f t="shared" ref="S157:T157" si="227">+S153+S121</f>
        <v>-17468994.580000009</v>
      </c>
      <c r="T157" s="49">
        <f t="shared" si="227"/>
        <v>-2073937.9500000002</v>
      </c>
      <c r="U157" s="49">
        <f t="shared" ref="U157:V157" si="228">+U153+U121</f>
        <v>-21360515.669999998</v>
      </c>
      <c r="V157" s="49">
        <f t="shared" si="228"/>
        <v>-3891521.0900000008</v>
      </c>
    </row>
    <row r="159" spans="1:23" hidden="1" x14ac:dyDescent="0.3">
      <c r="B159" s="25">
        <v>8874497.4550000075</v>
      </c>
      <c r="C159" s="25">
        <v>8874497.4550000075</v>
      </c>
      <c r="D159" s="25">
        <v>8874497.4550000075</v>
      </c>
      <c r="E159" s="25">
        <v>8874497.4550000075</v>
      </c>
      <c r="F159" s="25">
        <v>8874497.4550000075</v>
      </c>
      <c r="G159" s="25">
        <v>8874497.4550000075</v>
      </c>
      <c r="H159" s="25">
        <v>8874497.4550000075</v>
      </c>
      <c r="I159" s="25">
        <v>8874497.4550000075</v>
      </c>
      <c r="J159" s="25">
        <v>8874497.4550000075</v>
      </c>
      <c r="K159" s="25">
        <v>8874497.4550000075</v>
      </c>
      <c r="L159" s="25">
        <v>8874497.4550000075</v>
      </c>
      <c r="M159" s="25">
        <v>8874497.4550000075</v>
      </c>
      <c r="N159" s="25">
        <v>8874497.4550000075</v>
      </c>
      <c r="O159" s="25">
        <v>8874497.4550000075</v>
      </c>
      <c r="P159" s="25">
        <v>8874497.4550000075</v>
      </c>
      <c r="Q159" s="25">
        <v>8874497.4550000075</v>
      </c>
      <c r="R159" s="25">
        <v>8874497.4550000075</v>
      </c>
      <c r="S159" s="25">
        <v>8874497.4550000075</v>
      </c>
      <c r="T159" s="25">
        <v>8874497.4550000075</v>
      </c>
      <c r="U159" s="25">
        <v>8874497.4550000075</v>
      </c>
      <c r="V159" s="25">
        <v>8874497.4550000075</v>
      </c>
    </row>
    <row r="160" spans="1:23" hidden="1" x14ac:dyDescent="0.3">
      <c r="B160" s="45">
        <f t="shared" ref="B160:C160" si="229">+B153-B159</f>
        <v>-10969807.115000008</v>
      </c>
      <c r="C160" s="45">
        <f t="shared" si="229"/>
        <v>-13549176.005000006</v>
      </c>
      <c r="D160" s="45">
        <f t="shared" ref="D160:E160" si="230">+D153-D159</f>
        <v>-11453866.345000008</v>
      </c>
      <c r="E160" s="45">
        <f t="shared" si="230"/>
        <v>-14924208.325000005</v>
      </c>
      <c r="F160" s="45">
        <f t="shared" ref="F160:G160" si="231">+F153-F159</f>
        <v>-10249529.775000008</v>
      </c>
      <c r="G160" s="45">
        <f t="shared" si="231"/>
        <v>-15666754.125000006</v>
      </c>
      <c r="H160" s="45">
        <f t="shared" ref="H160:I160" si="232">+H153-H159</f>
        <v>-9617043.2550000064</v>
      </c>
      <c r="I160" s="45">
        <f t="shared" si="232"/>
        <v>-16624393.325000007</v>
      </c>
      <c r="J160" s="45">
        <f t="shared" ref="J160:K160" si="233">+J153-J159</f>
        <v>-9832136.6550000086</v>
      </c>
      <c r="K160" s="45">
        <f t="shared" si="233"/>
        <v>-17576737.925000004</v>
      </c>
      <c r="L160" s="45">
        <f t="shared" ref="L160:M160" si="234">+L153-L159</f>
        <v>-9826842.0550000072</v>
      </c>
      <c r="M160" s="45">
        <f t="shared" si="234"/>
        <v>-21068366.885000009</v>
      </c>
      <c r="N160" s="45">
        <f t="shared" ref="N160:P160" si="235">+N153-N159</f>
        <v>-12366126.415000007</v>
      </c>
      <c r="O160" s="45">
        <f t="shared" si="235"/>
        <v>-23767549.845000006</v>
      </c>
      <c r="P160" s="45">
        <f t="shared" si="235"/>
        <v>-11573680.415000008</v>
      </c>
      <c r="Q160" s="45">
        <f t="shared" ref="Q160:R160" si="236">+Q153-Q159</f>
        <v>-26294554.085000008</v>
      </c>
      <c r="R160" s="45">
        <f t="shared" si="236"/>
        <v>-11401501.695000006</v>
      </c>
      <c r="S160" s="45">
        <f t="shared" ref="S160:T160" si="237">+S153-S159</f>
        <v>-28593492.035000019</v>
      </c>
      <c r="T160" s="45">
        <f t="shared" si="237"/>
        <v>-11173435.405000009</v>
      </c>
      <c r="U160" s="45">
        <f t="shared" ref="U160:V160" si="238">+U153-U159</f>
        <v>-32710013.125000007</v>
      </c>
      <c r="V160" s="45">
        <f t="shared" si="238"/>
        <v>-12991018.545000009</v>
      </c>
    </row>
    <row r="161" spans="1:22" x14ac:dyDescent="0.3">
      <c r="A161" s="48" t="s">
        <v>140</v>
      </c>
      <c r="B161" s="52">
        <f t="shared" ref="B161:H161" si="239">+B155/B20*100</f>
        <v>-100.62566317236087</v>
      </c>
      <c r="C161" s="52">
        <f t="shared" si="239"/>
        <v>-137.8526371217761</v>
      </c>
      <c r="D161" s="52">
        <f t="shared" si="239"/>
        <v>-193.80609491746611</v>
      </c>
      <c r="E161" s="52">
        <f t="shared" si="239"/>
        <v>-79.085925973120425</v>
      </c>
      <c r="F161" s="52">
        <f t="shared" si="239"/>
        <v>-26.073478827128955</v>
      </c>
      <c r="G161" s="52">
        <f t="shared" si="239"/>
        <v>-46.72821034959604</v>
      </c>
      <c r="H161" s="52">
        <f t="shared" si="239"/>
        <v>-1.106345728679716</v>
      </c>
      <c r="I161" s="52">
        <f t="shared" ref="I161:J161" si="240">+I155/I20*100</f>
        <v>-36.302497738859479</v>
      </c>
      <c r="J161" s="52">
        <f t="shared" si="240"/>
        <v>-6.6278048683449011</v>
      </c>
      <c r="K161" s="52">
        <f t="shared" ref="K161:L161" si="241">+K155/K20*100</f>
        <v>-30.074105141166573</v>
      </c>
      <c r="L161" s="52">
        <f t="shared" si="241"/>
        <v>-6.2863463830924022</v>
      </c>
      <c r="M161" s="52">
        <f t="shared" ref="M161:N161" si="242">+M155/M20*100</f>
        <v>-44.447753576518053</v>
      </c>
      <c r="N161" s="52">
        <f t="shared" si="242"/>
        <v>-257.94814813383147</v>
      </c>
      <c r="O161" s="52">
        <f t="shared" ref="O161:P161" si="243">+O155/O20*100</f>
        <v>-49.475990485855476</v>
      </c>
      <c r="P161" s="52">
        <f t="shared" si="243"/>
        <v>-88.740292179912529</v>
      </c>
      <c r="Q161" s="52">
        <f t="shared" ref="Q161:R161" si="244">+Q155/Q20*100</f>
        <v>-49.655491220422746</v>
      </c>
      <c r="R161" s="52">
        <f t="shared" si="244"/>
        <v>-50.697396317596613</v>
      </c>
      <c r="S161" s="52">
        <f t="shared" ref="S161:T161" si="245">+S155/S20*100</f>
        <v>-48.463593204619485</v>
      </c>
      <c r="T161" s="52">
        <f t="shared" si="245"/>
        <v>-40.598351602725067</v>
      </c>
      <c r="U161" s="52">
        <f t="shared" ref="U161:V161" si="246">+U155/U20*100</f>
        <v>-56.598444875538057</v>
      </c>
      <c r="V161" s="52">
        <f t="shared" si="246"/>
        <v>-156.52776178321341</v>
      </c>
    </row>
  </sheetData>
  <pageMargins left="0.11811023622047245" right="0.11811023622047245" top="0.35433070866141736" bottom="0.15748031496062992" header="0" footer="0.11811023622047245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2CF9-673F-4BEF-8C5C-FAAE867E22D9}">
  <dimension ref="A1:F164"/>
  <sheetViews>
    <sheetView topLeftCell="A139" workbookViewId="0">
      <selection activeCell="U122" sqref="U122"/>
    </sheetView>
  </sheetViews>
  <sheetFormatPr defaultRowHeight="14.4" x14ac:dyDescent="0.3"/>
  <cols>
    <col min="2" max="2" width="38.33203125" customWidth="1"/>
    <col min="3" max="3" width="14.5546875" customWidth="1"/>
    <col min="4" max="4" width="11.33203125" customWidth="1"/>
  </cols>
  <sheetData>
    <row r="1" spans="1:6" x14ac:dyDescent="0.3">
      <c r="A1" t="s">
        <v>141</v>
      </c>
      <c r="B1" t="s">
        <v>239</v>
      </c>
      <c r="D1" t="s">
        <v>143</v>
      </c>
    </row>
    <row r="2" spans="1:6" x14ac:dyDescent="0.3">
      <c r="A2" t="s">
        <v>141</v>
      </c>
      <c r="B2" t="s">
        <v>240</v>
      </c>
      <c r="D2" t="s">
        <v>143</v>
      </c>
    </row>
    <row r="3" spans="1:6" x14ac:dyDescent="0.3">
      <c r="A3" t="s">
        <v>141</v>
      </c>
      <c r="B3" t="s">
        <v>244</v>
      </c>
      <c r="C3" t="s">
        <v>460</v>
      </c>
      <c r="D3" t="s">
        <v>143</v>
      </c>
    </row>
    <row r="4" spans="1:6" x14ac:dyDescent="0.3">
      <c r="A4" t="s">
        <v>317</v>
      </c>
      <c r="B4" t="s">
        <v>290</v>
      </c>
      <c r="C4" t="s">
        <v>241</v>
      </c>
      <c r="D4" t="s">
        <v>256</v>
      </c>
      <c r="E4" t="s">
        <v>255</v>
      </c>
    </row>
    <row r="5" spans="1:6" x14ac:dyDescent="0.3">
      <c r="A5" t="s">
        <v>146</v>
      </c>
      <c r="B5" t="s">
        <v>146</v>
      </c>
      <c r="C5" t="s">
        <v>147</v>
      </c>
      <c r="D5" t="s">
        <v>148</v>
      </c>
    </row>
    <row r="6" spans="1:6" x14ac:dyDescent="0.3">
      <c r="A6" t="s">
        <v>149</v>
      </c>
      <c r="B6" t="s">
        <v>150</v>
      </c>
      <c r="C6" t="s">
        <v>151</v>
      </c>
      <c r="D6" t="s">
        <v>152</v>
      </c>
    </row>
    <row r="7" spans="1:6" x14ac:dyDescent="0.3">
      <c r="A7" t="s">
        <v>317</v>
      </c>
      <c r="B7" t="s">
        <v>290</v>
      </c>
      <c r="C7" t="s">
        <v>241</v>
      </c>
      <c r="D7" t="s">
        <v>256</v>
      </c>
      <c r="E7" t="s">
        <v>255</v>
      </c>
    </row>
    <row r="8" spans="1:6" x14ac:dyDescent="0.3">
      <c r="A8" t="s">
        <v>3</v>
      </c>
    </row>
    <row r="9" spans="1:6" x14ac:dyDescent="0.3">
      <c r="A9" t="s">
        <v>4</v>
      </c>
      <c r="C9" s="2">
        <f>+'Profit Loss-Amravati-25-26'!U190+SUM(C29:C153)-SUM(C10:C27)</f>
        <v>94856131.616666555</v>
      </c>
    </row>
    <row r="10" spans="1:6" x14ac:dyDescent="0.3">
      <c r="A10">
        <v>21686</v>
      </c>
      <c r="B10" t="s">
        <v>176</v>
      </c>
      <c r="C10">
        <f t="shared" ref="C10:C27" si="0">+F10</f>
        <v>105750522</v>
      </c>
      <c r="F10">
        <v>105750522</v>
      </c>
    </row>
    <row r="11" spans="1:6" x14ac:dyDescent="0.3">
      <c r="A11">
        <v>1677</v>
      </c>
      <c r="B11" t="s">
        <v>402</v>
      </c>
      <c r="C11">
        <f t="shared" si="0"/>
        <v>158852699</v>
      </c>
      <c r="F11">
        <v>158852699</v>
      </c>
    </row>
    <row r="12" spans="1:6" x14ac:dyDescent="0.3">
      <c r="A12">
        <v>701</v>
      </c>
      <c r="B12" t="s">
        <v>178</v>
      </c>
      <c r="C12">
        <f t="shared" si="0"/>
        <v>471500.01</v>
      </c>
      <c r="F12">
        <v>471500.01</v>
      </c>
    </row>
    <row r="13" spans="1:6" x14ac:dyDescent="0.3">
      <c r="A13">
        <v>16905</v>
      </c>
      <c r="B13" t="s">
        <v>177</v>
      </c>
      <c r="C13">
        <f t="shared" si="0"/>
        <v>648692026.38999999</v>
      </c>
      <c r="F13">
        <v>648692026.38999999</v>
      </c>
    </row>
    <row r="14" spans="1:6" x14ac:dyDescent="0.3">
      <c r="A14">
        <v>26282</v>
      </c>
      <c r="B14" t="s">
        <v>247</v>
      </c>
      <c r="C14">
        <f t="shared" si="0"/>
        <v>21860</v>
      </c>
      <c r="F14">
        <v>21860</v>
      </c>
    </row>
    <row r="15" spans="1:6" x14ac:dyDescent="0.3">
      <c r="A15">
        <v>35115</v>
      </c>
      <c r="B15" t="s">
        <v>179</v>
      </c>
      <c r="C15">
        <f t="shared" si="0"/>
        <v>9760163</v>
      </c>
      <c r="F15">
        <v>9760163</v>
      </c>
    </row>
    <row r="16" spans="1:6" x14ac:dyDescent="0.3">
      <c r="A16">
        <v>35116</v>
      </c>
      <c r="B16" t="s">
        <v>345</v>
      </c>
      <c r="C16">
        <f t="shared" si="0"/>
        <v>4971595</v>
      </c>
      <c r="F16">
        <v>4971595</v>
      </c>
    </row>
    <row r="17" spans="1:6" x14ac:dyDescent="0.3">
      <c r="A17">
        <v>42564</v>
      </c>
      <c r="B17" t="s">
        <v>453</v>
      </c>
      <c r="C17">
        <f t="shared" si="0"/>
        <v>646961</v>
      </c>
      <c r="F17">
        <v>646961</v>
      </c>
    </row>
    <row r="18" spans="1:6" x14ac:dyDescent="0.3">
      <c r="A18">
        <v>1015</v>
      </c>
      <c r="B18" t="s">
        <v>120</v>
      </c>
      <c r="C18">
        <f t="shared" si="0"/>
        <v>5403135.8799999999</v>
      </c>
      <c r="F18">
        <v>5403135.8799999999</v>
      </c>
    </row>
    <row r="19" spans="1:6" x14ac:dyDescent="0.3">
      <c r="A19">
        <v>1002</v>
      </c>
      <c r="B19" t="s">
        <v>28</v>
      </c>
      <c r="C19">
        <f t="shared" si="0"/>
        <v>7320935</v>
      </c>
      <c r="F19">
        <v>7320935</v>
      </c>
    </row>
    <row r="20" spans="1:6" x14ac:dyDescent="0.3">
      <c r="A20">
        <v>1201</v>
      </c>
      <c r="B20" t="s">
        <v>30</v>
      </c>
      <c r="C20">
        <f t="shared" si="0"/>
        <v>5354035</v>
      </c>
      <c r="F20">
        <v>5354035</v>
      </c>
    </row>
    <row r="21" spans="1:6" x14ac:dyDescent="0.3">
      <c r="A21">
        <v>1227</v>
      </c>
      <c r="B21" t="s">
        <v>182</v>
      </c>
      <c r="C21">
        <f t="shared" si="0"/>
        <v>6318995</v>
      </c>
      <c r="F21">
        <v>6318995</v>
      </c>
    </row>
    <row r="22" spans="1:6" x14ac:dyDescent="0.3">
      <c r="A22">
        <v>703</v>
      </c>
      <c r="B22" t="s">
        <v>181</v>
      </c>
      <c r="C22">
        <f t="shared" si="0"/>
        <v>682214</v>
      </c>
      <c r="F22">
        <v>682214</v>
      </c>
    </row>
    <row r="23" spans="1:6" x14ac:dyDescent="0.3">
      <c r="A23">
        <v>1011</v>
      </c>
      <c r="B23" t="s">
        <v>119</v>
      </c>
      <c r="C23">
        <f t="shared" si="0"/>
        <v>640</v>
      </c>
      <c r="F23">
        <v>640</v>
      </c>
    </row>
    <row r="24" spans="1:6" x14ac:dyDescent="0.3">
      <c r="A24">
        <v>1022</v>
      </c>
      <c r="B24" t="s">
        <v>276</v>
      </c>
      <c r="C24">
        <f t="shared" si="0"/>
        <v>2964503</v>
      </c>
      <c r="F24">
        <v>2964503</v>
      </c>
    </row>
    <row r="25" spans="1:6" x14ac:dyDescent="0.3">
      <c r="A25">
        <v>1016</v>
      </c>
      <c r="B25" t="s">
        <v>124</v>
      </c>
      <c r="C25">
        <f t="shared" si="0"/>
        <v>1577093.27</v>
      </c>
      <c r="F25">
        <v>1577093.27</v>
      </c>
    </row>
    <row r="26" spans="1:6" x14ac:dyDescent="0.3">
      <c r="A26">
        <v>34731</v>
      </c>
      <c r="B26" t="s">
        <v>122</v>
      </c>
      <c r="C26">
        <f t="shared" si="0"/>
        <v>31329.49</v>
      </c>
      <c r="F26">
        <v>31329.49</v>
      </c>
    </row>
    <row r="27" spans="1:6" x14ac:dyDescent="0.3">
      <c r="A27">
        <v>866</v>
      </c>
      <c r="B27" t="s">
        <v>415</v>
      </c>
      <c r="C27">
        <f t="shared" si="0"/>
        <v>21091.98</v>
      </c>
      <c r="F27">
        <v>21091.98</v>
      </c>
    </row>
    <row r="28" spans="1:6" x14ac:dyDescent="0.3">
      <c r="A28" t="s">
        <v>323</v>
      </c>
      <c r="B28" t="s">
        <v>324</v>
      </c>
      <c r="C28">
        <f>SUM(C10:C27)</f>
        <v>958841299.01999998</v>
      </c>
      <c r="D28">
        <v>958841299.01999998</v>
      </c>
      <c r="E28">
        <f>+C28-D28</f>
        <v>0</v>
      </c>
      <c r="F28">
        <f>SUM(F10:F27)</f>
        <v>958841299.01999998</v>
      </c>
    </row>
    <row r="29" spans="1:6" x14ac:dyDescent="0.3">
      <c r="A29">
        <v>1054</v>
      </c>
      <c r="B29" t="s">
        <v>305</v>
      </c>
      <c r="C29">
        <f t="shared" ref="C29:C57" si="1">+F29</f>
        <v>3508237.17</v>
      </c>
      <c r="F29">
        <v>3508237.17</v>
      </c>
    </row>
    <row r="30" spans="1:6" x14ac:dyDescent="0.3">
      <c r="A30">
        <v>1508</v>
      </c>
      <c r="B30" t="s">
        <v>306</v>
      </c>
      <c r="C30">
        <f t="shared" si="1"/>
        <v>9983215.9800000004</v>
      </c>
      <c r="F30">
        <v>9983215.9800000004</v>
      </c>
    </row>
    <row r="31" spans="1:6" x14ac:dyDescent="0.3">
      <c r="A31">
        <v>726</v>
      </c>
      <c r="B31" t="s">
        <v>307</v>
      </c>
      <c r="C31">
        <f t="shared" si="1"/>
        <v>57001475.630000003</v>
      </c>
      <c r="F31">
        <v>57001475.630000003</v>
      </c>
    </row>
    <row r="32" spans="1:6" x14ac:dyDescent="0.3">
      <c r="A32">
        <v>31383</v>
      </c>
      <c r="B32" t="s">
        <v>308</v>
      </c>
      <c r="C32">
        <f t="shared" si="1"/>
        <v>81361572.290000007</v>
      </c>
      <c r="F32">
        <v>81361572.290000007</v>
      </c>
    </row>
    <row r="33" spans="1:6" x14ac:dyDescent="0.3">
      <c r="A33">
        <v>35552</v>
      </c>
      <c r="B33" t="s">
        <v>309</v>
      </c>
      <c r="C33">
        <f t="shared" si="1"/>
        <v>10045740.779999999</v>
      </c>
      <c r="F33">
        <v>10045740.779999999</v>
      </c>
    </row>
    <row r="34" spans="1:6" x14ac:dyDescent="0.3">
      <c r="A34">
        <v>36461</v>
      </c>
      <c r="B34" t="s">
        <v>310</v>
      </c>
      <c r="C34">
        <f t="shared" si="1"/>
        <v>155547</v>
      </c>
      <c r="F34">
        <v>155547</v>
      </c>
    </row>
    <row r="35" spans="1:6" x14ac:dyDescent="0.3">
      <c r="A35">
        <v>18670</v>
      </c>
      <c r="B35" t="s">
        <v>195</v>
      </c>
      <c r="C35">
        <f t="shared" si="1"/>
        <v>27034065</v>
      </c>
      <c r="F35">
        <v>27034065</v>
      </c>
    </row>
    <row r="36" spans="1:6" x14ac:dyDescent="0.3">
      <c r="A36">
        <v>772</v>
      </c>
      <c r="B36" t="s">
        <v>198</v>
      </c>
      <c r="C36">
        <f t="shared" si="1"/>
        <v>701107.44</v>
      </c>
      <c r="F36">
        <v>701107.44</v>
      </c>
    </row>
    <row r="37" spans="1:6" x14ac:dyDescent="0.3">
      <c r="A37">
        <v>820</v>
      </c>
      <c r="B37" t="s">
        <v>69</v>
      </c>
      <c r="C37">
        <f t="shared" si="1"/>
        <v>152770</v>
      </c>
      <c r="F37">
        <v>152770</v>
      </c>
    </row>
    <row r="38" spans="1:6" x14ac:dyDescent="0.3">
      <c r="A38">
        <v>917</v>
      </c>
      <c r="B38" t="s">
        <v>44</v>
      </c>
      <c r="C38">
        <f t="shared" si="1"/>
        <v>472048.5</v>
      </c>
      <c r="F38">
        <v>472048.5</v>
      </c>
    </row>
    <row r="39" spans="1:6" x14ac:dyDescent="0.3">
      <c r="A39">
        <v>36603</v>
      </c>
      <c r="B39" t="s">
        <v>187</v>
      </c>
      <c r="C39">
        <f t="shared" si="1"/>
        <v>3127405.77</v>
      </c>
      <c r="F39">
        <v>3127405.77</v>
      </c>
    </row>
    <row r="40" spans="1:6" x14ac:dyDescent="0.3">
      <c r="A40">
        <v>36604</v>
      </c>
      <c r="B40" t="s">
        <v>188</v>
      </c>
      <c r="C40">
        <f t="shared" si="1"/>
        <v>4211205.71</v>
      </c>
      <c r="F40">
        <v>4211205.71</v>
      </c>
    </row>
    <row r="41" spans="1:6" x14ac:dyDescent="0.3">
      <c r="A41">
        <v>20335</v>
      </c>
      <c r="B41" t="s">
        <v>39</v>
      </c>
      <c r="C41">
        <f t="shared" si="1"/>
        <v>457372</v>
      </c>
      <c r="F41">
        <v>457372</v>
      </c>
    </row>
    <row r="42" spans="1:6" x14ac:dyDescent="0.3">
      <c r="A42">
        <v>33207</v>
      </c>
      <c r="B42" t="s">
        <v>454</v>
      </c>
      <c r="C42">
        <f t="shared" si="1"/>
        <v>1817</v>
      </c>
      <c r="F42">
        <v>1817</v>
      </c>
    </row>
    <row r="43" spans="1:6" x14ac:dyDescent="0.3">
      <c r="A43">
        <v>1400</v>
      </c>
      <c r="B43" t="s">
        <v>186</v>
      </c>
      <c r="C43">
        <f t="shared" si="1"/>
        <v>607657324.91999996</v>
      </c>
      <c r="F43">
        <v>607657324.91999996</v>
      </c>
    </row>
    <row r="44" spans="1:6" x14ac:dyDescent="0.3">
      <c r="A44">
        <v>875</v>
      </c>
      <c r="B44" t="s">
        <v>38</v>
      </c>
      <c r="C44">
        <f t="shared" si="1"/>
        <v>21505900.390000001</v>
      </c>
      <c r="F44">
        <v>21505900.390000001</v>
      </c>
    </row>
    <row r="45" spans="1:6" x14ac:dyDescent="0.3">
      <c r="A45">
        <v>35921</v>
      </c>
      <c r="B45" t="s">
        <v>278</v>
      </c>
      <c r="C45">
        <f t="shared" si="1"/>
        <v>8460079</v>
      </c>
      <c r="F45">
        <v>8460079</v>
      </c>
    </row>
    <row r="46" spans="1:6" x14ac:dyDescent="0.3">
      <c r="A46">
        <v>25338</v>
      </c>
      <c r="B46" t="s">
        <v>193</v>
      </c>
      <c r="C46">
        <f t="shared" si="1"/>
        <v>21784.799999999999</v>
      </c>
      <c r="F46">
        <v>21784.799999999999</v>
      </c>
    </row>
    <row r="47" spans="1:6" x14ac:dyDescent="0.3">
      <c r="A47">
        <v>36583</v>
      </c>
      <c r="B47" t="s">
        <v>200</v>
      </c>
      <c r="C47">
        <f t="shared" si="1"/>
        <v>691250.3</v>
      </c>
      <c r="F47">
        <v>691250.3</v>
      </c>
    </row>
    <row r="48" spans="1:6" x14ac:dyDescent="0.3">
      <c r="A48">
        <v>818</v>
      </c>
      <c r="B48" t="s">
        <v>47</v>
      </c>
      <c r="C48">
        <f t="shared" si="1"/>
        <v>39393.879999999997</v>
      </c>
      <c r="F48">
        <v>39393.879999999997</v>
      </c>
    </row>
    <row r="49" spans="1:6" x14ac:dyDescent="0.3">
      <c r="A49">
        <v>1612</v>
      </c>
      <c r="B49" t="s">
        <v>189</v>
      </c>
      <c r="C49">
        <f t="shared" si="1"/>
        <v>53827749.969999999</v>
      </c>
      <c r="F49">
        <v>53827749.969999999</v>
      </c>
    </row>
    <row r="50" spans="1:6" x14ac:dyDescent="0.3">
      <c r="A50">
        <v>17864</v>
      </c>
      <c r="B50" t="s">
        <v>190</v>
      </c>
      <c r="C50">
        <f t="shared" si="1"/>
        <v>2728363.18</v>
      </c>
      <c r="F50">
        <v>2728363.18</v>
      </c>
    </row>
    <row r="51" spans="1:6" x14ac:dyDescent="0.3">
      <c r="A51">
        <v>815</v>
      </c>
      <c r="B51" t="s">
        <v>40</v>
      </c>
      <c r="C51">
        <f t="shared" si="1"/>
        <v>161968.22</v>
      </c>
      <c r="F51">
        <v>161968.22</v>
      </c>
    </row>
    <row r="52" spans="1:6" x14ac:dyDescent="0.3">
      <c r="A52">
        <v>25339</v>
      </c>
      <c r="B52" t="s">
        <v>192</v>
      </c>
      <c r="C52">
        <f t="shared" si="1"/>
        <v>4127708.75</v>
      </c>
      <c r="F52">
        <v>4127708.75</v>
      </c>
    </row>
    <row r="53" spans="1:6" x14ac:dyDescent="0.3">
      <c r="A53">
        <v>810</v>
      </c>
      <c r="B53" t="s">
        <v>48</v>
      </c>
      <c r="C53">
        <f t="shared" si="1"/>
        <v>8757.24</v>
      </c>
      <c r="F53">
        <v>8757.24</v>
      </c>
    </row>
    <row r="54" spans="1:6" x14ac:dyDescent="0.3">
      <c r="A54">
        <v>16844</v>
      </c>
      <c r="B54" t="s">
        <v>43</v>
      </c>
      <c r="C54">
        <f t="shared" si="1"/>
        <v>40306.78</v>
      </c>
      <c r="F54">
        <v>40306.78</v>
      </c>
    </row>
    <row r="55" spans="1:6" x14ac:dyDescent="0.3">
      <c r="A55">
        <v>25337</v>
      </c>
      <c r="B55" t="s">
        <v>42</v>
      </c>
      <c r="C55">
        <f t="shared" si="1"/>
        <v>51707465.18</v>
      </c>
      <c r="F55">
        <v>51707465.18</v>
      </c>
    </row>
    <row r="56" spans="1:6" x14ac:dyDescent="0.3">
      <c r="A56">
        <v>30653</v>
      </c>
      <c r="B56" t="s">
        <v>191</v>
      </c>
      <c r="C56">
        <f t="shared" si="1"/>
        <v>2744904.74</v>
      </c>
      <c r="F56">
        <v>2744904.74</v>
      </c>
    </row>
    <row r="57" spans="1:6" x14ac:dyDescent="0.3">
      <c r="A57">
        <v>937</v>
      </c>
      <c r="B57" t="s">
        <v>58</v>
      </c>
      <c r="C57">
        <f t="shared" si="1"/>
        <v>9698</v>
      </c>
      <c r="F57">
        <v>9698</v>
      </c>
    </row>
    <row r="58" spans="1:6" x14ac:dyDescent="0.3">
      <c r="A58">
        <v>809</v>
      </c>
      <c r="B58" t="s">
        <v>46</v>
      </c>
      <c r="C58">
        <f t="shared" ref="C58:C121" si="2">+F58</f>
        <v>341080</v>
      </c>
      <c r="F58">
        <v>341080</v>
      </c>
    </row>
    <row r="59" spans="1:6" x14ac:dyDescent="0.3">
      <c r="A59">
        <v>849</v>
      </c>
      <c r="B59" t="s">
        <v>201</v>
      </c>
      <c r="C59">
        <f t="shared" si="2"/>
        <v>730200.46</v>
      </c>
      <c r="F59">
        <v>730200.46</v>
      </c>
    </row>
    <row r="60" spans="1:6" x14ac:dyDescent="0.3">
      <c r="A60">
        <v>28769</v>
      </c>
      <c r="B60" t="s">
        <v>60</v>
      </c>
      <c r="C60">
        <f t="shared" si="2"/>
        <v>5775</v>
      </c>
      <c r="F60">
        <v>5775</v>
      </c>
    </row>
    <row r="61" spans="1:6" x14ac:dyDescent="0.3">
      <c r="A61">
        <v>970</v>
      </c>
      <c r="B61" t="s">
        <v>55</v>
      </c>
      <c r="C61">
        <f t="shared" si="2"/>
        <v>2398712.25</v>
      </c>
      <c r="F61">
        <v>2398712.25</v>
      </c>
    </row>
    <row r="62" spans="1:6" x14ac:dyDescent="0.3">
      <c r="A62">
        <v>801</v>
      </c>
      <c r="B62" t="s">
        <v>199</v>
      </c>
      <c r="C62">
        <f t="shared" si="2"/>
        <v>24056272.18</v>
      </c>
      <c r="F62">
        <v>24056272.18</v>
      </c>
    </row>
    <row r="63" spans="1:6" x14ac:dyDescent="0.3">
      <c r="A63">
        <v>23336</v>
      </c>
      <c r="B63" t="s">
        <v>100</v>
      </c>
      <c r="C63">
        <f t="shared" si="2"/>
        <v>33513.839999999997</v>
      </c>
      <c r="F63">
        <v>33513.839999999997</v>
      </c>
    </row>
    <row r="64" spans="1:6" x14ac:dyDescent="0.3">
      <c r="A64">
        <v>781</v>
      </c>
      <c r="B64" t="s">
        <v>62</v>
      </c>
      <c r="C64">
        <f t="shared" si="2"/>
        <v>35883.599999999999</v>
      </c>
      <c r="F64">
        <v>35883.599999999999</v>
      </c>
    </row>
    <row r="65" spans="1:6" x14ac:dyDescent="0.3">
      <c r="A65">
        <v>902</v>
      </c>
      <c r="B65" t="s">
        <v>45</v>
      </c>
      <c r="C65">
        <f t="shared" si="2"/>
        <v>2698</v>
      </c>
      <c r="F65">
        <v>2698</v>
      </c>
    </row>
    <row r="66" spans="1:6" x14ac:dyDescent="0.3">
      <c r="A66">
        <v>909</v>
      </c>
      <c r="B66" t="s">
        <v>16</v>
      </c>
      <c r="C66">
        <f t="shared" si="2"/>
        <v>566442.80000000005</v>
      </c>
      <c r="F66">
        <v>566442.80000000005</v>
      </c>
    </row>
    <row r="67" spans="1:6" x14ac:dyDescent="0.3">
      <c r="A67">
        <v>918</v>
      </c>
      <c r="B67" t="s">
        <v>13</v>
      </c>
      <c r="C67">
        <f t="shared" si="2"/>
        <v>152068</v>
      </c>
      <c r="F67">
        <v>152068</v>
      </c>
    </row>
    <row r="68" spans="1:6" x14ac:dyDescent="0.3">
      <c r="A68">
        <v>1086</v>
      </c>
      <c r="B68" t="s">
        <v>20</v>
      </c>
      <c r="C68">
        <f t="shared" si="2"/>
        <v>2520</v>
      </c>
      <c r="F68">
        <v>2520</v>
      </c>
    </row>
    <row r="69" spans="1:6" x14ac:dyDescent="0.3">
      <c r="A69">
        <v>907</v>
      </c>
      <c r="B69" t="s">
        <v>14</v>
      </c>
      <c r="C69">
        <f t="shared" si="2"/>
        <v>232990.98</v>
      </c>
      <c r="F69">
        <v>232990.98</v>
      </c>
    </row>
    <row r="70" spans="1:6" x14ac:dyDescent="0.3">
      <c r="A70">
        <v>27281</v>
      </c>
      <c r="B70" t="s">
        <v>180</v>
      </c>
      <c r="C70">
        <f t="shared" si="2"/>
        <v>172333.24</v>
      </c>
      <c r="F70">
        <v>172333.24</v>
      </c>
    </row>
    <row r="71" spans="1:6" x14ac:dyDescent="0.3">
      <c r="A71">
        <v>910</v>
      </c>
      <c r="B71" t="s">
        <v>18</v>
      </c>
      <c r="C71">
        <f t="shared" si="2"/>
        <v>222423.22</v>
      </c>
      <c r="F71">
        <v>222423.22</v>
      </c>
    </row>
    <row r="72" spans="1:6" x14ac:dyDescent="0.3">
      <c r="A72">
        <v>908</v>
      </c>
      <c r="B72" t="s">
        <v>15</v>
      </c>
      <c r="C72">
        <f t="shared" si="2"/>
        <v>590892</v>
      </c>
      <c r="F72">
        <v>590892</v>
      </c>
    </row>
    <row r="73" spans="1:6" x14ac:dyDescent="0.3">
      <c r="A73">
        <v>41940</v>
      </c>
      <c r="B73" t="s">
        <v>365</v>
      </c>
      <c r="C73">
        <f t="shared" si="2"/>
        <v>2317078</v>
      </c>
      <c r="F73">
        <v>2317078</v>
      </c>
    </row>
    <row r="74" spans="1:6" x14ac:dyDescent="0.3">
      <c r="A74">
        <v>21757</v>
      </c>
      <c r="B74" t="s">
        <v>375</v>
      </c>
      <c r="C74">
        <f t="shared" si="2"/>
        <v>4820</v>
      </c>
      <c r="F74">
        <v>4820</v>
      </c>
    </row>
    <row r="75" spans="1:6" x14ac:dyDescent="0.3">
      <c r="A75">
        <v>36614</v>
      </c>
      <c r="B75" t="s">
        <v>11</v>
      </c>
      <c r="C75">
        <f t="shared" si="2"/>
        <v>4065545.76</v>
      </c>
      <c r="F75">
        <v>4065545.76</v>
      </c>
    </row>
    <row r="76" spans="1:6" x14ac:dyDescent="0.3">
      <c r="A76">
        <v>36613</v>
      </c>
      <c r="B76" t="s">
        <v>392</v>
      </c>
      <c r="C76">
        <f t="shared" si="2"/>
        <v>30427.22</v>
      </c>
      <c r="F76">
        <v>30427.22</v>
      </c>
    </row>
    <row r="77" spans="1:6" x14ac:dyDescent="0.3">
      <c r="A77">
        <v>20336</v>
      </c>
      <c r="B77" t="s">
        <v>12</v>
      </c>
      <c r="C77">
        <f t="shared" si="2"/>
        <v>4601238.1500000004</v>
      </c>
      <c r="F77">
        <v>4601238.1500000004</v>
      </c>
    </row>
    <row r="78" spans="1:6" x14ac:dyDescent="0.3">
      <c r="A78">
        <v>817</v>
      </c>
      <c r="B78" t="s">
        <v>21</v>
      </c>
      <c r="C78">
        <f t="shared" si="2"/>
        <v>3275</v>
      </c>
      <c r="F78">
        <v>3275</v>
      </c>
    </row>
    <row r="79" spans="1:6" x14ac:dyDescent="0.3">
      <c r="A79">
        <v>931</v>
      </c>
      <c r="B79" t="s">
        <v>196</v>
      </c>
      <c r="C79">
        <f t="shared" si="2"/>
        <v>2290</v>
      </c>
      <c r="F79">
        <v>2290</v>
      </c>
    </row>
    <row r="80" spans="1:6" x14ac:dyDescent="0.3">
      <c r="A80">
        <v>1650</v>
      </c>
      <c r="B80" t="s">
        <v>22</v>
      </c>
      <c r="C80">
        <f t="shared" si="2"/>
        <v>5751804.4299999997</v>
      </c>
      <c r="F80">
        <v>5751804.4299999997</v>
      </c>
    </row>
    <row r="81" spans="1:6" x14ac:dyDescent="0.3">
      <c r="A81">
        <v>921</v>
      </c>
      <c r="B81" t="s">
        <v>23</v>
      </c>
      <c r="C81">
        <f t="shared" si="2"/>
        <v>70000</v>
      </c>
      <c r="F81">
        <v>70000</v>
      </c>
    </row>
    <row r="82" spans="1:6" x14ac:dyDescent="0.3">
      <c r="A82">
        <v>1076</v>
      </c>
      <c r="B82" t="s">
        <v>376</v>
      </c>
      <c r="C82">
        <f t="shared" si="2"/>
        <v>88549</v>
      </c>
      <c r="F82">
        <v>88549</v>
      </c>
    </row>
    <row r="83" spans="1:6" x14ac:dyDescent="0.3">
      <c r="A83">
        <v>933</v>
      </c>
      <c r="B83" t="s">
        <v>231</v>
      </c>
      <c r="C83">
        <f t="shared" si="2"/>
        <v>6799</v>
      </c>
      <c r="F83">
        <v>6799</v>
      </c>
    </row>
    <row r="84" spans="1:6" x14ac:dyDescent="0.3">
      <c r="A84">
        <v>962</v>
      </c>
      <c r="B84" t="s">
        <v>61</v>
      </c>
      <c r="C84">
        <f t="shared" si="2"/>
        <v>4716152.76</v>
      </c>
      <c r="F84">
        <v>4716152.76</v>
      </c>
    </row>
    <row r="85" spans="1:6" x14ac:dyDescent="0.3">
      <c r="A85">
        <v>961</v>
      </c>
      <c r="B85" t="s">
        <v>91</v>
      </c>
      <c r="C85">
        <f t="shared" si="2"/>
        <v>4184305.09</v>
      </c>
      <c r="F85">
        <v>4184305.09</v>
      </c>
    </row>
    <row r="86" spans="1:6" x14ac:dyDescent="0.3">
      <c r="A86">
        <v>964</v>
      </c>
      <c r="B86" t="s">
        <v>63</v>
      </c>
      <c r="C86">
        <f t="shared" si="2"/>
        <v>21500</v>
      </c>
      <c r="F86">
        <v>21500</v>
      </c>
    </row>
    <row r="87" spans="1:6" x14ac:dyDescent="0.3">
      <c r="A87">
        <v>894</v>
      </c>
      <c r="B87" t="s">
        <v>70</v>
      </c>
      <c r="C87">
        <f t="shared" si="2"/>
        <v>78756</v>
      </c>
      <c r="F87">
        <v>78756</v>
      </c>
    </row>
    <row r="88" spans="1:6" x14ac:dyDescent="0.3">
      <c r="A88">
        <v>969</v>
      </c>
      <c r="B88" t="s">
        <v>64</v>
      </c>
      <c r="C88">
        <f t="shared" si="2"/>
        <v>3041.3</v>
      </c>
      <c r="F88">
        <v>3041.3</v>
      </c>
    </row>
    <row r="89" spans="1:6" x14ac:dyDescent="0.3">
      <c r="A89">
        <v>963</v>
      </c>
      <c r="B89" t="s">
        <v>92</v>
      </c>
      <c r="C89">
        <f t="shared" si="2"/>
        <v>80713.460000000006</v>
      </c>
      <c r="F89">
        <v>80713.460000000006</v>
      </c>
    </row>
    <row r="90" spans="1:6" x14ac:dyDescent="0.3">
      <c r="A90">
        <v>29063</v>
      </c>
      <c r="B90" t="s">
        <v>206</v>
      </c>
      <c r="C90">
        <f t="shared" si="2"/>
        <v>223845.87</v>
      </c>
      <c r="F90">
        <v>223845.87</v>
      </c>
    </row>
    <row r="91" spans="1:6" x14ac:dyDescent="0.3">
      <c r="A91">
        <v>16578</v>
      </c>
      <c r="B91" t="s">
        <v>104</v>
      </c>
      <c r="C91">
        <f t="shared" si="2"/>
        <v>134791.57999999999</v>
      </c>
      <c r="F91">
        <v>134791.57999999999</v>
      </c>
    </row>
    <row r="92" spans="1:6" x14ac:dyDescent="0.3">
      <c r="A92">
        <v>915</v>
      </c>
      <c r="B92" t="s">
        <v>65</v>
      </c>
      <c r="C92">
        <f t="shared" si="2"/>
        <v>2500</v>
      </c>
      <c r="F92">
        <v>2500</v>
      </c>
    </row>
    <row r="93" spans="1:6" x14ac:dyDescent="0.3">
      <c r="A93">
        <v>496</v>
      </c>
      <c r="B93" t="s">
        <v>204</v>
      </c>
      <c r="C93">
        <f t="shared" si="2"/>
        <v>123697.75</v>
      </c>
      <c r="F93">
        <v>123697.75</v>
      </c>
    </row>
    <row r="94" spans="1:6" x14ac:dyDescent="0.3">
      <c r="A94">
        <v>821</v>
      </c>
      <c r="B94" t="s">
        <v>113</v>
      </c>
      <c r="C94">
        <f t="shared" si="2"/>
        <v>2191054</v>
      </c>
      <c r="F94">
        <v>2191054</v>
      </c>
    </row>
    <row r="95" spans="1:6" x14ac:dyDescent="0.3">
      <c r="A95">
        <v>904</v>
      </c>
      <c r="B95" t="s">
        <v>67</v>
      </c>
      <c r="C95">
        <f t="shared" si="2"/>
        <v>374110</v>
      </c>
      <c r="F95">
        <v>374110</v>
      </c>
    </row>
    <row r="96" spans="1:6" x14ac:dyDescent="0.3">
      <c r="A96">
        <v>932</v>
      </c>
      <c r="B96" t="s">
        <v>54</v>
      </c>
      <c r="C96">
        <f t="shared" si="2"/>
        <v>682168.44</v>
      </c>
      <c r="F96">
        <v>682168.44</v>
      </c>
    </row>
    <row r="97" spans="1:6" x14ac:dyDescent="0.3">
      <c r="A97">
        <v>20113</v>
      </c>
      <c r="B97" t="s">
        <v>223</v>
      </c>
      <c r="C97">
        <f t="shared" si="2"/>
        <v>326252</v>
      </c>
      <c r="F97">
        <v>326252</v>
      </c>
    </row>
    <row r="98" spans="1:6" x14ac:dyDescent="0.3">
      <c r="A98">
        <v>1101</v>
      </c>
      <c r="B98" t="s">
        <v>229</v>
      </c>
      <c r="C98">
        <f t="shared" si="2"/>
        <v>12100</v>
      </c>
      <c r="F98">
        <v>12100</v>
      </c>
    </row>
    <row r="99" spans="1:6" x14ac:dyDescent="0.3">
      <c r="A99">
        <v>854</v>
      </c>
      <c r="B99" t="s">
        <v>205</v>
      </c>
      <c r="C99">
        <f t="shared" si="2"/>
        <v>1850082</v>
      </c>
      <c r="F99">
        <v>1850082</v>
      </c>
    </row>
    <row r="100" spans="1:6" x14ac:dyDescent="0.3">
      <c r="A100">
        <v>984</v>
      </c>
      <c r="B100" t="s">
        <v>234</v>
      </c>
      <c r="C100">
        <f t="shared" si="2"/>
        <v>644020</v>
      </c>
      <c r="F100">
        <v>644020</v>
      </c>
    </row>
    <row r="101" spans="1:6" x14ac:dyDescent="0.3">
      <c r="A101">
        <v>983</v>
      </c>
      <c r="B101" t="s">
        <v>95</v>
      </c>
      <c r="C101">
        <f t="shared" si="2"/>
        <v>3809209.76</v>
      </c>
      <c r="F101">
        <v>3809209.76</v>
      </c>
    </row>
    <row r="102" spans="1:6" x14ac:dyDescent="0.3">
      <c r="A102">
        <v>35339</v>
      </c>
      <c r="B102" t="s">
        <v>224</v>
      </c>
      <c r="C102">
        <f t="shared" si="2"/>
        <v>4520</v>
      </c>
      <c r="F102">
        <v>4520</v>
      </c>
    </row>
    <row r="103" spans="1:6" x14ac:dyDescent="0.3">
      <c r="A103">
        <v>1074</v>
      </c>
      <c r="B103" t="s">
        <v>202</v>
      </c>
      <c r="C103">
        <f t="shared" si="2"/>
        <v>1347273.5</v>
      </c>
      <c r="F103">
        <v>1347273.5</v>
      </c>
    </row>
    <row r="104" spans="1:6" x14ac:dyDescent="0.3">
      <c r="A104">
        <v>951</v>
      </c>
      <c r="B104" t="s">
        <v>311</v>
      </c>
      <c r="C104">
        <f t="shared" si="2"/>
        <v>220000</v>
      </c>
      <c r="F104">
        <v>220000</v>
      </c>
    </row>
    <row r="105" spans="1:6" x14ac:dyDescent="0.3">
      <c r="A105">
        <v>929</v>
      </c>
      <c r="B105" t="s">
        <v>101</v>
      </c>
      <c r="C105">
        <f t="shared" si="2"/>
        <v>15457.34</v>
      </c>
      <c r="F105">
        <v>15457.34</v>
      </c>
    </row>
    <row r="106" spans="1:6" x14ac:dyDescent="0.3">
      <c r="A106">
        <v>926</v>
      </c>
      <c r="B106" t="s">
        <v>207</v>
      </c>
      <c r="C106">
        <f t="shared" si="2"/>
        <v>3318301.43</v>
      </c>
      <c r="F106">
        <v>3318301.43</v>
      </c>
    </row>
    <row r="107" spans="1:6" x14ac:dyDescent="0.3">
      <c r="A107">
        <v>934</v>
      </c>
      <c r="B107" t="s">
        <v>103</v>
      </c>
      <c r="C107">
        <f t="shared" si="2"/>
        <v>-67246.28</v>
      </c>
      <c r="F107">
        <v>-67246.28</v>
      </c>
    </row>
    <row r="108" spans="1:6" x14ac:dyDescent="0.3">
      <c r="A108">
        <v>811</v>
      </c>
      <c r="B108" t="s">
        <v>56</v>
      </c>
      <c r="C108">
        <f t="shared" si="2"/>
        <v>17490</v>
      </c>
      <c r="F108">
        <v>17490</v>
      </c>
    </row>
    <row r="109" spans="1:6" x14ac:dyDescent="0.3">
      <c r="A109">
        <v>685</v>
      </c>
      <c r="B109" t="s">
        <v>97</v>
      </c>
      <c r="C109">
        <f t="shared" si="2"/>
        <v>130606.04</v>
      </c>
      <c r="F109">
        <v>130606.04</v>
      </c>
    </row>
    <row r="110" spans="1:6" x14ac:dyDescent="0.3">
      <c r="A110">
        <v>920</v>
      </c>
      <c r="B110" t="s">
        <v>153</v>
      </c>
      <c r="C110">
        <f t="shared" si="2"/>
        <v>499724.5</v>
      </c>
      <c r="F110">
        <v>499724.5</v>
      </c>
    </row>
    <row r="111" spans="1:6" x14ac:dyDescent="0.3">
      <c r="A111">
        <v>936</v>
      </c>
      <c r="B111" t="s">
        <v>225</v>
      </c>
      <c r="C111">
        <f t="shared" si="2"/>
        <v>57162.1</v>
      </c>
      <c r="F111">
        <v>57162.1</v>
      </c>
    </row>
    <row r="112" spans="1:6" x14ac:dyDescent="0.3">
      <c r="A112">
        <v>812</v>
      </c>
      <c r="B112" t="s">
        <v>90</v>
      </c>
      <c r="C112">
        <f t="shared" si="2"/>
        <v>997544.78</v>
      </c>
      <c r="F112">
        <v>997544.78</v>
      </c>
    </row>
    <row r="113" spans="1:6" x14ac:dyDescent="0.3">
      <c r="A113">
        <v>1110</v>
      </c>
      <c r="B113" t="s">
        <v>102</v>
      </c>
      <c r="C113">
        <f t="shared" si="2"/>
        <v>121336</v>
      </c>
      <c r="F113">
        <v>121336</v>
      </c>
    </row>
    <row r="114" spans="1:6" x14ac:dyDescent="0.3">
      <c r="A114">
        <v>930</v>
      </c>
      <c r="B114" t="s">
        <v>96</v>
      </c>
      <c r="C114">
        <f t="shared" si="2"/>
        <v>22660</v>
      </c>
      <c r="F114">
        <v>22660</v>
      </c>
    </row>
    <row r="115" spans="1:6" x14ac:dyDescent="0.3">
      <c r="A115">
        <v>1021</v>
      </c>
      <c r="B115" t="s">
        <v>57</v>
      </c>
      <c r="C115">
        <f t="shared" si="2"/>
        <v>10.67</v>
      </c>
      <c r="F115">
        <v>10.67</v>
      </c>
    </row>
    <row r="116" spans="1:6" x14ac:dyDescent="0.3">
      <c r="A116">
        <v>10000</v>
      </c>
      <c r="B116" t="s">
        <v>68</v>
      </c>
      <c r="C116">
        <f t="shared" si="2"/>
        <v>65000</v>
      </c>
      <c r="F116">
        <v>65000</v>
      </c>
    </row>
    <row r="117" spans="1:6" x14ac:dyDescent="0.3">
      <c r="A117">
        <v>935</v>
      </c>
      <c r="B117" t="s">
        <v>228</v>
      </c>
      <c r="C117">
        <f t="shared" si="2"/>
        <v>33606</v>
      </c>
      <c r="F117">
        <v>33606</v>
      </c>
    </row>
    <row r="118" spans="1:6" x14ac:dyDescent="0.3">
      <c r="A118">
        <v>882</v>
      </c>
      <c r="B118" t="s">
        <v>216</v>
      </c>
      <c r="C118">
        <f t="shared" si="2"/>
        <v>475626</v>
      </c>
      <c r="F118">
        <v>475626</v>
      </c>
    </row>
    <row r="119" spans="1:6" x14ac:dyDescent="0.3">
      <c r="A119">
        <v>862</v>
      </c>
      <c r="B119" t="s">
        <v>79</v>
      </c>
      <c r="C119">
        <f t="shared" si="2"/>
        <v>58599</v>
      </c>
      <c r="F119">
        <v>58599</v>
      </c>
    </row>
    <row r="120" spans="1:6" x14ac:dyDescent="0.3">
      <c r="A120">
        <v>948</v>
      </c>
      <c r="B120" t="s">
        <v>72</v>
      </c>
      <c r="C120">
        <f t="shared" si="2"/>
        <v>8326027</v>
      </c>
      <c r="F120">
        <v>8326027</v>
      </c>
    </row>
    <row r="121" spans="1:6" x14ac:dyDescent="0.3">
      <c r="A121">
        <v>855</v>
      </c>
      <c r="B121" t="s">
        <v>73</v>
      </c>
      <c r="C121">
        <f t="shared" si="2"/>
        <v>3528747</v>
      </c>
      <c r="F121">
        <v>3528747</v>
      </c>
    </row>
    <row r="122" spans="1:6" x14ac:dyDescent="0.3">
      <c r="A122">
        <v>874</v>
      </c>
      <c r="B122" t="s">
        <v>393</v>
      </c>
      <c r="C122">
        <f t="shared" ref="C122:C153" si="3">+F122</f>
        <v>15604</v>
      </c>
      <c r="F122">
        <v>15604</v>
      </c>
    </row>
    <row r="123" spans="1:6" x14ac:dyDescent="0.3">
      <c r="A123">
        <v>853</v>
      </c>
      <c r="B123" t="s">
        <v>74</v>
      </c>
      <c r="C123">
        <f t="shared" si="3"/>
        <v>11084831</v>
      </c>
      <c r="F123">
        <v>11084831</v>
      </c>
    </row>
    <row r="124" spans="1:6" x14ac:dyDescent="0.3">
      <c r="A124">
        <v>848</v>
      </c>
      <c r="B124" t="s">
        <v>235</v>
      </c>
      <c r="C124">
        <f t="shared" si="3"/>
        <v>57725</v>
      </c>
      <c r="F124">
        <v>57725</v>
      </c>
    </row>
    <row r="125" spans="1:6" x14ac:dyDescent="0.3">
      <c r="A125">
        <v>856</v>
      </c>
      <c r="B125" t="s">
        <v>80</v>
      </c>
      <c r="C125">
        <f t="shared" si="3"/>
        <v>281732</v>
      </c>
      <c r="F125">
        <v>281732</v>
      </c>
    </row>
    <row r="126" spans="1:6" x14ac:dyDescent="0.3">
      <c r="A126">
        <v>857</v>
      </c>
      <c r="B126" t="s">
        <v>76</v>
      </c>
      <c r="C126">
        <f t="shared" si="3"/>
        <v>24290</v>
      </c>
      <c r="F126">
        <v>24290</v>
      </c>
    </row>
    <row r="127" spans="1:6" x14ac:dyDescent="0.3">
      <c r="A127">
        <v>975</v>
      </c>
      <c r="B127" t="s">
        <v>77</v>
      </c>
      <c r="C127">
        <f t="shared" si="3"/>
        <v>32112</v>
      </c>
      <c r="F127">
        <v>32112</v>
      </c>
    </row>
    <row r="128" spans="1:6" x14ac:dyDescent="0.3">
      <c r="A128">
        <v>10208</v>
      </c>
      <c r="B128" t="s">
        <v>78</v>
      </c>
      <c r="C128">
        <f t="shared" si="3"/>
        <v>1070523</v>
      </c>
      <c r="F128">
        <v>1070523</v>
      </c>
    </row>
    <row r="129" spans="1:6" x14ac:dyDescent="0.3">
      <c r="A129">
        <v>863</v>
      </c>
      <c r="B129" t="s">
        <v>218</v>
      </c>
      <c r="C129">
        <f t="shared" si="3"/>
        <v>-1371</v>
      </c>
      <c r="F129">
        <v>-1371</v>
      </c>
    </row>
    <row r="130" spans="1:6" x14ac:dyDescent="0.3">
      <c r="A130">
        <v>31408</v>
      </c>
      <c r="B130" t="s">
        <v>227</v>
      </c>
      <c r="C130">
        <f t="shared" si="3"/>
        <v>-2590</v>
      </c>
      <c r="F130">
        <v>-2590</v>
      </c>
    </row>
    <row r="131" spans="1:6" x14ac:dyDescent="0.3">
      <c r="A131">
        <v>718</v>
      </c>
      <c r="B131" t="s">
        <v>217</v>
      </c>
      <c r="C131">
        <f t="shared" si="3"/>
        <v>966465</v>
      </c>
      <c r="F131">
        <v>966465</v>
      </c>
    </row>
    <row r="132" spans="1:6" x14ac:dyDescent="0.3">
      <c r="A132">
        <v>851</v>
      </c>
      <c r="B132" t="s">
        <v>81</v>
      </c>
      <c r="C132">
        <f t="shared" si="3"/>
        <v>106492400</v>
      </c>
      <c r="F132">
        <v>106492400</v>
      </c>
    </row>
    <row r="133" spans="1:6" x14ac:dyDescent="0.3">
      <c r="A133">
        <v>852</v>
      </c>
      <c r="B133" t="s">
        <v>215</v>
      </c>
      <c r="C133">
        <f t="shared" si="3"/>
        <v>312704</v>
      </c>
      <c r="F133">
        <v>312704</v>
      </c>
    </row>
    <row r="134" spans="1:6" x14ac:dyDescent="0.3">
      <c r="A134">
        <v>881</v>
      </c>
      <c r="B134" t="s">
        <v>210</v>
      </c>
      <c r="C134">
        <f t="shared" si="3"/>
        <v>1696</v>
      </c>
      <c r="F134">
        <v>1696</v>
      </c>
    </row>
    <row r="135" spans="1:6" x14ac:dyDescent="0.3">
      <c r="A135">
        <v>689</v>
      </c>
      <c r="B135" t="s">
        <v>75</v>
      </c>
      <c r="C135">
        <f t="shared" si="3"/>
        <v>2204405</v>
      </c>
      <c r="F135">
        <v>2204405</v>
      </c>
    </row>
    <row r="136" spans="1:6" x14ac:dyDescent="0.3">
      <c r="A136">
        <v>1325</v>
      </c>
      <c r="B136" t="s">
        <v>98</v>
      </c>
      <c r="C136">
        <f t="shared" si="3"/>
        <v>33623577</v>
      </c>
      <c r="F136">
        <v>33623577</v>
      </c>
    </row>
    <row r="137" spans="1:6" x14ac:dyDescent="0.3">
      <c r="A137">
        <v>11722</v>
      </c>
      <c r="B137" t="s">
        <v>211</v>
      </c>
      <c r="C137">
        <f t="shared" si="3"/>
        <v>1289</v>
      </c>
      <c r="F137">
        <v>1289</v>
      </c>
    </row>
    <row r="138" spans="1:6" x14ac:dyDescent="0.3">
      <c r="A138">
        <v>39011</v>
      </c>
      <c r="B138" t="s">
        <v>83</v>
      </c>
      <c r="C138">
        <f t="shared" si="3"/>
        <v>2425153</v>
      </c>
      <c r="F138">
        <v>2425153</v>
      </c>
    </row>
    <row r="139" spans="1:6" x14ac:dyDescent="0.3">
      <c r="A139">
        <v>38580</v>
      </c>
      <c r="B139" t="s">
        <v>82</v>
      </c>
      <c r="C139">
        <f t="shared" si="3"/>
        <v>9110376</v>
      </c>
      <c r="F139">
        <v>9110376</v>
      </c>
    </row>
    <row r="140" spans="1:6" x14ac:dyDescent="0.3">
      <c r="A140">
        <v>39010</v>
      </c>
      <c r="B140" t="s">
        <v>85</v>
      </c>
      <c r="C140">
        <f t="shared" si="3"/>
        <v>-71854</v>
      </c>
      <c r="F140">
        <v>-71854</v>
      </c>
    </row>
    <row r="141" spans="1:6" x14ac:dyDescent="0.3">
      <c r="A141">
        <v>38579</v>
      </c>
      <c r="B141" t="s">
        <v>86</v>
      </c>
      <c r="C141">
        <f t="shared" si="3"/>
        <v>-1125804</v>
      </c>
      <c r="F141">
        <v>-1125804</v>
      </c>
    </row>
    <row r="142" spans="1:6" x14ac:dyDescent="0.3">
      <c r="A142">
        <v>872</v>
      </c>
      <c r="B142" t="s">
        <v>87</v>
      </c>
      <c r="C142">
        <f t="shared" si="3"/>
        <v>147625</v>
      </c>
      <c r="F142">
        <v>147625</v>
      </c>
    </row>
    <row r="143" spans="1:6" x14ac:dyDescent="0.3">
      <c r="A143">
        <v>868</v>
      </c>
      <c r="B143" t="s">
        <v>88</v>
      </c>
      <c r="C143">
        <f t="shared" si="3"/>
        <v>735910</v>
      </c>
      <c r="F143">
        <v>735910</v>
      </c>
    </row>
    <row r="144" spans="1:6" x14ac:dyDescent="0.3">
      <c r="A144">
        <v>675</v>
      </c>
      <c r="B144" t="s">
        <v>99</v>
      </c>
      <c r="C144">
        <f t="shared" si="3"/>
        <v>188000</v>
      </c>
      <c r="F144">
        <v>188000</v>
      </c>
    </row>
    <row r="145" spans="1:6" x14ac:dyDescent="0.3">
      <c r="A145">
        <v>1107</v>
      </c>
      <c r="B145" t="s">
        <v>105</v>
      </c>
      <c r="C145">
        <f t="shared" si="3"/>
        <v>254419</v>
      </c>
      <c r="F145">
        <v>254419</v>
      </c>
    </row>
    <row r="146" spans="1:6" x14ac:dyDescent="0.3">
      <c r="A146">
        <v>859</v>
      </c>
      <c r="B146" t="s">
        <v>220</v>
      </c>
      <c r="C146">
        <f t="shared" si="3"/>
        <v>121649</v>
      </c>
      <c r="F146">
        <v>121649</v>
      </c>
    </row>
    <row r="147" spans="1:6" x14ac:dyDescent="0.3">
      <c r="A147">
        <v>858</v>
      </c>
      <c r="B147" t="s">
        <v>89</v>
      </c>
      <c r="C147">
        <f t="shared" si="3"/>
        <v>1514333.36</v>
      </c>
      <c r="F147">
        <v>1514333.36</v>
      </c>
    </row>
    <row r="148" spans="1:6" x14ac:dyDescent="0.3">
      <c r="A148">
        <v>870</v>
      </c>
      <c r="B148" t="s">
        <v>221</v>
      </c>
      <c r="C148">
        <f t="shared" si="3"/>
        <v>296764.3</v>
      </c>
      <c r="F148">
        <v>296764.3</v>
      </c>
    </row>
    <row r="149" spans="1:6" x14ac:dyDescent="0.3">
      <c r="A149">
        <v>981</v>
      </c>
      <c r="B149" t="s">
        <v>109</v>
      </c>
      <c r="C149">
        <f t="shared" si="3"/>
        <v>724895.65</v>
      </c>
      <c r="F149">
        <v>724895.65</v>
      </c>
    </row>
    <row r="150" spans="1:6" x14ac:dyDescent="0.3">
      <c r="A150">
        <v>974</v>
      </c>
      <c r="B150" t="s">
        <v>94</v>
      </c>
      <c r="C150">
        <f t="shared" si="3"/>
        <v>699</v>
      </c>
      <c r="F150">
        <v>699</v>
      </c>
    </row>
    <row r="151" spans="1:6" x14ac:dyDescent="0.3">
      <c r="A151">
        <v>1214</v>
      </c>
      <c r="B151" t="s">
        <v>106</v>
      </c>
      <c r="C151">
        <f t="shared" si="3"/>
        <v>16000</v>
      </c>
      <c r="F151">
        <v>16000</v>
      </c>
    </row>
    <row r="152" spans="1:6" x14ac:dyDescent="0.3">
      <c r="A152">
        <v>25273</v>
      </c>
      <c r="B152" t="s">
        <v>112</v>
      </c>
      <c r="C152">
        <f t="shared" si="3"/>
        <v>2052887.22</v>
      </c>
      <c r="F152">
        <v>2052887.22</v>
      </c>
    </row>
    <row r="153" spans="1:6" x14ac:dyDescent="0.3">
      <c r="A153">
        <v>986</v>
      </c>
      <c r="B153" t="s">
        <v>114</v>
      </c>
      <c r="C153">
        <f t="shared" si="3"/>
        <v>1583</v>
      </c>
      <c r="F153">
        <v>1583</v>
      </c>
    </row>
    <row r="154" spans="1:6" x14ac:dyDescent="0.3">
      <c r="A154" t="s">
        <v>317</v>
      </c>
      <c r="B154" t="s">
        <v>290</v>
      </c>
      <c r="C154">
        <f>SUM(C29:C153)</f>
        <v>1209620641.3699996</v>
      </c>
      <c r="D154">
        <v>1209620641</v>
      </c>
      <c r="E154">
        <f>+C154-D154</f>
        <v>0.36999964714050293</v>
      </c>
      <c r="F154">
        <f>SUM(F29:F153)</f>
        <v>1209620641.3699996</v>
      </c>
    </row>
    <row r="155" spans="1:6" x14ac:dyDescent="0.3">
      <c r="C155">
        <f>+C28-C154</f>
        <v>-250779342.34999967</v>
      </c>
    </row>
    <row r="157" spans="1:6" x14ac:dyDescent="0.3">
      <c r="A157" t="s">
        <v>325</v>
      </c>
      <c r="B157" t="s">
        <v>326</v>
      </c>
      <c r="D157">
        <v>37</v>
      </c>
    </row>
    <row r="158" spans="1:6" x14ac:dyDescent="0.3">
      <c r="A158" t="s">
        <v>317</v>
      </c>
      <c r="B158" t="s">
        <v>290</v>
      </c>
      <c r="C158" t="s">
        <v>241</v>
      </c>
      <c r="D158" t="s">
        <v>256</v>
      </c>
      <c r="E158" t="s">
        <v>255</v>
      </c>
    </row>
    <row r="160" spans="1:6" x14ac:dyDescent="0.3">
      <c r="A160" t="s">
        <v>327</v>
      </c>
      <c r="B160" t="s">
        <v>461</v>
      </c>
      <c r="C160">
        <v>42.35</v>
      </c>
    </row>
    <row r="162" spans="1:5" x14ac:dyDescent="0.3">
      <c r="A162" t="s">
        <v>329</v>
      </c>
      <c r="B162" t="s">
        <v>294</v>
      </c>
      <c r="C162" t="s">
        <v>242</v>
      </c>
      <c r="D162" t="s">
        <v>420</v>
      </c>
      <c r="E162" t="s">
        <v>330</v>
      </c>
    </row>
    <row r="163" spans="1:5" x14ac:dyDescent="0.3">
      <c r="A163" t="s">
        <v>156</v>
      </c>
      <c r="B163" t="s">
        <v>462</v>
      </c>
      <c r="D163" t="s">
        <v>379</v>
      </c>
      <c r="E163" t="s">
        <v>380</v>
      </c>
    </row>
    <row r="164" spans="1:5" x14ac:dyDescent="0.3">
      <c r="A164" t="s">
        <v>157</v>
      </c>
    </row>
  </sheetData>
  <autoFilter ref="A7:C158" xr:uid="{488D2CF9-673F-4BEF-8C5C-FAAE867E22D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F473-7F08-4B7B-8474-7DB0A3A74E88}">
  <dimension ref="A1:E75"/>
  <sheetViews>
    <sheetView workbookViewId="0">
      <selection activeCell="U122" sqref="U122"/>
    </sheetView>
  </sheetViews>
  <sheetFormatPr defaultRowHeight="14.4" x14ac:dyDescent="0.3"/>
  <cols>
    <col min="2" max="2" width="41.88671875" customWidth="1"/>
    <col min="3" max="3" width="11.6640625" bestFit="1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160</v>
      </c>
      <c r="C3" t="s">
        <v>467</v>
      </c>
      <c r="D3" t="s">
        <v>143</v>
      </c>
    </row>
    <row r="4" spans="1:5" x14ac:dyDescent="0.3">
      <c r="A4" t="s">
        <v>317</v>
      </c>
      <c r="B4" t="s">
        <v>163</v>
      </c>
      <c r="C4" t="s">
        <v>255</v>
      </c>
      <c r="D4" t="s">
        <v>144</v>
      </c>
      <c r="E4" t="s">
        <v>144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317</v>
      </c>
      <c r="B7" t="s">
        <v>163</v>
      </c>
      <c r="C7" t="s">
        <v>255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v>27034065.010000002</v>
      </c>
    </row>
    <row r="10" spans="1:5" x14ac:dyDescent="0.3">
      <c r="A10">
        <v>701</v>
      </c>
      <c r="B10" t="s">
        <v>178</v>
      </c>
      <c r="C10">
        <v>0.01</v>
      </c>
    </row>
    <row r="11" spans="1:5" x14ac:dyDescent="0.3">
      <c r="A11">
        <v>706</v>
      </c>
      <c r="B11" t="s">
        <v>384</v>
      </c>
      <c r="C11">
        <v>0.01</v>
      </c>
    </row>
    <row r="12" spans="1:5" x14ac:dyDescent="0.3">
      <c r="A12">
        <v>1016</v>
      </c>
      <c r="B12" t="s">
        <v>124</v>
      </c>
      <c r="C12">
        <v>320</v>
      </c>
    </row>
    <row r="13" spans="1:5" x14ac:dyDescent="0.3">
      <c r="A13" t="s">
        <v>323</v>
      </c>
      <c r="B13" t="s">
        <v>324</v>
      </c>
      <c r="C13">
        <f>SUM(C9:C12)</f>
        <v>27034385.030000005</v>
      </c>
      <c r="D13">
        <v>27034385.030000001</v>
      </c>
    </row>
    <row r="14" spans="1:5" x14ac:dyDescent="0.3">
      <c r="A14">
        <v>36604</v>
      </c>
      <c r="B14" t="s">
        <v>188</v>
      </c>
      <c r="C14">
        <v>45070</v>
      </c>
    </row>
    <row r="15" spans="1:5" x14ac:dyDescent="0.3">
      <c r="A15">
        <v>20335</v>
      </c>
      <c r="B15" t="s">
        <v>39</v>
      </c>
      <c r="C15">
        <v>2370</v>
      </c>
    </row>
    <row r="16" spans="1:5" x14ac:dyDescent="0.3">
      <c r="A16">
        <v>36583</v>
      </c>
      <c r="B16" t="s">
        <v>200</v>
      </c>
      <c r="C16">
        <v>556145.76</v>
      </c>
    </row>
    <row r="17" spans="1:3" x14ac:dyDescent="0.3">
      <c r="A17">
        <v>815</v>
      </c>
      <c r="B17" t="s">
        <v>40</v>
      </c>
      <c r="C17">
        <v>51152</v>
      </c>
    </row>
    <row r="18" spans="1:3" x14ac:dyDescent="0.3">
      <c r="A18">
        <v>25339</v>
      </c>
      <c r="B18" t="s">
        <v>192</v>
      </c>
      <c r="C18">
        <v>1103395.05</v>
      </c>
    </row>
    <row r="19" spans="1:3" x14ac:dyDescent="0.3">
      <c r="A19">
        <v>810</v>
      </c>
      <c r="B19" t="s">
        <v>48</v>
      </c>
      <c r="C19">
        <v>13450</v>
      </c>
    </row>
    <row r="20" spans="1:3" x14ac:dyDescent="0.3">
      <c r="A20">
        <v>937</v>
      </c>
      <c r="B20" t="s">
        <v>58</v>
      </c>
      <c r="C20">
        <v>27820</v>
      </c>
    </row>
    <row r="21" spans="1:3" x14ac:dyDescent="0.3">
      <c r="A21">
        <v>809</v>
      </c>
      <c r="B21" t="s">
        <v>46</v>
      </c>
      <c r="C21">
        <v>1672586</v>
      </c>
    </row>
    <row r="22" spans="1:3" x14ac:dyDescent="0.3">
      <c r="A22">
        <v>801</v>
      </c>
      <c r="B22" t="s">
        <v>199</v>
      </c>
      <c r="C22">
        <v>142097.9</v>
      </c>
    </row>
    <row r="23" spans="1:3" x14ac:dyDescent="0.3">
      <c r="A23">
        <v>36614</v>
      </c>
      <c r="B23" t="s">
        <v>11</v>
      </c>
      <c r="C23">
        <v>6000</v>
      </c>
    </row>
    <row r="24" spans="1:3" x14ac:dyDescent="0.3">
      <c r="A24">
        <v>20336</v>
      </c>
      <c r="B24" t="s">
        <v>12</v>
      </c>
      <c r="C24">
        <v>12500</v>
      </c>
    </row>
    <row r="25" spans="1:3" x14ac:dyDescent="0.3">
      <c r="A25">
        <v>962</v>
      </c>
      <c r="B25" t="s">
        <v>61</v>
      </c>
      <c r="C25">
        <v>84000</v>
      </c>
    </row>
    <row r="26" spans="1:3" x14ac:dyDescent="0.3">
      <c r="A26">
        <v>961</v>
      </c>
      <c r="B26" t="s">
        <v>91</v>
      </c>
      <c r="C26">
        <v>52000</v>
      </c>
    </row>
    <row r="27" spans="1:3" x14ac:dyDescent="0.3">
      <c r="A27">
        <v>894</v>
      </c>
      <c r="B27" t="s">
        <v>70</v>
      </c>
      <c r="C27">
        <v>104517</v>
      </c>
    </row>
    <row r="28" spans="1:3" x14ac:dyDescent="0.3">
      <c r="A28">
        <v>963</v>
      </c>
      <c r="B28" t="s">
        <v>92</v>
      </c>
      <c r="C28">
        <v>122670</v>
      </c>
    </row>
    <row r="29" spans="1:3" x14ac:dyDescent="0.3">
      <c r="A29">
        <v>29063</v>
      </c>
      <c r="B29" t="s">
        <v>206</v>
      </c>
      <c r="C29">
        <v>445</v>
      </c>
    </row>
    <row r="30" spans="1:3" x14ac:dyDescent="0.3">
      <c r="A30">
        <v>821</v>
      </c>
      <c r="B30" t="s">
        <v>113</v>
      </c>
      <c r="C30">
        <v>2656534</v>
      </c>
    </row>
    <row r="31" spans="1:3" x14ac:dyDescent="0.3">
      <c r="A31">
        <v>904</v>
      </c>
      <c r="B31" t="s">
        <v>67</v>
      </c>
      <c r="C31">
        <v>12117</v>
      </c>
    </row>
    <row r="32" spans="1:3" x14ac:dyDescent="0.3">
      <c r="A32">
        <v>932</v>
      </c>
      <c r="B32" t="s">
        <v>54</v>
      </c>
      <c r="C32">
        <v>133744.01999999999</v>
      </c>
    </row>
    <row r="33" spans="1:3" x14ac:dyDescent="0.3">
      <c r="A33">
        <v>20113</v>
      </c>
      <c r="B33" t="s">
        <v>223</v>
      </c>
      <c r="C33">
        <v>6000</v>
      </c>
    </row>
    <row r="34" spans="1:3" x14ac:dyDescent="0.3">
      <c r="A34">
        <v>1101</v>
      </c>
      <c r="B34" t="s">
        <v>229</v>
      </c>
      <c r="C34">
        <v>30000</v>
      </c>
    </row>
    <row r="35" spans="1:3" x14ac:dyDescent="0.3">
      <c r="A35">
        <v>854</v>
      </c>
      <c r="B35" t="s">
        <v>205</v>
      </c>
      <c r="C35">
        <v>33667</v>
      </c>
    </row>
    <row r="36" spans="1:3" x14ac:dyDescent="0.3">
      <c r="A36">
        <v>983</v>
      </c>
      <c r="B36" t="s">
        <v>95</v>
      </c>
      <c r="C36">
        <v>93457</v>
      </c>
    </row>
    <row r="37" spans="1:3" x14ac:dyDescent="0.3">
      <c r="A37">
        <v>1074</v>
      </c>
      <c r="B37" t="s">
        <v>202</v>
      </c>
      <c r="C37">
        <v>46150</v>
      </c>
    </row>
    <row r="38" spans="1:3" x14ac:dyDescent="0.3">
      <c r="A38">
        <v>929</v>
      </c>
      <c r="B38" t="s">
        <v>101</v>
      </c>
      <c r="C38">
        <v>44687.5</v>
      </c>
    </row>
    <row r="39" spans="1:3" x14ac:dyDescent="0.3">
      <c r="A39">
        <v>926</v>
      </c>
      <c r="B39" t="s">
        <v>207</v>
      </c>
      <c r="C39">
        <v>89165</v>
      </c>
    </row>
    <row r="40" spans="1:3" x14ac:dyDescent="0.3">
      <c r="A40">
        <v>934</v>
      </c>
      <c r="B40" t="s">
        <v>103</v>
      </c>
      <c r="C40">
        <v>3156</v>
      </c>
    </row>
    <row r="41" spans="1:3" x14ac:dyDescent="0.3">
      <c r="A41">
        <v>685</v>
      </c>
      <c r="B41" t="s">
        <v>97</v>
      </c>
      <c r="C41">
        <v>38744</v>
      </c>
    </row>
    <row r="42" spans="1:3" x14ac:dyDescent="0.3">
      <c r="A42">
        <v>920</v>
      </c>
      <c r="B42" t="s">
        <v>153</v>
      </c>
      <c r="C42">
        <v>34324.44</v>
      </c>
    </row>
    <row r="43" spans="1:3" x14ac:dyDescent="0.3">
      <c r="A43">
        <v>936</v>
      </c>
      <c r="B43" t="s">
        <v>225</v>
      </c>
      <c r="C43">
        <v>16928.78</v>
      </c>
    </row>
    <row r="44" spans="1:3" x14ac:dyDescent="0.3">
      <c r="A44">
        <v>812</v>
      </c>
      <c r="B44" t="s">
        <v>90</v>
      </c>
      <c r="C44">
        <v>171571.89</v>
      </c>
    </row>
    <row r="45" spans="1:3" x14ac:dyDescent="0.3">
      <c r="A45">
        <v>1021</v>
      </c>
      <c r="B45" t="s">
        <v>57</v>
      </c>
      <c r="C45">
        <v>-12.3</v>
      </c>
    </row>
    <row r="46" spans="1:3" x14ac:dyDescent="0.3">
      <c r="A46">
        <v>10000</v>
      </c>
      <c r="B46" t="s">
        <v>68</v>
      </c>
      <c r="C46">
        <v>4900</v>
      </c>
    </row>
    <row r="47" spans="1:3" x14ac:dyDescent="0.3">
      <c r="A47">
        <v>935</v>
      </c>
      <c r="B47" t="s">
        <v>228</v>
      </c>
      <c r="C47">
        <v>3971</v>
      </c>
    </row>
    <row r="48" spans="1:3" x14ac:dyDescent="0.3">
      <c r="A48">
        <v>948</v>
      </c>
      <c r="B48" t="s">
        <v>72</v>
      </c>
      <c r="C48">
        <v>627503</v>
      </c>
    </row>
    <row r="49" spans="1:3" x14ac:dyDescent="0.3">
      <c r="A49">
        <v>855</v>
      </c>
      <c r="B49" t="s">
        <v>73</v>
      </c>
      <c r="C49">
        <v>431710</v>
      </c>
    </row>
    <row r="50" spans="1:3" x14ac:dyDescent="0.3">
      <c r="A50">
        <v>853</v>
      </c>
      <c r="B50" t="s">
        <v>74</v>
      </c>
      <c r="C50">
        <v>617231</v>
      </c>
    </row>
    <row r="51" spans="1:3" x14ac:dyDescent="0.3">
      <c r="A51">
        <v>856</v>
      </c>
      <c r="B51" t="s">
        <v>80</v>
      </c>
      <c r="C51">
        <v>22904</v>
      </c>
    </row>
    <row r="52" spans="1:3" x14ac:dyDescent="0.3">
      <c r="A52">
        <v>10208</v>
      </c>
      <c r="B52" t="s">
        <v>78</v>
      </c>
      <c r="C52">
        <v>115884</v>
      </c>
    </row>
    <row r="53" spans="1:3" x14ac:dyDescent="0.3">
      <c r="A53">
        <v>851</v>
      </c>
      <c r="B53" t="s">
        <v>81</v>
      </c>
      <c r="C53">
        <v>7272326</v>
      </c>
    </row>
    <row r="54" spans="1:3" x14ac:dyDescent="0.3">
      <c r="A54">
        <v>689</v>
      </c>
      <c r="B54" t="s">
        <v>75</v>
      </c>
      <c r="C54">
        <v>27264</v>
      </c>
    </row>
    <row r="55" spans="1:3" x14ac:dyDescent="0.3">
      <c r="A55">
        <v>1325</v>
      </c>
      <c r="B55" t="s">
        <v>98</v>
      </c>
      <c r="C55">
        <v>24213383</v>
      </c>
    </row>
    <row r="56" spans="1:3" x14ac:dyDescent="0.3">
      <c r="A56">
        <v>39011</v>
      </c>
      <c r="B56" t="s">
        <v>83</v>
      </c>
      <c r="C56">
        <v>138619</v>
      </c>
    </row>
    <row r="57" spans="1:3" x14ac:dyDescent="0.3">
      <c r="A57">
        <v>38580</v>
      </c>
      <c r="B57" t="s">
        <v>82</v>
      </c>
      <c r="C57">
        <v>490682</v>
      </c>
    </row>
    <row r="58" spans="1:3" x14ac:dyDescent="0.3">
      <c r="A58">
        <v>39010</v>
      </c>
      <c r="B58" t="s">
        <v>85</v>
      </c>
      <c r="C58">
        <v>-8130</v>
      </c>
    </row>
    <row r="59" spans="1:3" x14ac:dyDescent="0.3">
      <c r="A59">
        <v>38579</v>
      </c>
      <c r="B59" t="s">
        <v>86</v>
      </c>
      <c r="C59">
        <v>-123196</v>
      </c>
    </row>
    <row r="60" spans="1:3" x14ac:dyDescent="0.3">
      <c r="A60">
        <v>872</v>
      </c>
      <c r="B60" t="s">
        <v>87</v>
      </c>
      <c r="C60">
        <v>35320</v>
      </c>
    </row>
    <row r="61" spans="1:3" x14ac:dyDescent="0.3">
      <c r="A61">
        <v>868</v>
      </c>
      <c r="B61" t="s">
        <v>88</v>
      </c>
      <c r="C61">
        <v>40430</v>
      </c>
    </row>
    <row r="62" spans="1:3" x14ac:dyDescent="0.3">
      <c r="A62">
        <v>675</v>
      </c>
      <c r="B62" t="s">
        <v>99</v>
      </c>
      <c r="C62">
        <v>16000</v>
      </c>
    </row>
    <row r="63" spans="1:3" x14ac:dyDescent="0.3">
      <c r="A63">
        <v>1107</v>
      </c>
      <c r="B63" t="s">
        <v>105</v>
      </c>
      <c r="C63">
        <v>3781</v>
      </c>
    </row>
    <row r="64" spans="1:3" x14ac:dyDescent="0.3">
      <c r="A64">
        <v>859</v>
      </c>
      <c r="B64" t="s">
        <v>220</v>
      </c>
      <c r="C64">
        <v>2422</v>
      </c>
    </row>
    <row r="65" spans="1:5" x14ac:dyDescent="0.3">
      <c r="A65">
        <v>858</v>
      </c>
      <c r="B65" t="s">
        <v>89</v>
      </c>
      <c r="C65">
        <v>490220</v>
      </c>
    </row>
    <row r="66" spans="1:5" x14ac:dyDescent="0.3">
      <c r="A66">
        <v>981</v>
      </c>
      <c r="B66" t="s">
        <v>109</v>
      </c>
      <c r="C66">
        <v>16458.64</v>
      </c>
    </row>
    <row r="67" spans="1:5" x14ac:dyDescent="0.3">
      <c r="A67">
        <v>1214</v>
      </c>
      <c r="B67" t="s">
        <v>106</v>
      </c>
      <c r="C67">
        <v>2000</v>
      </c>
    </row>
    <row r="68" spans="1:5" x14ac:dyDescent="0.3">
      <c r="A68" t="s">
        <v>325</v>
      </c>
      <c r="B68" t="s">
        <v>326</v>
      </c>
      <c r="C68">
        <f>SUM(C14:C67)</f>
        <v>41848135.68</v>
      </c>
      <c r="D68">
        <v>41848135.68</v>
      </c>
    </row>
    <row r="69" spans="1:5" x14ac:dyDescent="0.3">
      <c r="C69">
        <f>+C13-C68</f>
        <v>-14813750.649999995</v>
      </c>
    </row>
    <row r="70" spans="1:5" x14ac:dyDescent="0.3">
      <c r="A70" t="s">
        <v>327</v>
      </c>
      <c r="B70" t="s">
        <v>469</v>
      </c>
      <c r="C70">
        <v>0.65</v>
      </c>
    </row>
    <row r="73" spans="1:5" x14ac:dyDescent="0.3">
      <c r="A73" t="s">
        <v>329</v>
      </c>
      <c r="B73" t="s">
        <v>172</v>
      </c>
      <c r="C73" t="s">
        <v>259</v>
      </c>
      <c r="D73" t="s">
        <v>154</v>
      </c>
      <c r="E73" t="s">
        <v>250</v>
      </c>
    </row>
    <row r="74" spans="1:5" x14ac:dyDescent="0.3">
      <c r="A74" t="s">
        <v>156</v>
      </c>
      <c r="B74" t="s">
        <v>468</v>
      </c>
      <c r="D74" t="s">
        <v>252</v>
      </c>
      <c r="E74" t="s">
        <v>348</v>
      </c>
    </row>
    <row r="75" spans="1:5" x14ac:dyDescent="0.3">
      <c r="A75" t="s">
        <v>157</v>
      </c>
    </row>
  </sheetData>
  <autoFilter ref="A7:C68" xr:uid="{44FBF473-7F08-4B7B-8474-7DB0A3A74E8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619D-94D7-4272-8994-D7F91F4AF43A}">
  <dimension ref="A1:E77"/>
  <sheetViews>
    <sheetView topLeftCell="A19" workbookViewId="0">
      <selection activeCell="B22" sqref="B22"/>
    </sheetView>
  </sheetViews>
  <sheetFormatPr defaultRowHeight="14.4" x14ac:dyDescent="0.3"/>
  <cols>
    <col min="2" max="2" width="47.33203125" customWidth="1"/>
    <col min="4" max="4" width="11.6640625" bestFit="1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244</v>
      </c>
      <c r="C3" t="s">
        <v>456</v>
      </c>
      <c r="D3" t="s">
        <v>143</v>
      </c>
    </row>
    <row r="4" spans="1:5" x14ac:dyDescent="0.3">
      <c r="A4" t="s">
        <v>162</v>
      </c>
      <c r="B4" t="s">
        <v>246</v>
      </c>
      <c r="C4" t="s">
        <v>241</v>
      </c>
      <c r="D4" t="s">
        <v>145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162</v>
      </c>
      <c r="B7" t="s">
        <v>246</v>
      </c>
      <c r="C7" t="s">
        <v>241</v>
      </c>
      <c r="D7" t="s">
        <v>145</v>
      </c>
    </row>
    <row r="8" spans="1:5" x14ac:dyDescent="0.3">
      <c r="A8" t="s">
        <v>3</v>
      </c>
      <c r="C8">
        <f>+'Profit Loss-Betul-25-26'!S141+SUM(C14:C67)-SUM(C9:C12)-C22</f>
        <v>-7903983.2200000109</v>
      </c>
    </row>
    <row r="9" spans="1:5" x14ac:dyDescent="0.3">
      <c r="A9">
        <v>18669</v>
      </c>
      <c r="B9" t="s">
        <v>257</v>
      </c>
      <c r="C9">
        <f>+E9</f>
        <v>25000388.010000002</v>
      </c>
      <c r="E9">
        <v>25000388.010000002</v>
      </c>
    </row>
    <row r="10" spans="1:5" x14ac:dyDescent="0.3">
      <c r="A10">
        <v>701</v>
      </c>
      <c r="B10" t="s">
        <v>178</v>
      </c>
      <c r="C10">
        <f>+E10</f>
        <v>0.01</v>
      </c>
      <c r="E10">
        <v>0.01</v>
      </c>
    </row>
    <row r="11" spans="1:5" x14ac:dyDescent="0.3">
      <c r="A11">
        <v>706</v>
      </c>
      <c r="B11" t="s">
        <v>384</v>
      </c>
      <c r="C11">
        <f>+E11</f>
        <v>0.01</v>
      </c>
      <c r="E11">
        <v>0.01</v>
      </c>
    </row>
    <row r="12" spans="1:5" x14ac:dyDescent="0.3">
      <c r="A12">
        <v>1016</v>
      </c>
      <c r="B12" t="s">
        <v>124</v>
      </c>
      <c r="C12">
        <f>+E12</f>
        <v>320</v>
      </c>
      <c r="E12">
        <v>320</v>
      </c>
    </row>
    <row r="13" spans="1:5" x14ac:dyDescent="0.3">
      <c r="A13" t="s">
        <v>165</v>
      </c>
      <c r="B13" t="s">
        <v>164</v>
      </c>
      <c r="D13">
        <f>SUM(D9:D12)</f>
        <v>0</v>
      </c>
      <c r="E13">
        <f>SUM(E9:E12)</f>
        <v>25000708.030000005</v>
      </c>
    </row>
    <row r="14" spans="1:5" x14ac:dyDescent="0.3">
      <c r="A14">
        <v>36604</v>
      </c>
      <c r="B14" t="s">
        <v>188</v>
      </c>
      <c r="C14">
        <f t="shared" ref="C14:C67" si="0">+E14</f>
        <v>45070</v>
      </c>
      <c r="E14">
        <v>45070</v>
      </c>
    </row>
    <row r="15" spans="1:5" x14ac:dyDescent="0.3">
      <c r="A15">
        <v>20335</v>
      </c>
      <c r="B15" t="s">
        <v>39</v>
      </c>
      <c r="C15">
        <f t="shared" si="0"/>
        <v>2370</v>
      </c>
      <c r="E15">
        <v>2370</v>
      </c>
    </row>
    <row r="16" spans="1:5" x14ac:dyDescent="0.3">
      <c r="A16">
        <v>36583</v>
      </c>
      <c r="B16" t="s">
        <v>200</v>
      </c>
      <c r="C16">
        <f t="shared" si="0"/>
        <v>112714.12</v>
      </c>
      <c r="E16">
        <v>112714.12</v>
      </c>
    </row>
    <row r="17" spans="1:5" x14ac:dyDescent="0.3">
      <c r="A17">
        <v>815</v>
      </c>
      <c r="B17" t="s">
        <v>40</v>
      </c>
      <c r="C17">
        <f t="shared" si="0"/>
        <v>51152</v>
      </c>
      <c r="E17">
        <v>51152</v>
      </c>
    </row>
    <row r="18" spans="1:5" x14ac:dyDescent="0.3">
      <c r="A18">
        <v>25339</v>
      </c>
      <c r="B18" t="s">
        <v>192</v>
      </c>
      <c r="C18">
        <f t="shared" si="0"/>
        <v>916029.56</v>
      </c>
      <c r="E18">
        <v>916029.56</v>
      </c>
    </row>
    <row r="19" spans="1:5" x14ac:dyDescent="0.3">
      <c r="A19">
        <v>810</v>
      </c>
      <c r="B19" t="s">
        <v>48</v>
      </c>
      <c r="C19">
        <f t="shared" si="0"/>
        <v>6700</v>
      </c>
      <c r="E19">
        <v>6700</v>
      </c>
    </row>
    <row r="20" spans="1:5" x14ac:dyDescent="0.3">
      <c r="A20">
        <v>937</v>
      </c>
      <c r="B20" t="s">
        <v>58</v>
      </c>
      <c r="C20">
        <f t="shared" si="0"/>
        <v>24220</v>
      </c>
      <c r="E20">
        <v>24220</v>
      </c>
    </row>
    <row r="21" spans="1:5" x14ac:dyDescent="0.3">
      <c r="A21">
        <v>809</v>
      </c>
      <c r="B21" t="s">
        <v>46</v>
      </c>
      <c r="C21">
        <f t="shared" si="0"/>
        <v>1672586</v>
      </c>
      <c r="E21">
        <v>1672586</v>
      </c>
    </row>
    <row r="22" spans="1:5" x14ac:dyDescent="0.3">
      <c r="A22">
        <v>801</v>
      </c>
      <c r="B22" t="s">
        <v>199</v>
      </c>
      <c r="C22" s="31">
        <f t="shared" si="0"/>
        <v>50381.2</v>
      </c>
      <c r="E22">
        <v>50381.2</v>
      </c>
    </row>
    <row r="23" spans="1:5" x14ac:dyDescent="0.3">
      <c r="A23">
        <v>36614</v>
      </c>
      <c r="B23" t="s">
        <v>11</v>
      </c>
      <c r="C23">
        <f t="shared" si="0"/>
        <v>6000</v>
      </c>
      <c r="E23">
        <v>6000</v>
      </c>
    </row>
    <row r="24" spans="1:5" x14ac:dyDescent="0.3">
      <c r="A24">
        <v>20336</v>
      </c>
      <c r="B24" t="s">
        <v>12</v>
      </c>
      <c r="C24">
        <f t="shared" si="0"/>
        <v>12500</v>
      </c>
      <c r="E24">
        <v>12500</v>
      </c>
    </row>
    <row r="25" spans="1:5" x14ac:dyDescent="0.3">
      <c r="A25">
        <v>962</v>
      </c>
      <c r="B25" t="s">
        <v>61</v>
      </c>
      <c r="C25">
        <f t="shared" si="0"/>
        <v>84000</v>
      </c>
      <c r="E25">
        <v>84000</v>
      </c>
    </row>
    <row r="26" spans="1:5" x14ac:dyDescent="0.3">
      <c r="A26">
        <v>961</v>
      </c>
      <c r="B26" t="s">
        <v>91</v>
      </c>
      <c r="C26">
        <f t="shared" si="0"/>
        <v>47600</v>
      </c>
      <c r="E26">
        <v>47600</v>
      </c>
    </row>
    <row r="27" spans="1:5" x14ac:dyDescent="0.3">
      <c r="A27">
        <v>894</v>
      </c>
      <c r="B27" t="s">
        <v>70</v>
      </c>
      <c r="C27">
        <f t="shared" si="0"/>
        <v>104517</v>
      </c>
      <c r="E27">
        <v>104517</v>
      </c>
    </row>
    <row r="28" spans="1:5" x14ac:dyDescent="0.3">
      <c r="A28">
        <v>963</v>
      </c>
      <c r="B28" t="s">
        <v>92</v>
      </c>
      <c r="C28">
        <f t="shared" si="0"/>
        <v>122670</v>
      </c>
      <c r="E28">
        <v>122670</v>
      </c>
    </row>
    <row r="29" spans="1:5" x14ac:dyDescent="0.3">
      <c r="A29">
        <v>29063</v>
      </c>
      <c r="B29" t="s">
        <v>206</v>
      </c>
      <c r="C29">
        <f t="shared" si="0"/>
        <v>445</v>
      </c>
      <c r="E29">
        <v>445</v>
      </c>
    </row>
    <row r="30" spans="1:5" x14ac:dyDescent="0.3">
      <c r="A30">
        <v>821</v>
      </c>
      <c r="B30" t="s">
        <v>113</v>
      </c>
      <c r="C30">
        <f t="shared" si="0"/>
        <v>2401534</v>
      </c>
      <c r="E30">
        <v>2401534</v>
      </c>
    </row>
    <row r="31" spans="1:5" x14ac:dyDescent="0.3">
      <c r="A31">
        <v>904</v>
      </c>
      <c r="B31" t="s">
        <v>67</v>
      </c>
      <c r="C31">
        <f t="shared" si="0"/>
        <v>12117</v>
      </c>
      <c r="E31">
        <v>12117</v>
      </c>
    </row>
    <row r="32" spans="1:5" x14ac:dyDescent="0.3">
      <c r="A32">
        <v>932</v>
      </c>
      <c r="B32" t="s">
        <v>54</v>
      </c>
      <c r="C32">
        <f t="shared" si="0"/>
        <v>100024.62</v>
      </c>
      <c r="E32">
        <v>100024.62</v>
      </c>
    </row>
    <row r="33" spans="1:5" x14ac:dyDescent="0.3">
      <c r="A33">
        <v>20113</v>
      </c>
      <c r="B33" t="s">
        <v>223</v>
      </c>
      <c r="C33">
        <f t="shared" si="0"/>
        <v>6000</v>
      </c>
      <c r="E33">
        <v>6000</v>
      </c>
    </row>
    <row r="34" spans="1:5" x14ac:dyDescent="0.3">
      <c r="A34">
        <v>1101</v>
      </c>
      <c r="B34" t="s">
        <v>229</v>
      </c>
      <c r="C34">
        <f t="shared" si="0"/>
        <v>30000</v>
      </c>
      <c r="E34">
        <v>30000</v>
      </c>
    </row>
    <row r="35" spans="1:5" x14ac:dyDescent="0.3">
      <c r="A35">
        <v>854</v>
      </c>
      <c r="B35" t="s">
        <v>205</v>
      </c>
      <c r="C35">
        <f t="shared" si="0"/>
        <v>30917</v>
      </c>
      <c r="E35">
        <v>30917</v>
      </c>
    </row>
    <row r="36" spans="1:5" x14ac:dyDescent="0.3">
      <c r="A36">
        <v>983</v>
      </c>
      <c r="B36" t="s">
        <v>95</v>
      </c>
      <c r="C36">
        <f t="shared" si="0"/>
        <v>83860</v>
      </c>
      <c r="E36">
        <v>83860</v>
      </c>
    </row>
    <row r="37" spans="1:5" x14ac:dyDescent="0.3">
      <c r="A37">
        <v>1074</v>
      </c>
      <c r="B37" t="s">
        <v>202</v>
      </c>
      <c r="C37">
        <f t="shared" si="0"/>
        <v>46150</v>
      </c>
      <c r="E37">
        <v>46150</v>
      </c>
    </row>
    <row r="38" spans="1:5" x14ac:dyDescent="0.3">
      <c r="A38">
        <v>929</v>
      </c>
      <c r="B38" t="s">
        <v>101</v>
      </c>
      <c r="C38">
        <f t="shared" si="0"/>
        <v>15937.5</v>
      </c>
      <c r="E38">
        <v>15937.5</v>
      </c>
    </row>
    <row r="39" spans="1:5" x14ac:dyDescent="0.3">
      <c r="A39">
        <v>926</v>
      </c>
      <c r="B39" t="s">
        <v>207</v>
      </c>
      <c r="C39">
        <f t="shared" si="0"/>
        <v>71675</v>
      </c>
      <c r="E39">
        <v>71675</v>
      </c>
    </row>
    <row r="40" spans="1:5" x14ac:dyDescent="0.3">
      <c r="A40">
        <v>934</v>
      </c>
      <c r="B40" t="s">
        <v>103</v>
      </c>
      <c r="C40">
        <f t="shared" si="0"/>
        <v>3754</v>
      </c>
      <c r="E40">
        <v>3754</v>
      </c>
    </row>
    <row r="41" spans="1:5" x14ac:dyDescent="0.3">
      <c r="A41">
        <v>685</v>
      </c>
      <c r="B41" t="s">
        <v>97</v>
      </c>
      <c r="C41">
        <f t="shared" si="0"/>
        <v>38744</v>
      </c>
      <c r="E41">
        <v>38744</v>
      </c>
    </row>
    <row r="42" spans="1:5" x14ac:dyDescent="0.3">
      <c r="A42">
        <v>920</v>
      </c>
      <c r="B42" t="s">
        <v>153</v>
      </c>
      <c r="C42">
        <f t="shared" si="0"/>
        <v>29065.4</v>
      </c>
      <c r="E42">
        <v>29065.4</v>
      </c>
    </row>
    <row r="43" spans="1:5" x14ac:dyDescent="0.3">
      <c r="A43">
        <v>936</v>
      </c>
      <c r="B43" t="s">
        <v>225</v>
      </c>
      <c r="C43">
        <f t="shared" si="0"/>
        <v>16928.78</v>
      </c>
      <c r="E43">
        <v>16928.78</v>
      </c>
    </row>
    <row r="44" spans="1:5" x14ac:dyDescent="0.3">
      <c r="A44">
        <v>812</v>
      </c>
      <c r="B44" t="s">
        <v>90</v>
      </c>
      <c r="C44">
        <f t="shared" si="0"/>
        <v>143251.89000000001</v>
      </c>
      <c r="E44">
        <v>143251.89000000001</v>
      </c>
    </row>
    <row r="45" spans="1:5" x14ac:dyDescent="0.3">
      <c r="A45">
        <v>1021</v>
      </c>
      <c r="B45" t="s">
        <v>57</v>
      </c>
      <c r="C45">
        <f t="shared" si="0"/>
        <v>-12.3</v>
      </c>
      <c r="E45">
        <v>-12.3</v>
      </c>
    </row>
    <row r="46" spans="1:5" x14ac:dyDescent="0.3">
      <c r="A46">
        <v>10000</v>
      </c>
      <c r="B46" t="s">
        <v>68</v>
      </c>
      <c r="C46">
        <f t="shared" si="0"/>
        <v>4900</v>
      </c>
      <c r="E46">
        <v>4900</v>
      </c>
    </row>
    <row r="47" spans="1:5" x14ac:dyDescent="0.3">
      <c r="A47">
        <v>935</v>
      </c>
      <c r="B47" t="s">
        <v>228</v>
      </c>
      <c r="C47">
        <f t="shared" si="0"/>
        <v>3971</v>
      </c>
      <c r="E47">
        <v>3971</v>
      </c>
    </row>
    <row r="48" spans="1:5" x14ac:dyDescent="0.3">
      <c r="A48">
        <v>948</v>
      </c>
      <c r="B48" t="s">
        <v>72</v>
      </c>
      <c r="C48">
        <f t="shared" si="0"/>
        <v>580903</v>
      </c>
      <c r="E48">
        <v>580903</v>
      </c>
    </row>
    <row r="49" spans="1:5" x14ac:dyDescent="0.3">
      <c r="A49">
        <v>855</v>
      </c>
      <c r="B49" t="s">
        <v>73</v>
      </c>
      <c r="C49">
        <f t="shared" si="0"/>
        <v>386512</v>
      </c>
      <c r="E49">
        <v>386512</v>
      </c>
    </row>
    <row r="50" spans="1:5" x14ac:dyDescent="0.3">
      <c r="A50">
        <v>853</v>
      </c>
      <c r="B50" t="s">
        <v>74</v>
      </c>
      <c r="C50">
        <f t="shared" si="0"/>
        <v>543530</v>
      </c>
      <c r="E50">
        <v>543530</v>
      </c>
    </row>
    <row r="51" spans="1:5" x14ac:dyDescent="0.3">
      <c r="A51">
        <v>856</v>
      </c>
      <c r="B51" t="s">
        <v>80</v>
      </c>
      <c r="C51">
        <f t="shared" si="0"/>
        <v>22904</v>
      </c>
      <c r="E51">
        <v>22904</v>
      </c>
    </row>
    <row r="52" spans="1:5" x14ac:dyDescent="0.3">
      <c r="A52">
        <v>10208</v>
      </c>
      <c r="B52" t="s">
        <v>78</v>
      </c>
      <c r="C52">
        <f t="shared" si="0"/>
        <v>107240</v>
      </c>
      <c r="E52">
        <v>107240</v>
      </c>
    </row>
    <row r="53" spans="1:5" x14ac:dyDescent="0.3">
      <c r="A53">
        <v>851</v>
      </c>
      <c r="B53" t="s">
        <v>81</v>
      </c>
      <c r="C53">
        <f t="shared" si="0"/>
        <v>5957223</v>
      </c>
      <c r="E53">
        <v>5957223</v>
      </c>
    </row>
    <row r="54" spans="1:5" x14ac:dyDescent="0.3">
      <c r="A54">
        <v>689</v>
      </c>
      <c r="B54" t="s">
        <v>75</v>
      </c>
      <c r="C54">
        <f t="shared" si="0"/>
        <v>18176</v>
      </c>
      <c r="E54">
        <v>18176</v>
      </c>
    </row>
    <row r="55" spans="1:5" x14ac:dyDescent="0.3">
      <c r="A55">
        <v>1325</v>
      </c>
      <c r="B55" t="s">
        <v>98</v>
      </c>
      <c r="C55">
        <f t="shared" si="0"/>
        <v>22011730</v>
      </c>
      <c r="E55">
        <v>22011730</v>
      </c>
    </row>
    <row r="56" spans="1:5" x14ac:dyDescent="0.3">
      <c r="A56">
        <v>39011</v>
      </c>
      <c r="B56" t="s">
        <v>83</v>
      </c>
      <c r="C56">
        <f t="shared" si="0"/>
        <v>113689</v>
      </c>
      <c r="E56">
        <v>113689</v>
      </c>
    </row>
    <row r="57" spans="1:5" x14ac:dyDescent="0.3">
      <c r="A57">
        <v>38580</v>
      </c>
      <c r="B57" t="s">
        <v>82</v>
      </c>
      <c r="C57">
        <f t="shared" si="0"/>
        <v>400385</v>
      </c>
      <c r="E57">
        <v>400385</v>
      </c>
    </row>
    <row r="58" spans="1:5" x14ac:dyDescent="0.3">
      <c r="A58">
        <v>39010</v>
      </c>
      <c r="B58" t="s">
        <v>85</v>
      </c>
      <c r="C58">
        <f t="shared" si="0"/>
        <v>-5839</v>
      </c>
      <c r="E58">
        <v>-5839</v>
      </c>
    </row>
    <row r="59" spans="1:5" x14ac:dyDescent="0.3">
      <c r="A59">
        <v>38579</v>
      </c>
      <c r="B59" t="s">
        <v>86</v>
      </c>
      <c r="C59">
        <f t="shared" si="0"/>
        <v>-91923</v>
      </c>
      <c r="E59">
        <v>-91923</v>
      </c>
    </row>
    <row r="60" spans="1:5" x14ac:dyDescent="0.3">
      <c r="A60">
        <v>872</v>
      </c>
      <c r="B60" t="s">
        <v>87</v>
      </c>
      <c r="C60">
        <f t="shared" si="0"/>
        <v>35320</v>
      </c>
      <c r="E60">
        <v>35320</v>
      </c>
    </row>
    <row r="61" spans="1:5" x14ac:dyDescent="0.3">
      <c r="A61">
        <v>868</v>
      </c>
      <c r="B61" t="s">
        <v>88</v>
      </c>
      <c r="C61">
        <f t="shared" si="0"/>
        <v>33036</v>
      </c>
      <c r="E61">
        <v>33036</v>
      </c>
    </row>
    <row r="62" spans="1:5" x14ac:dyDescent="0.3">
      <c r="A62">
        <v>675</v>
      </c>
      <c r="B62" t="s">
        <v>99</v>
      </c>
      <c r="C62">
        <f t="shared" si="0"/>
        <v>16000</v>
      </c>
      <c r="E62">
        <v>16000</v>
      </c>
    </row>
    <row r="63" spans="1:5" x14ac:dyDescent="0.3">
      <c r="A63">
        <v>1107</v>
      </c>
      <c r="B63" t="s">
        <v>105</v>
      </c>
      <c r="C63">
        <f t="shared" si="0"/>
        <v>3781</v>
      </c>
      <c r="E63">
        <v>3781</v>
      </c>
    </row>
    <row r="64" spans="1:5" x14ac:dyDescent="0.3">
      <c r="A64">
        <v>859</v>
      </c>
      <c r="B64" t="s">
        <v>220</v>
      </c>
      <c r="C64">
        <f t="shared" si="0"/>
        <v>1632</v>
      </c>
      <c r="E64">
        <v>1632</v>
      </c>
    </row>
    <row r="65" spans="1:5" x14ac:dyDescent="0.3">
      <c r="A65">
        <v>858</v>
      </c>
      <c r="B65" t="s">
        <v>89</v>
      </c>
      <c r="C65">
        <f t="shared" si="0"/>
        <v>416218</v>
      </c>
      <c r="E65">
        <v>416218</v>
      </c>
    </row>
    <row r="66" spans="1:5" x14ac:dyDescent="0.3">
      <c r="A66">
        <v>981</v>
      </c>
      <c r="B66" t="s">
        <v>109</v>
      </c>
      <c r="C66">
        <f t="shared" si="0"/>
        <v>15810.82</v>
      </c>
      <c r="E66">
        <v>15810.82</v>
      </c>
    </row>
    <row r="67" spans="1:5" x14ac:dyDescent="0.3">
      <c r="A67">
        <v>1214</v>
      </c>
      <c r="B67" t="s">
        <v>106</v>
      </c>
      <c r="C67">
        <f t="shared" si="0"/>
        <v>2000</v>
      </c>
      <c r="E67">
        <v>2000</v>
      </c>
    </row>
    <row r="68" spans="1:5" x14ac:dyDescent="0.3">
      <c r="A68" t="s">
        <v>162</v>
      </c>
      <c r="B68" t="s">
        <v>246</v>
      </c>
      <c r="C68">
        <f>SUM(C14:C67)</f>
        <v>36866100.590000004</v>
      </c>
      <c r="D68">
        <f>+C13-C68</f>
        <v>-36866100.590000004</v>
      </c>
      <c r="E68">
        <f>SUM(E14:E67)</f>
        <v>36866100.590000004</v>
      </c>
    </row>
    <row r="69" spans="1:5" x14ac:dyDescent="0.3">
      <c r="A69" t="s">
        <v>167</v>
      </c>
      <c r="B69" t="s">
        <v>168</v>
      </c>
      <c r="C69">
        <v>36866100.590000004</v>
      </c>
    </row>
    <row r="70" spans="1:5" x14ac:dyDescent="0.3">
      <c r="A70" t="s">
        <v>162</v>
      </c>
      <c r="B70" t="s">
        <v>246</v>
      </c>
      <c r="C70" t="s">
        <v>241</v>
      </c>
      <c r="D70" t="s">
        <v>145</v>
      </c>
    </row>
    <row r="72" spans="1:5" x14ac:dyDescent="0.3">
      <c r="A72" t="s">
        <v>169</v>
      </c>
      <c r="B72" t="s">
        <v>459</v>
      </c>
      <c r="C72">
        <v>0.56000000000000005</v>
      </c>
    </row>
    <row r="75" spans="1:5" x14ac:dyDescent="0.3">
      <c r="A75" t="s">
        <v>171</v>
      </c>
      <c r="B75" t="s">
        <v>249</v>
      </c>
      <c r="C75" t="s">
        <v>242</v>
      </c>
      <c r="D75" t="s">
        <v>155</v>
      </c>
    </row>
    <row r="76" spans="1:5" x14ac:dyDescent="0.3">
      <c r="A76" t="s">
        <v>156</v>
      </c>
      <c r="B76" t="s">
        <v>458</v>
      </c>
      <c r="D76" t="s">
        <v>173</v>
      </c>
    </row>
    <row r="77" spans="1:5" x14ac:dyDescent="0.3">
      <c r="A77" t="s">
        <v>157</v>
      </c>
    </row>
  </sheetData>
  <autoFilter ref="A7:C70" xr:uid="{559E619D-94D7-4272-8994-D7F91F4AF43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DC48-6754-4F90-ABF4-0D0853B56E0B}">
  <dimension ref="A2:C43"/>
  <sheetViews>
    <sheetView topLeftCell="A24" workbookViewId="0">
      <selection activeCell="C36" sqref="C36"/>
    </sheetView>
  </sheetViews>
  <sheetFormatPr defaultRowHeight="14.4" x14ac:dyDescent="0.3"/>
  <cols>
    <col min="1" max="1" width="57.6640625" customWidth="1"/>
    <col min="2" max="2" width="14.5546875" customWidth="1"/>
    <col min="3" max="3" width="13.33203125" customWidth="1"/>
  </cols>
  <sheetData>
    <row r="2" spans="1:3" ht="21" x14ac:dyDescent="0.4">
      <c r="A2" s="107" t="s">
        <v>425</v>
      </c>
    </row>
    <row r="4" spans="1:3" ht="18" x14ac:dyDescent="0.35">
      <c r="A4" s="68" t="s">
        <v>426</v>
      </c>
    </row>
    <row r="5" spans="1:3" ht="8.4" customHeight="1" x14ac:dyDescent="0.35">
      <c r="A5" s="68"/>
    </row>
    <row r="6" spans="1:3" x14ac:dyDescent="0.3">
      <c r="C6" s="15" t="s">
        <v>1</v>
      </c>
    </row>
    <row r="7" spans="1:3" x14ac:dyDescent="0.3">
      <c r="A7" s="8" t="s">
        <v>427</v>
      </c>
      <c r="B7" s="8" t="s">
        <v>428</v>
      </c>
      <c r="C7" s="8" t="s">
        <v>428</v>
      </c>
    </row>
    <row r="8" spans="1:3" x14ac:dyDescent="0.3">
      <c r="A8" s="10" t="s">
        <v>472</v>
      </c>
      <c r="B8" s="26"/>
      <c r="C8" s="26">
        <f>+'Profit Loss-Combined'!BC73</f>
        <v>146142497.39999986</v>
      </c>
    </row>
    <row r="9" spans="1:3" x14ac:dyDescent="0.3">
      <c r="A9" s="10"/>
      <c r="B9" s="26"/>
      <c r="C9" s="26"/>
    </row>
    <row r="10" spans="1:3" x14ac:dyDescent="0.3">
      <c r="A10" s="8" t="s">
        <v>429</v>
      </c>
      <c r="B10" s="80"/>
      <c r="C10" s="26"/>
    </row>
    <row r="11" spans="1:3" x14ac:dyDescent="0.3">
      <c r="A11" s="10" t="s">
        <v>430</v>
      </c>
      <c r="B11" s="26">
        <f>(61.55+96.41+70.49+12.84)*100000</f>
        <v>24129000</v>
      </c>
      <c r="C11" s="26"/>
    </row>
    <row r="12" spans="1:3" x14ac:dyDescent="0.3">
      <c r="A12" s="10" t="s">
        <v>431</v>
      </c>
      <c r="B12" s="26">
        <f>(16.58+2.23)*100000+1202290</f>
        <v>3083290</v>
      </c>
      <c r="C12" s="26"/>
    </row>
    <row r="13" spans="1:3" x14ac:dyDescent="0.3">
      <c r="A13" s="10" t="s">
        <v>432</v>
      </c>
      <c r="B13" s="26">
        <f>27.14*100000</f>
        <v>2714000</v>
      </c>
      <c r="C13" s="26"/>
    </row>
    <row r="14" spans="1:3" x14ac:dyDescent="0.3">
      <c r="A14" s="10" t="s">
        <v>433</v>
      </c>
      <c r="B14" s="26">
        <f>(67.96-23.17)*100000</f>
        <v>4478999.9999999991</v>
      </c>
      <c r="C14" s="26">
        <f>+SUM(B11:B14)</f>
        <v>34405290</v>
      </c>
    </row>
    <row r="15" spans="1:3" x14ac:dyDescent="0.3">
      <c r="A15" s="10"/>
      <c r="B15" s="26"/>
      <c r="C15" s="26"/>
    </row>
    <row r="16" spans="1:3" x14ac:dyDescent="0.3">
      <c r="A16" s="8" t="s">
        <v>434</v>
      </c>
      <c r="B16" s="108"/>
      <c r="C16" s="27">
        <f>+C8+C14</f>
        <v>180547787.39999986</v>
      </c>
    </row>
    <row r="17" spans="1:3" x14ac:dyDescent="0.3">
      <c r="A17" s="10" t="s">
        <v>435</v>
      </c>
      <c r="B17" s="108"/>
      <c r="C17" s="108">
        <f>+'Profit Loss-Combined'!BC47+B14</f>
        <v>936034908.05999994</v>
      </c>
    </row>
    <row r="18" spans="1:3" x14ac:dyDescent="0.3">
      <c r="A18" s="8" t="s">
        <v>436</v>
      </c>
      <c r="B18" s="27"/>
      <c r="C18" s="109">
        <f>+C16/C17</f>
        <v>0.19288574159504179</v>
      </c>
    </row>
    <row r="19" spans="1:3" x14ac:dyDescent="0.3">
      <c r="B19" s="2"/>
      <c r="C19" s="2"/>
    </row>
    <row r="20" spans="1:3" ht="18" x14ac:dyDescent="0.35">
      <c r="A20" s="68" t="s">
        <v>437</v>
      </c>
      <c r="B20" s="2"/>
      <c r="C20" s="2"/>
    </row>
    <row r="21" spans="1:3" x14ac:dyDescent="0.3">
      <c r="B21" s="2"/>
      <c r="C21" s="15" t="s">
        <v>1</v>
      </c>
    </row>
    <row r="22" spans="1:3" x14ac:dyDescent="0.3">
      <c r="A22" s="8" t="s">
        <v>427</v>
      </c>
      <c r="B22" s="8" t="s">
        <v>428</v>
      </c>
      <c r="C22" s="8" t="s">
        <v>428</v>
      </c>
    </row>
    <row r="23" spans="1:3" x14ac:dyDescent="0.3">
      <c r="A23" s="10"/>
      <c r="B23" s="26"/>
      <c r="C23" s="26"/>
    </row>
    <row r="24" spans="1:3" x14ac:dyDescent="0.3">
      <c r="A24" s="10" t="s">
        <v>438</v>
      </c>
      <c r="B24" s="26"/>
      <c r="C24" s="26">
        <f>+C16</f>
        <v>180547787.39999986</v>
      </c>
    </row>
    <row r="25" spans="1:3" x14ac:dyDescent="0.3">
      <c r="A25" s="10"/>
      <c r="B25" s="10"/>
      <c r="C25" s="10"/>
    </row>
    <row r="26" spans="1:3" x14ac:dyDescent="0.3">
      <c r="A26" s="8" t="s">
        <v>439</v>
      </c>
      <c r="B26" s="10"/>
      <c r="C26" s="10"/>
    </row>
    <row r="27" spans="1:3" x14ac:dyDescent="0.3">
      <c r="A27" s="10" t="s">
        <v>440</v>
      </c>
      <c r="B27" s="26">
        <f>+'Profit Loss-Combined'!BC180</f>
        <v>335899336.97333342</v>
      </c>
      <c r="C27" s="10"/>
    </row>
    <row r="28" spans="1:3" ht="16.2" x14ac:dyDescent="0.45">
      <c r="A28" s="10" t="s">
        <v>441</v>
      </c>
      <c r="B28" s="26">
        <f>+'Profit Loss-Combined'!BC175</f>
        <v>2317078</v>
      </c>
      <c r="C28" s="110">
        <f>+B27-B28</f>
        <v>333582258.97333342</v>
      </c>
    </row>
    <row r="29" spans="1:3" x14ac:dyDescent="0.3">
      <c r="A29" s="10"/>
      <c r="B29" s="10"/>
      <c r="C29" s="65">
        <f>+C24-C28</f>
        <v>-153034471.57333356</v>
      </c>
    </row>
    <row r="30" spans="1:3" x14ac:dyDescent="0.3">
      <c r="A30" s="10"/>
      <c r="B30" s="10"/>
      <c r="C30" s="10"/>
    </row>
    <row r="31" spans="1:3" x14ac:dyDescent="0.3">
      <c r="A31" s="8" t="s">
        <v>429</v>
      </c>
      <c r="B31" s="10"/>
      <c r="C31" s="10"/>
    </row>
    <row r="32" spans="1:3" x14ac:dyDescent="0.3">
      <c r="A32" s="10" t="s">
        <v>442</v>
      </c>
      <c r="B32" s="26">
        <f>+'Profit Loss-Combined'!BC195</f>
        <v>9998113.620000001</v>
      </c>
      <c r="C32" s="26"/>
    </row>
    <row r="33" spans="1:3" x14ac:dyDescent="0.3">
      <c r="A33" s="10" t="s">
        <v>443</v>
      </c>
      <c r="B33" s="26">
        <f>+'Profit Loss-Combined'!BC192-3</f>
        <v>2964500</v>
      </c>
      <c r="C33" s="26">
        <f>+B32-B33</f>
        <v>7033613.620000001</v>
      </c>
    </row>
    <row r="34" spans="1:3" x14ac:dyDescent="0.3">
      <c r="A34" s="10"/>
      <c r="B34" s="10"/>
      <c r="C34" s="10"/>
    </row>
    <row r="35" spans="1:3" x14ac:dyDescent="0.3">
      <c r="A35" s="8" t="s">
        <v>473</v>
      </c>
      <c r="B35" s="8"/>
      <c r="C35" s="79">
        <f>+C29+C33</f>
        <v>-146000857.95333356</v>
      </c>
    </row>
    <row r="36" spans="1:3" x14ac:dyDescent="0.3">
      <c r="A36" s="8" t="s">
        <v>474</v>
      </c>
      <c r="B36" s="10"/>
      <c r="C36" s="27">
        <f>+'Profit Loss-Combined'!BC197</f>
        <v>-179758725.9533335</v>
      </c>
    </row>
    <row r="37" spans="1:3" x14ac:dyDescent="0.3">
      <c r="A37" s="10"/>
      <c r="B37" s="10"/>
      <c r="C37" s="10"/>
    </row>
    <row r="38" spans="1:3" x14ac:dyDescent="0.3">
      <c r="A38" s="8" t="s">
        <v>444</v>
      </c>
      <c r="B38" s="10"/>
      <c r="C38" s="79">
        <f>+C35-C36</f>
        <v>33757867.99999994</v>
      </c>
    </row>
    <row r="40" spans="1:3" x14ac:dyDescent="0.3">
      <c r="A40" s="15" t="s">
        <v>445</v>
      </c>
    </row>
    <row r="42" spans="1:3" x14ac:dyDescent="0.3">
      <c r="A42" t="s">
        <v>446</v>
      </c>
      <c r="B42" s="2">
        <v>32555578</v>
      </c>
    </row>
    <row r="43" spans="1:3" x14ac:dyDescent="0.3">
      <c r="A43" t="s">
        <v>447</v>
      </c>
      <c r="B43" s="111">
        <v>1202290</v>
      </c>
      <c r="C43" s="55">
        <f>+B42+B43</f>
        <v>33757868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EADC-B9FB-4E09-84F0-728F5D1007F4}">
  <dimension ref="A1:H160"/>
  <sheetViews>
    <sheetView topLeftCell="A4" workbookViewId="0">
      <selection activeCell="C28" sqref="C28:C33"/>
    </sheetView>
  </sheetViews>
  <sheetFormatPr defaultRowHeight="14.4" x14ac:dyDescent="0.3"/>
  <cols>
    <col min="2" max="2" width="45" customWidth="1"/>
    <col min="3" max="3" width="11" bestFit="1" customWidth="1"/>
    <col min="6" max="6" width="12.6640625" bestFit="1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240</v>
      </c>
      <c r="D2" t="s">
        <v>143</v>
      </c>
    </row>
    <row r="3" spans="1:5" x14ac:dyDescent="0.3">
      <c r="A3" t="s">
        <v>141</v>
      </c>
      <c r="B3" t="s">
        <v>244</v>
      </c>
      <c r="C3" t="s">
        <v>456</v>
      </c>
      <c r="D3" t="s">
        <v>143</v>
      </c>
    </row>
    <row r="4" spans="1:5" x14ac:dyDescent="0.3">
      <c r="A4" t="s">
        <v>162</v>
      </c>
      <c r="B4" t="s">
        <v>246</v>
      </c>
      <c r="C4" t="s">
        <v>241</v>
      </c>
      <c r="D4" t="s">
        <v>145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162</v>
      </c>
      <c r="B7" t="s">
        <v>246</v>
      </c>
      <c r="C7" t="s">
        <v>241</v>
      </c>
      <c r="D7" t="s">
        <v>145</v>
      </c>
    </row>
    <row r="8" spans="1:5" x14ac:dyDescent="0.3">
      <c r="A8" t="s">
        <v>3</v>
      </c>
    </row>
    <row r="9" spans="1:5" x14ac:dyDescent="0.3">
      <c r="A9">
        <v>21686</v>
      </c>
      <c r="B9" t="s">
        <v>176</v>
      </c>
      <c r="C9">
        <f t="shared" ref="C9:C17" si="0">+E9</f>
        <v>84702821</v>
      </c>
      <c r="E9">
        <v>84702821</v>
      </c>
    </row>
    <row r="10" spans="1:5" x14ac:dyDescent="0.3">
      <c r="A10">
        <v>37222</v>
      </c>
      <c r="B10" t="s">
        <v>452</v>
      </c>
      <c r="C10">
        <f t="shared" si="0"/>
        <v>180790</v>
      </c>
      <c r="E10">
        <v>180790</v>
      </c>
    </row>
    <row r="11" spans="1:5" x14ac:dyDescent="0.3">
      <c r="A11">
        <v>1677</v>
      </c>
      <c r="B11" t="s">
        <v>402</v>
      </c>
      <c r="C11">
        <f t="shared" si="0"/>
        <v>150117512</v>
      </c>
      <c r="E11">
        <v>150117512</v>
      </c>
    </row>
    <row r="12" spans="1:5" x14ac:dyDescent="0.3">
      <c r="A12">
        <v>701</v>
      </c>
      <c r="B12" t="s">
        <v>178</v>
      </c>
      <c r="C12">
        <f t="shared" si="0"/>
        <v>471500.01</v>
      </c>
      <c r="E12">
        <v>471500.01</v>
      </c>
    </row>
    <row r="13" spans="1:5" x14ac:dyDescent="0.3">
      <c r="A13">
        <v>16905</v>
      </c>
      <c r="B13" t="s">
        <v>177</v>
      </c>
      <c r="C13">
        <f t="shared" si="0"/>
        <v>591077465.44000006</v>
      </c>
      <c r="E13">
        <v>591077465.44000006</v>
      </c>
    </row>
    <row r="14" spans="1:5" x14ac:dyDescent="0.3">
      <c r="A14">
        <v>26282</v>
      </c>
      <c r="B14" t="s">
        <v>247</v>
      </c>
      <c r="C14">
        <f t="shared" si="0"/>
        <v>21860</v>
      </c>
      <c r="E14">
        <v>21860</v>
      </c>
    </row>
    <row r="15" spans="1:5" x14ac:dyDescent="0.3">
      <c r="A15">
        <v>35115</v>
      </c>
      <c r="B15" t="s">
        <v>179</v>
      </c>
      <c r="C15">
        <f t="shared" si="0"/>
        <v>9757463</v>
      </c>
      <c r="E15">
        <v>9757463</v>
      </c>
    </row>
    <row r="16" spans="1:5" x14ac:dyDescent="0.3">
      <c r="A16">
        <v>35116</v>
      </c>
      <c r="B16" t="s">
        <v>345</v>
      </c>
      <c r="C16">
        <f t="shared" si="0"/>
        <v>3094230</v>
      </c>
      <c r="E16">
        <v>3094230</v>
      </c>
    </row>
    <row r="17" spans="1:5" x14ac:dyDescent="0.3">
      <c r="A17">
        <v>42564</v>
      </c>
      <c r="B17" s="38" t="s">
        <v>453</v>
      </c>
      <c r="C17">
        <f t="shared" si="0"/>
        <v>466171</v>
      </c>
      <c r="E17">
        <v>466171</v>
      </c>
    </row>
    <row r="18" spans="1:5" x14ac:dyDescent="0.3">
      <c r="A18">
        <v>1015</v>
      </c>
      <c r="B18" t="s">
        <v>120</v>
      </c>
      <c r="C18">
        <f t="shared" ref="C18:C26" si="1">+E18</f>
        <v>3093101.84</v>
      </c>
      <c r="E18">
        <v>3093101.84</v>
      </c>
    </row>
    <row r="19" spans="1:5" x14ac:dyDescent="0.3">
      <c r="A19">
        <v>1002</v>
      </c>
      <c r="B19" t="s">
        <v>28</v>
      </c>
      <c r="C19">
        <f t="shared" si="1"/>
        <v>7320935</v>
      </c>
      <c r="E19">
        <v>7320935</v>
      </c>
    </row>
    <row r="20" spans="1:5" x14ac:dyDescent="0.3">
      <c r="A20">
        <v>1201</v>
      </c>
      <c r="B20" t="s">
        <v>30</v>
      </c>
      <c r="C20">
        <f t="shared" si="1"/>
        <v>5353208</v>
      </c>
      <c r="E20">
        <v>5353208</v>
      </c>
    </row>
    <row r="21" spans="1:5" x14ac:dyDescent="0.3">
      <c r="A21">
        <v>1227</v>
      </c>
      <c r="B21" t="s">
        <v>182</v>
      </c>
      <c r="C21">
        <f t="shared" si="1"/>
        <v>5800745</v>
      </c>
      <c r="E21">
        <v>5800745</v>
      </c>
    </row>
    <row r="22" spans="1:5" x14ac:dyDescent="0.3">
      <c r="A22">
        <v>703</v>
      </c>
      <c r="B22" t="s">
        <v>181</v>
      </c>
      <c r="C22">
        <f t="shared" si="1"/>
        <v>644564</v>
      </c>
      <c r="E22">
        <v>644564</v>
      </c>
    </row>
    <row r="23" spans="1:5" x14ac:dyDescent="0.3">
      <c r="A23">
        <v>1011</v>
      </c>
      <c r="B23" t="s">
        <v>119</v>
      </c>
      <c r="C23">
        <f t="shared" si="1"/>
        <v>640</v>
      </c>
      <c r="E23">
        <v>640</v>
      </c>
    </row>
    <row r="24" spans="1:5" x14ac:dyDescent="0.3">
      <c r="A24">
        <v>1022</v>
      </c>
      <c r="B24" t="s">
        <v>276</v>
      </c>
      <c r="C24">
        <f t="shared" si="1"/>
        <v>2964503</v>
      </c>
      <c r="E24">
        <v>2964503</v>
      </c>
    </row>
    <row r="25" spans="1:5" x14ac:dyDescent="0.3">
      <c r="A25">
        <v>1016</v>
      </c>
      <c r="B25" t="s">
        <v>124</v>
      </c>
      <c r="C25">
        <f t="shared" si="1"/>
        <v>1280</v>
      </c>
      <c r="E25">
        <v>1280</v>
      </c>
    </row>
    <row r="26" spans="1:5" x14ac:dyDescent="0.3">
      <c r="A26">
        <v>866</v>
      </c>
      <c r="B26" t="s">
        <v>415</v>
      </c>
      <c r="C26">
        <f t="shared" si="1"/>
        <v>3878</v>
      </c>
      <c r="E26">
        <v>3878</v>
      </c>
    </row>
    <row r="27" spans="1:5" x14ac:dyDescent="0.3">
      <c r="A27" t="s">
        <v>165</v>
      </c>
      <c r="B27" t="s">
        <v>164</v>
      </c>
      <c r="C27">
        <f>SUM(C9:C26)</f>
        <v>865072667.29000008</v>
      </c>
      <c r="E27">
        <v>865072667.28999996</v>
      </c>
    </row>
    <row r="28" spans="1:5" x14ac:dyDescent="0.3">
      <c r="A28">
        <v>1054</v>
      </c>
      <c r="B28" t="s">
        <v>305</v>
      </c>
      <c r="C28">
        <f t="shared" ref="C28:C33" si="2">+E28</f>
        <v>3508237.17</v>
      </c>
      <c r="E28">
        <v>3508237.17</v>
      </c>
    </row>
    <row r="29" spans="1:5" x14ac:dyDescent="0.3">
      <c r="A29">
        <v>1508</v>
      </c>
      <c r="B29" t="s">
        <v>306</v>
      </c>
      <c r="C29">
        <f t="shared" si="2"/>
        <v>9983215.9800000004</v>
      </c>
      <c r="E29">
        <v>9983215.9800000004</v>
      </c>
    </row>
    <row r="30" spans="1:5" x14ac:dyDescent="0.3">
      <c r="A30">
        <v>726</v>
      </c>
      <c r="B30" t="s">
        <v>307</v>
      </c>
      <c r="C30">
        <f t="shared" si="2"/>
        <v>57001475.630000003</v>
      </c>
      <c r="E30">
        <v>57001475.630000003</v>
      </c>
    </row>
    <row r="31" spans="1:5" x14ac:dyDescent="0.3">
      <c r="A31">
        <v>31383</v>
      </c>
      <c r="B31" t="s">
        <v>308</v>
      </c>
      <c r="C31">
        <f t="shared" si="2"/>
        <v>81361572.290000007</v>
      </c>
      <c r="E31">
        <v>81361572.290000007</v>
      </c>
    </row>
    <row r="32" spans="1:5" ht="15.75" customHeight="1" x14ac:dyDescent="0.3">
      <c r="A32">
        <v>35552</v>
      </c>
      <c r="B32" t="s">
        <v>309</v>
      </c>
      <c r="C32">
        <f t="shared" si="2"/>
        <v>10045740.779999999</v>
      </c>
      <c r="E32">
        <v>10045740.779999999</v>
      </c>
    </row>
    <row r="33" spans="1:5" x14ac:dyDescent="0.3">
      <c r="A33">
        <v>36461</v>
      </c>
      <c r="B33" t="s">
        <v>310</v>
      </c>
      <c r="C33">
        <f t="shared" si="2"/>
        <v>155547</v>
      </c>
      <c r="E33">
        <v>155547</v>
      </c>
    </row>
    <row r="34" spans="1:5" x14ac:dyDescent="0.3">
      <c r="A34">
        <v>18670</v>
      </c>
      <c r="B34" t="s">
        <v>195</v>
      </c>
      <c r="C34">
        <f t="shared" ref="C34:C97" si="3">+E34</f>
        <v>25000388</v>
      </c>
      <c r="E34">
        <v>25000388</v>
      </c>
    </row>
    <row r="35" spans="1:5" x14ac:dyDescent="0.3">
      <c r="A35">
        <v>772</v>
      </c>
      <c r="B35" t="s">
        <v>198</v>
      </c>
      <c r="C35">
        <f t="shared" si="3"/>
        <v>639212.43999999994</v>
      </c>
      <c r="E35">
        <v>639212.43999999994</v>
      </c>
    </row>
    <row r="36" spans="1:5" x14ac:dyDescent="0.3">
      <c r="A36">
        <v>820</v>
      </c>
      <c r="B36" t="s">
        <v>69</v>
      </c>
      <c r="C36">
        <f t="shared" si="3"/>
        <v>152770</v>
      </c>
      <c r="E36">
        <v>152770</v>
      </c>
    </row>
    <row r="37" spans="1:5" x14ac:dyDescent="0.3">
      <c r="A37">
        <v>917</v>
      </c>
      <c r="B37" t="s">
        <v>44</v>
      </c>
      <c r="C37">
        <f t="shared" si="3"/>
        <v>459679.5</v>
      </c>
      <c r="E37">
        <v>459679.5</v>
      </c>
    </row>
    <row r="38" spans="1:5" x14ac:dyDescent="0.3">
      <c r="A38">
        <v>36603</v>
      </c>
      <c r="B38" t="s">
        <v>187</v>
      </c>
      <c r="C38">
        <f t="shared" si="3"/>
        <v>2949461.14</v>
      </c>
      <c r="E38">
        <v>2949461.14</v>
      </c>
    </row>
    <row r="39" spans="1:5" x14ac:dyDescent="0.3">
      <c r="A39">
        <v>36604</v>
      </c>
      <c r="B39" t="s">
        <v>188</v>
      </c>
      <c r="C39">
        <f t="shared" si="3"/>
        <v>3768745.3</v>
      </c>
      <c r="E39">
        <v>3768745.3</v>
      </c>
    </row>
    <row r="40" spans="1:5" x14ac:dyDescent="0.3">
      <c r="A40">
        <v>20335</v>
      </c>
      <c r="B40" t="s">
        <v>39</v>
      </c>
      <c r="C40">
        <f t="shared" si="3"/>
        <v>425267</v>
      </c>
      <c r="E40">
        <v>425267</v>
      </c>
    </row>
    <row r="41" spans="1:5" x14ac:dyDescent="0.3">
      <c r="A41">
        <v>33207</v>
      </c>
      <c r="B41" t="s">
        <v>454</v>
      </c>
      <c r="C41" s="30">
        <f t="shared" si="3"/>
        <v>1817</v>
      </c>
      <c r="E41">
        <v>1817</v>
      </c>
    </row>
    <row r="42" spans="1:5" x14ac:dyDescent="0.3">
      <c r="A42">
        <v>1400</v>
      </c>
      <c r="B42" t="s">
        <v>186</v>
      </c>
      <c r="C42">
        <f t="shared" si="3"/>
        <v>545811149.71000004</v>
      </c>
      <c r="E42">
        <v>545811149.71000004</v>
      </c>
    </row>
    <row r="43" spans="1:5" x14ac:dyDescent="0.3">
      <c r="A43">
        <v>875</v>
      </c>
      <c r="B43" t="s">
        <v>38</v>
      </c>
      <c r="C43">
        <f t="shared" si="3"/>
        <v>21505900.390000001</v>
      </c>
      <c r="E43">
        <v>21505900.390000001</v>
      </c>
    </row>
    <row r="44" spans="1:5" x14ac:dyDescent="0.3">
      <c r="A44">
        <v>35921</v>
      </c>
      <c r="B44" t="s">
        <v>278</v>
      </c>
      <c r="C44">
        <f t="shared" si="3"/>
        <v>8460079</v>
      </c>
      <c r="E44">
        <v>8460079</v>
      </c>
    </row>
    <row r="45" spans="1:5" x14ac:dyDescent="0.3">
      <c r="A45">
        <v>25338</v>
      </c>
      <c r="B45" t="s">
        <v>193</v>
      </c>
      <c r="C45">
        <f t="shared" si="3"/>
        <v>21784.799999999999</v>
      </c>
      <c r="E45">
        <v>21784.799999999999</v>
      </c>
    </row>
    <row r="46" spans="1:5" x14ac:dyDescent="0.3">
      <c r="A46">
        <v>36583</v>
      </c>
      <c r="B46" t="s">
        <v>200</v>
      </c>
      <c r="C46">
        <f t="shared" si="3"/>
        <v>675450.3</v>
      </c>
      <c r="E46">
        <v>675450.3</v>
      </c>
    </row>
    <row r="47" spans="1:5" x14ac:dyDescent="0.3">
      <c r="A47">
        <v>818</v>
      </c>
      <c r="B47" t="s">
        <v>47</v>
      </c>
      <c r="C47">
        <f t="shared" si="3"/>
        <v>39393.879999999997</v>
      </c>
      <c r="E47">
        <v>39393.879999999997</v>
      </c>
    </row>
    <row r="48" spans="1:5" x14ac:dyDescent="0.3">
      <c r="A48">
        <v>1612</v>
      </c>
      <c r="B48" t="s">
        <v>189</v>
      </c>
      <c r="C48">
        <f t="shared" si="3"/>
        <v>49161255.170000002</v>
      </c>
      <c r="E48">
        <v>49161255.170000002</v>
      </c>
    </row>
    <row r="49" spans="1:5" x14ac:dyDescent="0.3">
      <c r="A49">
        <v>17864</v>
      </c>
      <c r="B49" t="s">
        <v>190</v>
      </c>
      <c r="C49">
        <f t="shared" si="3"/>
        <v>2020313.7</v>
      </c>
      <c r="E49">
        <v>2020313.7</v>
      </c>
    </row>
    <row r="50" spans="1:5" x14ac:dyDescent="0.3">
      <c r="A50">
        <v>815</v>
      </c>
      <c r="B50" t="s">
        <v>40</v>
      </c>
      <c r="C50">
        <f t="shared" si="3"/>
        <v>157049.22</v>
      </c>
      <c r="E50">
        <v>157049.22</v>
      </c>
    </row>
    <row r="51" spans="1:5" x14ac:dyDescent="0.3">
      <c r="A51">
        <v>25339</v>
      </c>
      <c r="B51" t="s">
        <v>192</v>
      </c>
      <c r="C51">
        <f t="shared" si="3"/>
        <v>3748943.57</v>
      </c>
      <c r="E51">
        <v>3748943.57</v>
      </c>
    </row>
    <row r="52" spans="1:5" x14ac:dyDescent="0.3">
      <c r="A52">
        <v>810</v>
      </c>
      <c r="B52" t="s">
        <v>48</v>
      </c>
      <c r="C52">
        <f t="shared" si="3"/>
        <v>8757.24</v>
      </c>
      <c r="E52">
        <v>8757.24</v>
      </c>
    </row>
    <row r="53" spans="1:5" x14ac:dyDescent="0.3">
      <c r="A53">
        <v>16844</v>
      </c>
      <c r="B53" t="s">
        <v>43</v>
      </c>
      <c r="C53">
        <f t="shared" si="3"/>
        <v>40306.78</v>
      </c>
      <c r="E53">
        <v>40306.78</v>
      </c>
    </row>
    <row r="54" spans="1:5" x14ac:dyDescent="0.3">
      <c r="A54">
        <v>25337</v>
      </c>
      <c r="B54" t="s">
        <v>42</v>
      </c>
      <c r="C54">
        <f t="shared" si="3"/>
        <v>46565245.539999999</v>
      </c>
      <c r="E54">
        <v>46565245.539999999</v>
      </c>
    </row>
    <row r="55" spans="1:5" x14ac:dyDescent="0.3">
      <c r="A55">
        <v>30653</v>
      </c>
      <c r="B55" t="s">
        <v>191</v>
      </c>
      <c r="C55">
        <f t="shared" si="3"/>
        <v>2744904.74</v>
      </c>
      <c r="E55">
        <v>2744904.74</v>
      </c>
    </row>
    <row r="56" spans="1:5" x14ac:dyDescent="0.3">
      <c r="A56">
        <v>937</v>
      </c>
      <c r="B56" t="s">
        <v>58</v>
      </c>
      <c r="C56">
        <f t="shared" si="3"/>
        <v>4930</v>
      </c>
      <c r="E56">
        <v>4930</v>
      </c>
    </row>
    <row r="57" spans="1:5" x14ac:dyDescent="0.3">
      <c r="A57">
        <v>809</v>
      </c>
      <c r="B57" t="s">
        <v>46</v>
      </c>
      <c r="C57">
        <f t="shared" si="3"/>
        <v>231120</v>
      </c>
      <c r="E57">
        <v>231120</v>
      </c>
    </row>
    <row r="58" spans="1:5" x14ac:dyDescent="0.3">
      <c r="A58">
        <v>849</v>
      </c>
      <c r="B58" t="s">
        <v>201</v>
      </c>
      <c r="C58">
        <f t="shared" si="3"/>
        <v>709950.46</v>
      </c>
      <c r="E58">
        <v>709950.46</v>
      </c>
    </row>
    <row r="59" spans="1:5" x14ac:dyDescent="0.3">
      <c r="A59">
        <v>28769</v>
      </c>
      <c r="B59" t="s">
        <v>60</v>
      </c>
      <c r="C59">
        <f t="shared" si="3"/>
        <v>5775</v>
      </c>
      <c r="E59">
        <v>5775</v>
      </c>
    </row>
    <row r="60" spans="1:5" x14ac:dyDescent="0.3">
      <c r="A60">
        <v>970</v>
      </c>
      <c r="B60" t="s">
        <v>55</v>
      </c>
      <c r="C60">
        <f t="shared" si="3"/>
        <v>2267818.25</v>
      </c>
      <c r="E60">
        <v>2267818.25</v>
      </c>
    </row>
    <row r="61" spans="1:5" x14ac:dyDescent="0.3">
      <c r="A61">
        <v>801</v>
      </c>
      <c r="B61" t="s">
        <v>199</v>
      </c>
      <c r="C61">
        <f t="shared" si="3"/>
        <v>22676421.18</v>
      </c>
      <c r="E61">
        <v>22676421.18</v>
      </c>
    </row>
    <row r="62" spans="1:5" x14ac:dyDescent="0.3">
      <c r="A62">
        <v>23336</v>
      </c>
      <c r="B62" t="s">
        <v>100</v>
      </c>
      <c r="C62">
        <f t="shared" si="3"/>
        <v>33513.839999999997</v>
      </c>
      <c r="E62">
        <v>33513.839999999997</v>
      </c>
    </row>
    <row r="63" spans="1:5" x14ac:dyDescent="0.3">
      <c r="A63">
        <v>781</v>
      </c>
      <c r="B63" t="s">
        <v>62</v>
      </c>
      <c r="C63">
        <f t="shared" si="3"/>
        <v>35883.599999999999</v>
      </c>
      <c r="E63">
        <v>35883.599999999999</v>
      </c>
    </row>
    <row r="64" spans="1:5" x14ac:dyDescent="0.3">
      <c r="A64">
        <v>902</v>
      </c>
      <c r="B64" t="s">
        <v>45</v>
      </c>
      <c r="C64">
        <f t="shared" si="3"/>
        <v>2198</v>
      </c>
      <c r="E64">
        <v>2198</v>
      </c>
    </row>
    <row r="65" spans="1:5" x14ac:dyDescent="0.3">
      <c r="A65">
        <v>909</v>
      </c>
      <c r="B65" t="s">
        <v>16</v>
      </c>
      <c r="C65">
        <f t="shared" si="3"/>
        <v>516697.8</v>
      </c>
      <c r="E65">
        <v>516697.8</v>
      </c>
    </row>
    <row r="66" spans="1:5" x14ac:dyDescent="0.3">
      <c r="A66">
        <v>918</v>
      </c>
      <c r="B66" t="s">
        <v>13</v>
      </c>
      <c r="C66">
        <f t="shared" si="3"/>
        <v>136768</v>
      </c>
      <c r="E66">
        <v>136768</v>
      </c>
    </row>
    <row r="67" spans="1:5" x14ac:dyDescent="0.3">
      <c r="A67">
        <v>1086</v>
      </c>
      <c r="B67" t="s">
        <v>20</v>
      </c>
      <c r="C67">
        <f t="shared" si="3"/>
        <v>2520</v>
      </c>
      <c r="E67">
        <v>2520</v>
      </c>
    </row>
    <row r="68" spans="1:5" x14ac:dyDescent="0.3">
      <c r="A68">
        <v>907</v>
      </c>
      <c r="B68" t="s">
        <v>14</v>
      </c>
      <c r="C68">
        <f t="shared" si="3"/>
        <v>221073.98</v>
      </c>
      <c r="E68">
        <v>221073.98</v>
      </c>
    </row>
    <row r="69" spans="1:5" x14ac:dyDescent="0.3">
      <c r="A69">
        <v>27281</v>
      </c>
      <c r="B69" t="s">
        <v>180</v>
      </c>
      <c r="C69">
        <f t="shared" si="3"/>
        <v>172333.24</v>
      </c>
      <c r="E69">
        <v>172333.24</v>
      </c>
    </row>
    <row r="70" spans="1:5" x14ac:dyDescent="0.3">
      <c r="A70">
        <v>910</v>
      </c>
      <c r="B70" t="s">
        <v>18</v>
      </c>
      <c r="C70">
        <f t="shared" si="3"/>
        <v>203000</v>
      </c>
      <c r="E70">
        <v>203000</v>
      </c>
    </row>
    <row r="71" spans="1:5" x14ac:dyDescent="0.3">
      <c r="A71">
        <v>908</v>
      </c>
      <c r="B71" t="s">
        <v>15</v>
      </c>
      <c r="C71">
        <f t="shared" si="3"/>
        <v>544212</v>
      </c>
      <c r="E71">
        <v>544212</v>
      </c>
    </row>
    <row r="72" spans="1:5" x14ac:dyDescent="0.3">
      <c r="A72">
        <v>41940</v>
      </c>
      <c r="B72" t="s">
        <v>365</v>
      </c>
      <c r="C72">
        <f t="shared" si="3"/>
        <v>2317078</v>
      </c>
      <c r="E72">
        <v>2317078</v>
      </c>
    </row>
    <row r="73" spans="1:5" x14ac:dyDescent="0.3">
      <c r="A73">
        <v>21757</v>
      </c>
      <c r="B73" t="s">
        <v>375</v>
      </c>
      <c r="C73">
        <f t="shared" si="3"/>
        <v>4820</v>
      </c>
      <c r="E73">
        <v>4820</v>
      </c>
    </row>
    <row r="74" spans="1:5" x14ac:dyDescent="0.3">
      <c r="A74">
        <v>36614</v>
      </c>
      <c r="B74" t="s">
        <v>11</v>
      </c>
      <c r="C74">
        <f t="shared" si="3"/>
        <v>3906763.07</v>
      </c>
      <c r="E74">
        <v>3906763.07</v>
      </c>
    </row>
    <row r="75" spans="1:5" x14ac:dyDescent="0.3">
      <c r="A75">
        <v>36613</v>
      </c>
      <c r="B75" t="s">
        <v>392</v>
      </c>
      <c r="C75">
        <f t="shared" si="3"/>
        <v>7000</v>
      </c>
      <c r="E75">
        <v>7000</v>
      </c>
    </row>
    <row r="76" spans="1:5" x14ac:dyDescent="0.3">
      <c r="A76">
        <v>20336</v>
      </c>
      <c r="B76" t="s">
        <v>12</v>
      </c>
      <c r="C76">
        <f t="shared" si="3"/>
        <v>4085336.15</v>
      </c>
      <c r="E76">
        <v>4085336.15</v>
      </c>
    </row>
    <row r="77" spans="1:5" x14ac:dyDescent="0.3">
      <c r="A77">
        <v>817</v>
      </c>
      <c r="B77" t="s">
        <v>21</v>
      </c>
      <c r="C77">
        <f t="shared" si="3"/>
        <v>3275</v>
      </c>
      <c r="E77">
        <v>3275</v>
      </c>
    </row>
    <row r="78" spans="1:5" x14ac:dyDescent="0.3">
      <c r="A78">
        <v>931</v>
      </c>
      <c r="B78" t="s">
        <v>196</v>
      </c>
      <c r="C78">
        <f t="shared" si="3"/>
        <v>2290</v>
      </c>
      <c r="E78">
        <v>2290</v>
      </c>
    </row>
    <row r="79" spans="1:5" x14ac:dyDescent="0.3">
      <c r="A79">
        <v>921</v>
      </c>
      <c r="B79" t="s">
        <v>23</v>
      </c>
      <c r="C79">
        <f t="shared" si="3"/>
        <v>70000</v>
      </c>
      <c r="E79">
        <v>70000</v>
      </c>
    </row>
    <row r="80" spans="1:5" x14ac:dyDescent="0.3">
      <c r="A80">
        <v>1076</v>
      </c>
      <c r="B80" t="s">
        <v>376</v>
      </c>
      <c r="C80">
        <f t="shared" si="3"/>
        <v>88549</v>
      </c>
      <c r="E80">
        <v>88549</v>
      </c>
    </row>
    <row r="81" spans="1:5" x14ac:dyDescent="0.3">
      <c r="A81">
        <v>933</v>
      </c>
      <c r="B81" t="s">
        <v>231</v>
      </c>
      <c r="C81">
        <f t="shared" si="3"/>
        <v>576</v>
      </c>
      <c r="E81">
        <v>576</v>
      </c>
    </row>
    <row r="82" spans="1:5" x14ac:dyDescent="0.3">
      <c r="A82">
        <v>962</v>
      </c>
      <c r="B82" t="s">
        <v>61</v>
      </c>
      <c r="C82">
        <f t="shared" si="3"/>
        <v>4270540.46</v>
      </c>
      <c r="E82">
        <v>4270540.46</v>
      </c>
    </row>
    <row r="83" spans="1:5" x14ac:dyDescent="0.3">
      <c r="A83">
        <v>961</v>
      </c>
      <c r="B83" t="s">
        <v>91</v>
      </c>
      <c r="C83">
        <f t="shared" si="3"/>
        <v>3907229.49</v>
      </c>
      <c r="E83">
        <v>3907229.49</v>
      </c>
    </row>
    <row r="84" spans="1:5" x14ac:dyDescent="0.3">
      <c r="A84">
        <v>964</v>
      </c>
      <c r="B84" t="s">
        <v>63</v>
      </c>
      <c r="C84">
        <f t="shared" si="3"/>
        <v>21500</v>
      </c>
      <c r="E84">
        <v>21500</v>
      </c>
    </row>
    <row r="85" spans="1:5" x14ac:dyDescent="0.3">
      <c r="A85">
        <v>894</v>
      </c>
      <c r="B85" t="s">
        <v>70</v>
      </c>
      <c r="C85">
        <f t="shared" si="3"/>
        <v>78756</v>
      </c>
      <c r="E85">
        <v>78756</v>
      </c>
    </row>
    <row r="86" spans="1:5" x14ac:dyDescent="0.3">
      <c r="A86">
        <v>969</v>
      </c>
      <c r="B86" t="s">
        <v>64</v>
      </c>
      <c r="C86">
        <f t="shared" si="3"/>
        <v>3041.3</v>
      </c>
      <c r="E86">
        <v>3041.3</v>
      </c>
    </row>
    <row r="87" spans="1:5" x14ac:dyDescent="0.3">
      <c r="A87">
        <v>963</v>
      </c>
      <c r="B87" t="s">
        <v>92</v>
      </c>
      <c r="C87">
        <f t="shared" si="3"/>
        <v>80013.460000000006</v>
      </c>
      <c r="E87">
        <v>80013.460000000006</v>
      </c>
    </row>
    <row r="88" spans="1:5" x14ac:dyDescent="0.3">
      <c r="A88">
        <v>29063</v>
      </c>
      <c r="B88" t="s">
        <v>206</v>
      </c>
      <c r="C88">
        <f t="shared" si="3"/>
        <v>211784.23</v>
      </c>
      <c r="E88">
        <v>211784.23</v>
      </c>
    </row>
    <row r="89" spans="1:5" x14ac:dyDescent="0.3">
      <c r="A89">
        <v>16578</v>
      </c>
      <c r="B89" t="s">
        <v>104</v>
      </c>
      <c r="C89">
        <f t="shared" si="3"/>
        <v>134791.57999999999</v>
      </c>
      <c r="E89">
        <v>134791.57999999999</v>
      </c>
    </row>
    <row r="90" spans="1:5" x14ac:dyDescent="0.3">
      <c r="A90">
        <v>915</v>
      </c>
      <c r="B90" t="s">
        <v>65</v>
      </c>
      <c r="C90">
        <f t="shared" si="3"/>
        <v>2500</v>
      </c>
      <c r="E90">
        <v>2500</v>
      </c>
    </row>
    <row r="91" spans="1:5" x14ac:dyDescent="0.3">
      <c r="A91">
        <v>496</v>
      </c>
      <c r="B91" t="s">
        <v>204</v>
      </c>
      <c r="C91">
        <f t="shared" si="3"/>
        <v>121697.75</v>
      </c>
      <c r="E91">
        <v>121697.75</v>
      </c>
    </row>
    <row r="92" spans="1:5" x14ac:dyDescent="0.3">
      <c r="A92">
        <v>821</v>
      </c>
      <c r="B92" t="s">
        <v>113</v>
      </c>
      <c r="C92">
        <f t="shared" si="3"/>
        <v>1963130</v>
      </c>
      <c r="E92">
        <v>1963130</v>
      </c>
    </row>
    <row r="93" spans="1:5" x14ac:dyDescent="0.3">
      <c r="A93">
        <v>904</v>
      </c>
      <c r="B93" t="s">
        <v>67</v>
      </c>
      <c r="C93">
        <f t="shared" si="3"/>
        <v>338236</v>
      </c>
      <c r="E93">
        <v>338236</v>
      </c>
    </row>
    <row r="94" spans="1:5" x14ac:dyDescent="0.3">
      <c r="A94">
        <v>932</v>
      </c>
      <c r="B94" t="s">
        <v>54</v>
      </c>
      <c r="C94">
        <f t="shared" si="3"/>
        <v>674175.44</v>
      </c>
      <c r="E94">
        <v>674175.44</v>
      </c>
    </row>
    <row r="95" spans="1:5" x14ac:dyDescent="0.3">
      <c r="A95">
        <v>20113</v>
      </c>
      <c r="B95" t="s">
        <v>223</v>
      </c>
      <c r="C95">
        <f t="shared" si="3"/>
        <v>326252</v>
      </c>
      <c r="E95">
        <v>326252</v>
      </c>
    </row>
    <row r="96" spans="1:5" x14ac:dyDescent="0.3">
      <c r="A96">
        <v>1101</v>
      </c>
      <c r="B96" t="s">
        <v>229</v>
      </c>
      <c r="C96">
        <f t="shared" si="3"/>
        <v>12100</v>
      </c>
      <c r="E96">
        <v>12100</v>
      </c>
    </row>
    <row r="97" spans="1:5" x14ac:dyDescent="0.3">
      <c r="A97">
        <v>854</v>
      </c>
      <c r="B97" t="s">
        <v>205</v>
      </c>
      <c r="C97">
        <f t="shared" si="3"/>
        <v>1671868</v>
      </c>
      <c r="E97">
        <v>1671868</v>
      </c>
    </row>
    <row r="98" spans="1:5" x14ac:dyDescent="0.3">
      <c r="A98">
        <v>984</v>
      </c>
      <c r="B98" t="s">
        <v>234</v>
      </c>
      <c r="C98">
        <f t="shared" ref="C98:C151" si="4">+E98</f>
        <v>590928</v>
      </c>
      <c r="E98">
        <v>590928</v>
      </c>
    </row>
    <row r="99" spans="1:5" x14ac:dyDescent="0.3">
      <c r="A99">
        <v>983</v>
      </c>
      <c r="B99" t="s">
        <v>95</v>
      </c>
      <c r="C99">
        <f t="shared" si="4"/>
        <v>3590684.94</v>
      </c>
      <c r="E99">
        <v>3590684.94</v>
      </c>
    </row>
    <row r="100" spans="1:5" x14ac:dyDescent="0.3">
      <c r="A100">
        <v>35339</v>
      </c>
      <c r="B100" t="s">
        <v>224</v>
      </c>
      <c r="C100">
        <f t="shared" si="4"/>
        <v>4520</v>
      </c>
      <c r="E100">
        <v>4520</v>
      </c>
    </row>
    <row r="101" spans="1:5" x14ac:dyDescent="0.3">
      <c r="A101">
        <v>1074</v>
      </c>
      <c r="B101" t="s">
        <v>202</v>
      </c>
      <c r="C101">
        <f t="shared" si="4"/>
        <v>1347273.5</v>
      </c>
      <c r="E101">
        <v>1347273.5</v>
      </c>
    </row>
    <row r="102" spans="1:5" x14ac:dyDescent="0.3">
      <c r="A102">
        <v>951</v>
      </c>
      <c r="B102" t="s">
        <v>311</v>
      </c>
      <c r="C102">
        <f t="shared" si="4"/>
        <v>220000</v>
      </c>
      <c r="E102">
        <v>220000</v>
      </c>
    </row>
    <row r="103" spans="1:5" x14ac:dyDescent="0.3">
      <c r="A103">
        <v>929</v>
      </c>
      <c r="B103" t="s">
        <v>101</v>
      </c>
      <c r="C103" s="30">
        <f t="shared" si="4"/>
        <v>10259.34</v>
      </c>
      <c r="E103">
        <v>10259.34</v>
      </c>
    </row>
    <row r="104" spans="1:5" x14ac:dyDescent="0.3">
      <c r="A104">
        <v>926</v>
      </c>
      <c r="B104" t="s">
        <v>207</v>
      </c>
      <c r="C104">
        <f t="shared" si="4"/>
        <v>3139917.48</v>
      </c>
      <c r="E104">
        <v>3139917.48</v>
      </c>
    </row>
    <row r="105" spans="1:5" x14ac:dyDescent="0.3">
      <c r="A105">
        <v>934</v>
      </c>
      <c r="B105" t="s">
        <v>103</v>
      </c>
      <c r="C105">
        <f t="shared" si="4"/>
        <v>-66367.100000000006</v>
      </c>
      <c r="E105">
        <v>-66367.100000000006</v>
      </c>
    </row>
    <row r="106" spans="1:5" x14ac:dyDescent="0.3">
      <c r="A106">
        <v>811</v>
      </c>
      <c r="B106" t="s">
        <v>56</v>
      </c>
      <c r="C106">
        <f t="shared" si="4"/>
        <v>17490</v>
      </c>
      <c r="E106">
        <v>17490</v>
      </c>
    </row>
    <row r="107" spans="1:5" x14ac:dyDescent="0.3">
      <c r="A107">
        <v>685</v>
      </c>
      <c r="B107" t="s">
        <v>97</v>
      </c>
      <c r="C107">
        <f t="shared" si="4"/>
        <v>55606.04</v>
      </c>
      <c r="E107">
        <v>55606.04</v>
      </c>
    </row>
    <row r="108" spans="1:5" x14ac:dyDescent="0.3">
      <c r="A108">
        <v>920</v>
      </c>
      <c r="B108" t="s">
        <v>153</v>
      </c>
      <c r="C108">
        <f t="shared" si="4"/>
        <v>499724.5</v>
      </c>
      <c r="E108">
        <v>499724.5</v>
      </c>
    </row>
    <row r="109" spans="1:5" x14ac:dyDescent="0.3">
      <c r="A109">
        <v>936</v>
      </c>
      <c r="B109" t="s">
        <v>225</v>
      </c>
      <c r="C109">
        <f t="shared" si="4"/>
        <v>42038.1</v>
      </c>
      <c r="E109">
        <v>42038.1</v>
      </c>
    </row>
    <row r="110" spans="1:5" x14ac:dyDescent="0.3">
      <c r="A110">
        <v>812</v>
      </c>
      <c r="B110" t="s">
        <v>90</v>
      </c>
      <c r="C110">
        <f t="shared" si="4"/>
        <v>982544.78</v>
      </c>
      <c r="E110">
        <v>982544.78</v>
      </c>
    </row>
    <row r="111" spans="1:5" x14ac:dyDescent="0.3">
      <c r="A111">
        <v>1110</v>
      </c>
      <c r="B111" t="s">
        <v>102</v>
      </c>
      <c r="C111">
        <f t="shared" si="4"/>
        <v>121336</v>
      </c>
      <c r="E111">
        <v>121336</v>
      </c>
    </row>
    <row r="112" spans="1:5" x14ac:dyDescent="0.3">
      <c r="A112">
        <v>930</v>
      </c>
      <c r="B112" t="s">
        <v>96</v>
      </c>
      <c r="C112">
        <f t="shared" si="4"/>
        <v>16050</v>
      </c>
      <c r="E112">
        <v>16050</v>
      </c>
    </row>
    <row r="113" spans="1:5" x14ac:dyDescent="0.3">
      <c r="A113">
        <v>1021</v>
      </c>
      <c r="B113" t="s">
        <v>57</v>
      </c>
      <c r="C113">
        <f t="shared" si="4"/>
        <v>10.23</v>
      </c>
      <c r="E113">
        <v>10.23</v>
      </c>
    </row>
    <row r="114" spans="1:5" x14ac:dyDescent="0.3">
      <c r="A114">
        <v>10000</v>
      </c>
      <c r="B114" t="s">
        <v>68</v>
      </c>
      <c r="C114">
        <f t="shared" si="4"/>
        <v>65000</v>
      </c>
      <c r="E114">
        <v>65000</v>
      </c>
    </row>
    <row r="115" spans="1:5" x14ac:dyDescent="0.3">
      <c r="A115">
        <v>935</v>
      </c>
      <c r="B115" t="s">
        <v>228</v>
      </c>
      <c r="C115">
        <f t="shared" si="4"/>
        <v>33116</v>
      </c>
      <c r="E115">
        <v>33116</v>
      </c>
    </row>
    <row r="116" spans="1:5" x14ac:dyDescent="0.3">
      <c r="A116">
        <v>882</v>
      </c>
      <c r="B116" t="s">
        <v>216</v>
      </c>
      <c r="C116">
        <f t="shared" si="4"/>
        <v>475626</v>
      </c>
      <c r="E116">
        <v>475626</v>
      </c>
    </row>
    <row r="117" spans="1:5" x14ac:dyDescent="0.3">
      <c r="A117">
        <v>862</v>
      </c>
      <c r="B117" t="s">
        <v>79</v>
      </c>
      <c r="C117">
        <f t="shared" si="4"/>
        <v>58599</v>
      </c>
      <c r="E117">
        <v>58599</v>
      </c>
    </row>
    <row r="118" spans="1:5" x14ac:dyDescent="0.3">
      <c r="A118">
        <v>948</v>
      </c>
      <c r="B118" t="s">
        <v>72</v>
      </c>
      <c r="C118">
        <f t="shared" si="4"/>
        <v>7689760</v>
      </c>
      <c r="E118">
        <v>7689760</v>
      </c>
    </row>
    <row r="119" spans="1:5" x14ac:dyDescent="0.3">
      <c r="A119">
        <v>855</v>
      </c>
      <c r="B119" t="s">
        <v>73</v>
      </c>
      <c r="C119">
        <f t="shared" si="4"/>
        <v>3214630</v>
      </c>
      <c r="E119">
        <v>3214630</v>
      </c>
    </row>
    <row r="120" spans="1:5" x14ac:dyDescent="0.3">
      <c r="A120">
        <v>874</v>
      </c>
      <c r="B120" t="s">
        <v>393</v>
      </c>
      <c r="C120">
        <f t="shared" si="4"/>
        <v>15604</v>
      </c>
      <c r="E120">
        <v>15604</v>
      </c>
    </row>
    <row r="121" spans="1:5" x14ac:dyDescent="0.3">
      <c r="A121">
        <v>853</v>
      </c>
      <c r="B121" t="s">
        <v>74</v>
      </c>
      <c r="C121">
        <f t="shared" si="4"/>
        <v>9964785</v>
      </c>
      <c r="E121">
        <v>9964785</v>
      </c>
    </row>
    <row r="122" spans="1:5" x14ac:dyDescent="0.3">
      <c r="A122">
        <v>848</v>
      </c>
      <c r="B122" t="s">
        <v>235</v>
      </c>
      <c r="C122">
        <f t="shared" si="4"/>
        <v>57725</v>
      </c>
      <c r="E122">
        <v>57725</v>
      </c>
    </row>
    <row r="123" spans="1:5" x14ac:dyDescent="0.3">
      <c r="A123">
        <v>856</v>
      </c>
      <c r="B123" t="s">
        <v>80</v>
      </c>
      <c r="C123">
        <f t="shared" si="4"/>
        <v>215837</v>
      </c>
      <c r="E123">
        <v>215837</v>
      </c>
    </row>
    <row r="124" spans="1:5" x14ac:dyDescent="0.3">
      <c r="A124">
        <v>857</v>
      </c>
      <c r="B124" t="s">
        <v>76</v>
      </c>
      <c r="C124">
        <f t="shared" si="4"/>
        <v>24290</v>
      </c>
      <c r="E124">
        <v>24290</v>
      </c>
    </row>
    <row r="125" spans="1:5" x14ac:dyDescent="0.3">
      <c r="A125">
        <v>975</v>
      </c>
      <c r="B125" t="s">
        <v>77</v>
      </c>
      <c r="C125">
        <f t="shared" si="4"/>
        <v>32112</v>
      </c>
      <c r="E125">
        <v>32112</v>
      </c>
    </row>
    <row r="126" spans="1:5" x14ac:dyDescent="0.3">
      <c r="A126">
        <v>10208</v>
      </c>
      <c r="B126" t="s">
        <v>78</v>
      </c>
      <c r="C126">
        <f t="shared" si="4"/>
        <v>963444</v>
      </c>
      <c r="E126">
        <v>963444</v>
      </c>
    </row>
    <row r="127" spans="1:5" x14ac:dyDescent="0.3">
      <c r="A127">
        <v>863</v>
      </c>
      <c r="B127" t="s">
        <v>218</v>
      </c>
      <c r="C127">
        <f t="shared" si="4"/>
        <v>-1371</v>
      </c>
      <c r="E127">
        <v>-1371</v>
      </c>
    </row>
    <row r="128" spans="1:5" x14ac:dyDescent="0.3">
      <c r="A128">
        <v>31408</v>
      </c>
      <c r="B128" t="s">
        <v>227</v>
      </c>
      <c r="C128">
        <f t="shared" si="4"/>
        <v>-2590</v>
      </c>
      <c r="E128">
        <v>-2590</v>
      </c>
    </row>
    <row r="129" spans="1:8" x14ac:dyDescent="0.3">
      <c r="A129">
        <v>718</v>
      </c>
      <c r="B129" t="s">
        <v>217</v>
      </c>
      <c r="C129">
        <f t="shared" si="4"/>
        <v>954018</v>
      </c>
      <c r="E129">
        <v>954018</v>
      </c>
    </row>
    <row r="130" spans="1:8" x14ac:dyDescent="0.3">
      <c r="A130">
        <v>851</v>
      </c>
      <c r="B130" t="s">
        <v>81</v>
      </c>
      <c r="C130">
        <f t="shared" si="4"/>
        <v>94586620</v>
      </c>
      <c r="E130">
        <v>94586620</v>
      </c>
    </row>
    <row r="131" spans="1:8" x14ac:dyDescent="0.3">
      <c r="A131">
        <v>852</v>
      </c>
      <c r="B131" t="s">
        <v>215</v>
      </c>
      <c r="C131">
        <f t="shared" si="4"/>
        <v>312704</v>
      </c>
      <c r="E131">
        <v>312704</v>
      </c>
    </row>
    <row r="132" spans="1:8" x14ac:dyDescent="0.3">
      <c r="A132">
        <v>881</v>
      </c>
      <c r="B132" t="s">
        <v>210</v>
      </c>
      <c r="C132">
        <f t="shared" si="4"/>
        <v>1696</v>
      </c>
      <c r="E132">
        <v>1696</v>
      </c>
    </row>
    <row r="133" spans="1:8" x14ac:dyDescent="0.3">
      <c r="A133">
        <v>689</v>
      </c>
      <c r="B133" t="s">
        <v>75</v>
      </c>
      <c r="C133">
        <f t="shared" si="4"/>
        <v>1949475</v>
      </c>
      <c r="E133">
        <v>1949475</v>
      </c>
    </row>
    <row r="134" spans="1:8" x14ac:dyDescent="0.3">
      <c r="A134">
        <v>1325</v>
      </c>
      <c r="B134" t="s">
        <v>98</v>
      </c>
      <c r="C134">
        <f t="shared" si="4"/>
        <v>31972949</v>
      </c>
      <c r="E134">
        <v>31972949</v>
      </c>
    </row>
    <row r="135" spans="1:8" x14ac:dyDescent="0.3">
      <c r="A135">
        <v>11722</v>
      </c>
      <c r="B135" t="s">
        <v>211</v>
      </c>
      <c r="C135">
        <f t="shared" si="4"/>
        <v>1289</v>
      </c>
      <c r="E135">
        <v>1289</v>
      </c>
    </row>
    <row r="136" spans="1:8" x14ac:dyDescent="0.3">
      <c r="A136">
        <v>39011</v>
      </c>
      <c r="B136" t="s">
        <v>83</v>
      </c>
      <c r="C136">
        <f t="shared" si="4"/>
        <v>2154372</v>
      </c>
      <c r="E136">
        <v>2154372</v>
      </c>
    </row>
    <row r="137" spans="1:8" x14ac:dyDescent="0.3">
      <c r="A137">
        <v>38580</v>
      </c>
      <c r="B137" t="s">
        <v>82</v>
      </c>
      <c r="C137">
        <f t="shared" si="4"/>
        <v>8055638</v>
      </c>
      <c r="E137">
        <v>8055638</v>
      </c>
    </row>
    <row r="138" spans="1:8" x14ac:dyDescent="0.3">
      <c r="A138">
        <v>39010</v>
      </c>
      <c r="B138" t="s">
        <v>85</v>
      </c>
      <c r="C138">
        <f t="shared" si="4"/>
        <v>-65875</v>
      </c>
      <c r="E138">
        <v>-65875</v>
      </c>
    </row>
    <row r="139" spans="1:8" x14ac:dyDescent="0.3">
      <c r="A139">
        <v>38579</v>
      </c>
      <c r="B139" t="s">
        <v>86</v>
      </c>
      <c r="C139">
        <f t="shared" si="4"/>
        <v>-1088773</v>
      </c>
      <c r="E139">
        <v>-1088773</v>
      </c>
    </row>
    <row r="140" spans="1:8" x14ac:dyDescent="0.3">
      <c r="A140">
        <v>872</v>
      </c>
      <c r="B140" t="s">
        <v>87</v>
      </c>
      <c r="C140">
        <f t="shared" si="4"/>
        <v>147625</v>
      </c>
      <c r="E140">
        <v>147625</v>
      </c>
    </row>
    <row r="141" spans="1:8" x14ac:dyDescent="0.3">
      <c r="A141">
        <v>868</v>
      </c>
      <c r="B141" t="s">
        <v>88</v>
      </c>
      <c r="C141">
        <f t="shared" si="4"/>
        <v>650043</v>
      </c>
      <c r="E141">
        <v>650043</v>
      </c>
    </row>
    <row r="142" spans="1:8" x14ac:dyDescent="0.3">
      <c r="A142">
        <v>675</v>
      </c>
      <c r="B142" t="s">
        <v>99</v>
      </c>
      <c r="C142">
        <f t="shared" si="4"/>
        <v>188000</v>
      </c>
      <c r="E142">
        <v>188000</v>
      </c>
    </row>
    <row r="143" spans="1:8" x14ac:dyDescent="0.3">
      <c r="A143">
        <v>1107</v>
      </c>
      <c r="B143" t="s">
        <v>105</v>
      </c>
      <c r="C143">
        <f t="shared" si="4"/>
        <v>232119</v>
      </c>
      <c r="E143">
        <v>232119</v>
      </c>
      <c r="H143">
        <f>+'Profit Loss-Amravati-25-26'!S190+SUM(C28:C151)-SUM(C9:C26)-C41</f>
        <v>106270098.87718129</v>
      </c>
    </row>
    <row r="144" spans="1:8" x14ac:dyDescent="0.3">
      <c r="A144">
        <v>859</v>
      </c>
      <c r="B144" t="s">
        <v>220</v>
      </c>
      <c r="C144">
        <f t="shared" si="4"/>
        <v>119865</v>
      </c>
      <c r="E144">
        <v>119865</v>
      </c>
    </row>
    <row r="145" spans="1:6" x14ac:dyDescent="0.3">
      <c r="A145">
        <v>858</v>
      </c>
      <c r="B145" t="s">
        <v>89</v>
      </c>
      <c r="C145">
        <f t="shared" si="4"/>
        <v>1433653.36</v>
      </c>
      <c r="E145">
        <v>1433653.36</v>
      </c>
    </row>
    <row r="146" spans="1:6" x14ac:dyDescent="0.3">
      <c r="A146">
        <v>870</v>
      </c>
      <c r="B146" t="s">
        <v>221</v>
      </c>
      <c r="C146">
        <f t="shared" si="4"/>
        <v>296764.3</v>
      </c>
      <c r="E146">
        <v>296764.3</v>
      </c>
    </row>
    <row r="147" spans="1:6" x14ac:dyDescent="0.3">
      <c r="A147">
        <v>981</v>
      </c>
      <c r="B147" t="s">
        <v>109</v>
      </c>
      <c r="C147">
        <f t="shared" si="4"/>
        <v>486035.33</v>
      </c>
      <c r="E147">
        <v>486035.33</v>
      </c>
    </row>
    <row r="148" spans="1:6" x14ac:dyDescent="0.3">
      <c r="A148">
        <v>974</v>
      </c>
      <c r="B148" t="s">
        <v>94</v>
      </c>
      <c r="C148">
        <f t="shared" si="4"/>
        <v>699</v>
      </c>
      <c r="E148">
        <v>699</v>
      </c>
    </row>
    <row r="149" spans="1:6" x14ac:dyDescent="0.3">
      <c r="A149">
        <v>1214</v>
      </c>
      <c r="B149" t="s">
        <v>106</v>
      </c>
      <c r="C149">
        <f t="shared" si="4"/>
        <v>16000</v>
      </c>
      <c r="E149">
        <v>16000</v>
      </c>
    </row>
    <row r="150" spans="1:6" x14ac:dyDescent="0.3">
      <c r="A150">
        <v>25273</v>
      </c>
      <c r="B150" t="s">
        <v>112</v>
      </c>
      <c r="C150">
        <f t="shared" si="4"/>
        <v>1875870.41</v>
      </c>
      <c r="E150">
        <v>1875870.41</v>
      </c>
    </row>
    <row r="151" spans="1:6" x14ac:dyDescent="0.3">
      <c r="A151">
        <v>986</v>
      </c>
      <c r="B151" t="s">
        <v>114</v>
      </c>
      <c r="C151">
        <f t="shared" si="4"/>
        <v>1583</v>
      </c>
      <c r="E151">
        <v>1583</v>
      </c>
    </row>
    <row r="152" spans="1:6" x14ac:dyDescent="0.3">
      <c r="A152" t="s">
        <v>162</v>
      </c>
      <c r="B152" t="s">
        <v>246</v>
      </c>
      <c r="C152">
        <f>SUM(C28:C151)</f>
        <v>1106142134.76</v>
      </c>
      <c r="D152" t="s">
        <v>145</v>
      </c>
      <c r="F152">
        <f>+C27-C152</f>
        <v>-241069467.46999991</v>
      </c>
    </row>
    <row r="153" spans="1:6" x14ac:dyDescent="0.3">
      <c r="A153" t="s">
        <v>167</v>
      </c>
      <c r="B153" t="s">
        <v>168</v>
      </c>
      <c r="C153">
        <v>1106142134</v>
      </c>
      <c r="D153">
        <v>76</v>
      </c>
    </row>
    <row r="154" spans="1:6" x14ac:dyDescent="0.3">
      <c r="A154" t="s">
        <v>162</v>
      </c>
      <c r="B154" t="s">
        <v>246</v>
      </c>
      <c r="C154" t="s">
        <v>241</v>
      </c>
      <c r="D154" t="s">
        <v>145</v>
      </c>
    </row>
    <row r="156" spans="1:6" x14ac:dyDescent="0.3">
      <c r="A156" t="s">
        <v>169</v>
      </c>
      <c r="B156" t="s">
        <v>457</v>
      </c>
      <c r="C156">
        <v>67.47</v>
      </c>
    </row>
    <row r="158" spans="1:6" x14ac:dyDescent="0.3">
      <c r="A158" t="s">
        <v>171</v>
      </c>
      <c r="B158" t="s">
        <v>249</v>
      </c>
      <c r="C158" t="s">
        <v>242</v>
      </c>
      <c r="D158" t="s">
        <v>155</v>
      </c>
    </row>
    <row r="159" spans="1:6" x14ac:dyDescent="0.3">
      <c r="A159" t="s">
        <v>156</v>
      </c>
      <c r="B159" t="s">
        <v>455</v>
      </c>
      <c r="D159" t="s">
        <v>368</v>
      </c>
    </row>
    <row r="160" spans="1:6" x14ac:dyDescent="0.3">
      <c r="A160" t="s">
        <v>157</v>
      </c>
    </row>
  </sheetData>
  <autoFilter ref="A7:C156" xr:uid="{63ABEADC-B9FB-4E09-84F0-728F5D1007F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DE00-33C4-43EC-BFC1-8AD194EAB80C}">
  <dimension ref="A1:H164"/>
  <sheetViews>
    <sheetView workbookViewId="0">
      <selection activeCell="B3" sqref="B3"/>
    </sheetView>
  </sheetViews>
  <sheetFormatPr defaultRowHeight="14.4" x14ac:dyDescent="0.3"/>
  <cols>
    <col min="2" max="2" width="39.33203125" customWidth="1"/>
    <col min="3" max="5" width="23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240</v>
      </c>
      <c r="D2" t="s">
        <v>143</v>
      </c>
    </row>
    <row r="3" spans="1:5" x14ac:dyDescent="0.3">
      <c r="A3" t="s">
        <v>141</v>
      </c>
      <c r="B3" t="s">
        <v>244</v>
      </c>
      <c r="C3" t="s">
        <v>414</v>
      </c>
      <c r="D3" t="s">
        <v>143</v>
      </c>
    </row>
    <row r="4" spans="1:5" x14ac:dyDescent="0.3">
      <c r="A4" t="s">
        <v>162</v>
      </c>
      <c r="B4" t="s">
        <v>246</v>
      </c>
      <c r="C4" t="s">
        <v>241</v>
      </c>
      <c r="D4" t="s">
        <v>144</v>
      </c>
      <c r="E4" t="s">
        <v>144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162</v>
      </c>
      <c r="B7" t="s">
        <v>246</v>
      </c>
      <c r="C7" t="s">
        <v>241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 t="s">
        <v>4</v>
      </c>
      <c r="C9" s="2">
        <f>+'Profit Loss-Amravati-25-26'!Q190-SUM(C10:C25)+SUM(C27:C147)</f>
        <v>115771406.46000028</v>
      </c>
    </row>
    <row r="10" spans="1:5" x14ac:dyDescent="0.3">
      <c r="A10">
        <v>21686</v>
      </c>
      <c r="B10" t="s">
        <v>176</v>
      </c>
      <c r="C10">
        <f t="shared" ref="C10:C25" si="0">+E10</f>
        <v>84681620</v>
      </c>
      <c r="E10">
        <v>84681620</v>
      </c>
    </row>
    <row r="11" spans="1:5" x14ac:dyDescent="0.3">
      <c r="A11">
        <v>1677</v>
      </c>
      <c r="B11" t="s">
        <v>402</v>
      </c>
      <c r="C11">
        <f t="shared" si="0"/>
        <v>150117512</v>
      </c>
      <c r="E11">
        <v>150117512</v>
      </c>
    </row>
    <row r="12" spans="1:5" x14ac:dyDescent="0.3">
      <c r="A12">
        <v>701</v>
      </c>
      <c r="B12" t="s">
        <v>178</v>
      </c>
      <c r="C12">
        <f t="shared" si="0"/>
        <v>471500.01</v>
      </c>
      <c r="E12">
        <v>471500.01</v>
      </c>
    </row>
    <row r="13" spans="1:5" x14ac:dyDescent="0.3">
      <c r="A13">
        <v>16905</v>
      </c>
      <c r="B13" t="s">
        <v>177</v>
      </c>
      <c r="C13">
        <f t="shared" si="0"/>
        <v>518267993.33999997</v>
      </c>
      <c r="E13">
        <v>518267993.33999997</v>
      </c>
    </row>
    <row r="14" spans="1:5" x14ac:dyDescent="0.3">
      <c r="A14">
        <v>26282</v>
      </c>
      <c r="B14" t="s">
        <v>247</v>
      </c>
      <c r="C14">
        <f t="shared" si="0"/>
        <v>21860</v>
      </c>
      <c r="E14">
        <v>21860</v>
      </c>
    </row>
    <row r="15" spans="1:5" x14ac:dyDescent="0.3">
      <c r="A15">
        <v>35115</v>
      </c>
      <c r="B15" t="s">
        <v>179</v>
      </c>
      <c r="C15">
        <f t="shared" si="0"/>
        <v>7995966</v>
      </c>
      <c r="E15">
        <v>7995966</v>
      </c>
    </row>
    <row r="16" spans="1:5" x14ac:dyDescent="0.3">
      <c r="A16">
        <v>35116</v>
      </c>
      <c r="B16" t="s">
        <v>345</v>
      </c>
      <c r="C16">
        <f t="shared" si="0"/>
        <v>2821225</v>
      </c>
      <c r="E16">
        <v>2821225</v>
      </c>
    </row>
    <row r="17" spans="1:5" x14ac:dyDescent="0.3">
      <c r="A17">
        <v>1015</v>
      </c>
      <c r="B17" t="s">
        <v>120</v>
      </c>
      <c r="C17">
        <f t="shared" si="0"/>
        <v>1410169.94</v>
      </c>
      <c r="E17">
        <v>1410169.94</v>
      </c>
    </row>
    <row r="18" spans="1:5" x14ac:dyDescent="0.3">
      <c r="A18">
        <v>1002</v>
      </c>
      <c r="B18" t="s">
        <v>28</v>
      </c>
      <c r="C18">
        <f t="shared" si="0"/>
        <v>6259301</v>
      </c>
      <c r="E18">
        <v>6259301</v>
      </c>
    </row>
    <row r="19" spans="1:5" x14ac:dyDescent="0.3">
      <c r="A19">
        <v>1201</v>
      </c>
      <c r="B19" t="s">
        <v>30</v>
      </c>
      <c r="C19">
        <f t="shared" si="0"/>
        <v>2886112</v>
      </c>
      <c r="E19">
        <v>2886112</v>
      </c>
    </row>
    <row r="20" spans="1:5" x14ac:dyDescent="0.3">
      <c r="A20">
        <v>1227</v>
      </c>
      <c r="B20" t="s">
        <v>182</v>
      </c>
      <c r="C20">
        <f t="shared" si="0"/>
        <v>5026115</v>
      </c>
      <c r="E20">
        <v>5026115</v>
      </c>
    </row>
    <row r="21" spans="1:5" x14ac:dyDescent="0.3">
      <c r="A21">
        <v>703</v>
      </c>
      <c r="B21" t="s">
        <v>181</v>
      </c>
      <c r="C21">
        <f t="shared" si="0"/>
        <v>627514</v>
      </c>
      <c r="E21">
        <v>627514</v>
      </c>
    </row>
    <row r="22" spans="1:5" x14ac:dyDescent="0.3">
      <c r="A22">
        <v>1011</v>
      </c>
      <c r="B22" t="s">
        <v>119</v>
      </c>
      <c r="C22">
        <f t="shared" si="0"/>
        <v>640</v>
      </c>
      <c r="E22">
        <v>640</v>
      </c>
    </row>
    <row r="23" spans="1:5" x14ac:dyDescent="0.3">
      <c r="A23">
        <v>1022</v>
      </c>
      <c r="B23" t="s">
        <v>276</v>
      </c>
      <c r="C23">
        <f t="shared" si="0"/>
        <v>2964503</v>
      </c>
      <c r="E23">
        <v>2964503</v>
      </c>
    </row>
    <row r="24" spans="1:5" x14ac:dyDescent="0.3">
      <c r="A24">
        <v>1016</v>
      </c>
      <c r="B24" t="s">
        <v>124</v>
      </c>
      <c r="C24">
        <f t="shared" si="0"/>
        <v>1280</v>
      </c>
      <c r="E24">
        <v>1280</v>
      </c>
    </row>
    <row r="25" spans="1:5" x14ac:dyDescent="0.3">
      <c r="A25">
        <v>866</v>
      </c>
      <c r="B25" t="s">
        <v>415</v>
      </c>
      <c r="C25">
        <f t="shared" si="0"/>
        <v>3878</v>
      </c>
      <c r="E25">
        <v>3878</v>
      </c>
    </row>
    <row r="26" spans="1:5" x14ac:dyDescent="0.3">
      <c r="A26" t="s">
        <v>165</v>
      </c>
      <c r="B26" t="s">
        <v>164</v>
      </c>
      <c r="E26">
        <v>783557189.28999996</v>
      </c>
    </row>
    <row r="27" spans="1:5" x14ac:dyDescent="0.3">
      <c r="A27">
        <v>1054</v>
      </c>
      <c r="B27" t="s">
        <v>305</v>
      </c>
      <c r="C27">
        <f t="shared" ref="C27:C58" si="1">+E27</f>
        <v>3508237.17</v>
      </c>
      <c r="E27">
        <v>3508237.17</v>
      </c>
    </row>
    <row r="28" spans="1:5" x14ac:dyDescent="0.3">
      <c r="A28">
        <v>1508</v>
      </c>
      <c r="B28" t="s">
        <v>306</v>
      </c>
      <c r="C28">
        <f t="shared" si="1"/>
        <v>9983215.9800000004</v>
      </c>
      <c r="E28">
        <v>9983215.9800000004</v>
      </c>
    </row>
    <row r="29" spans="1:5" x14ac:dyDescent="0.3">
      <c r="A29">
        <v>726</v>
      </c>
      <c r="B29" t="s">
        <v>307</v>
      </c>
      <c r="C29">
        <f t="shared" si="1"/>
        <v>57001475.630000003</v>
      </c>
      <c r="E29">
        <v>57001475.630000003</v>
      </c>
    </row>
    <row r="30" spans="1:5" x14ac:dyDescent="0.3">
      <c r="A30">
        <v>31383</v>
      </c>
      <c r="B30" t="s">
        <v>308</v>
      </c>
      <c r="C30">
        <f t="shared" si="1"/>
        <v>81361572.290000007</v>
      </c>
      <c r="E30">
        <v>81361572.290000007</v>
      </c>
    </row>
    <row r="31" spans="1:5" x14ac:dyDescent="0.3">
      <c r="A31">
        <v>35552</v>
      </c>
      <c r="B31" t="s">
        <v>309</v>
      </c>
      <c r="C31">
        <f t="shared" si="1"/>
        <v>10045740.779999999</v>
      </c>
      <c r="E31">
        <v>10045740.779999999</v>
      </c>
    </row>
    <row r="32" spans="1:5" x14ac:dyDescent="0.3">
      <c r="A32">
        <v>36461</v>
      </c>
      <c r="B32" t="s">
        <v>310</v>
      </c>
      <c r="C32">
        <f t="shared" si="1"/>
        <v>155547</v>
      </c>
      <c r="E32">
        <v>155547</v>
      </c>
    </row>
    <row r="33" spans="1:5" x14ac:dyDescent="0.3">
      <c r="A33">
        <v>18670</v>
      </c>
      <c r="B33" t="s">
        <v>195</v>
      </c>
      <c r="C33">
        <f t="shared" si="1"/>
        <v>21712831</v>
      </c>
      <c r="E33">
        <v>21712831</v>
      </c>
    </row>
    <row r="34" spans="1:5" x14ac:dyDescent="0.3">
      <c r="A34">
        <v>772</v>
      </c>
      <c r="B34" t="s">
        <v>198</v>
      </c>
      <c r="C34">
        <f t="shared" si="1"/>
        <v>603849.48</v>
      </c>
      <c r="E34">
        <v>603849.48</v>
      </c>
    </row>
    <row r="35" spans="1:5" x14ac:dyDescent="0.3">
      <c r="A35">
        <v>820</v>
      </c>
      <c r="B35" t="s">
        <v>69</v>
      </c>
      <c r="C35">
        <f t="shared" si="1"/>
        <v>152770</v>
      </c>
      <c r="E35">
        <v>152770</v>
      </c>
    </row>
    <row r="36" spans="1:5" x14ac:dyDescent="0.3">
      <c r="A36">
        <v>917</v>
      </c>
      <c r="B36" t="s">
        <v>44</v>
      </c>
      <c r="C36">
        <f t="shared" si="1"/>
        <v>209507</v>
      </c>
      <c r="E36">
        <v>209507</v>
      </c>
    </row>
    <row r="37" spans="1:5" x14ac:dyDescent="0.3">
      <c r="A37">
        <v>36603</v>
      </c>
      <c r="B37" t="s">
        <v>187</v>
      </c>
      <c r="C37">
        <f t="shared" si="1"/>
        <v>2949461.14</v>
      </c>
      <c r="E37">
        <v>2949461.14</v>
      </c>
    </row>
    <row r="38" spans="1:5" x14ac:dyDescent="0.3">
      <c r="A38">
        <v>36604</v>
      </c>
      <c r="B38" t="s">
        <v>188</v>
      </c>
      <c r="C38">
        <f t="shared" si="1"/>
        <v>3492809.06</v>
      </c>
      <c r="E38">
        <v>3492809.06</v>
      </c>
    </row>
    <row r="39" spans="1:5" x14ac:dyDescent="0.3">
      <c r="A39">
        <v>20335</v>
      </c>
      <c r="B39" t="s">
        <v>39</v>
      </c>
      <c r="C39">
        <f t="shared" si="1"/>
        <v>402707</v>
      </c>
      <c r="E39">
        <v>402707</v>
      </c>
    </row>
    <row r="40" spans="1:5" x14ac:dyDescent="0.3">
      <c r="A40">
        <v>1400</v>
      </c>
      <c r="B40" t="s">
        <v>186</v>
      </c>
      <c r="C40">
        <f t="shared" si="1"/>
        <v>489169557.32999998</v>
      </c>
      <c r="E40">
        <v>489169557.32999998</v>
      </c>
    </row>
    <row r="41" spans="1:5" x14ac:dyDescent="0.3">
      <c r="A41">
        <v>875</v>
      </c>
      <c r="B41" t="s">
        <v>38</v>
      </c>
      <c r="C41">
        <f t="shared" si="1"/>
        <v>21505900.390000001</v>
      </c>
      <c r="E41">
        <v>21505900.390000001</v>
      </c>
    </row>
    <row r="42" spans="1:5" x14ac:dyDescent="0.3">
      <c r="A42">
        <v>35921</v>
      </c>
      <c r="B42" t="s">
        <v>278</v>
      </c>
      <c r="C42">
        <f t="shared" si="1"/>
        <v>8460079</v>
      </c>
      <c r="E42">
        <v>8460079</v>
      </c>
    </row>
    <row r="43" spans="1:5" x14ac:dyDescent="0.3">
      <c r="A43">
        <v>25338</v>
      </c>
      <c r="B43" t="s">
        <v>193</v>
      </c>
      <c r="C43">
        <f t="shared" si="1"/>
        <v>21784.799999999999</v>
      </c>
      <c r="E43">
        <v>21784.799999999999</v>
      </c>
    </row>
    <row r="44" spans="1:5" x14ac:dyDescent="0.3">
      <c r="A44">
        <v>36583</v>
      </c>
      <c r="B44" t="s">
        <v>200</v>
      </c>
      <c r="C44">
        <f t="shared" si="1"/>
        <v>602137.81999999995</v>
      </c>
      <c r="E44">
        <v>602137.81999999995</v>
      </c>
    </row>
    <row r="45" spans="1:5" x14ac:dyDescent="0.3">
      <c r="A45">
        <v>818</v>
      </c>
      <c r="B45" t="s">
        <v>47</v>
      </c>
      <c r="C45">
        <f t="shared" si="1"/>
        <v>39393.879999999997</v>
      </c>
      <c r="E45">
        <v>39393.879999999997</v>
      </c>
    </row>
    <row r="46" spans="1:5" x14ac:dyDescent="0.3">
      <c r="A46">
        <v>1612</v>
      </c>
      <c r="B46" t="s">
        <v>189</v>
      </c>
      <c r="C46">
        <f t="shared" si="1"/>
        <v>45474422.32</v>
      </c>
      <c r="E46">
        <v>45474422.32</v>
      </c>
    </row>
    <row r="47" spans="1:5" x14ac:dyDescent="0.3">
      <c r="A47">
        <v>17864</v>
      </c>
      <c r="B47" t="s">
        <v>190</v>
      </c>
      <c r="C47">
        <f t="shared" si="1"/>
        <v>2020313.7</v>
      </c>
      <c r="E47">
        <v>2020313.7</v>
      </c>
    </row>
    <row r="48" spans="1:5" x14ac:dyDescent="0.3">
      <c r="A48">
        <v>815</v>
      </c>
      <c r="B48" t="s">
        <v>40</v>
      </c>
      <c r="C48">
        <f t="shared" si="1"/>
        <v>153315.22</v>
      </c>
      <c r="E48">
        <v>153315.22</v>
      </c>
    </row>
    <row r="49" spans="1:5" x14ac:dyDescent="0.3">
      <c r="A49">
        <v>25339</v>
      </c>
      <c r="B49" t="s">
        <v>192</v>
      </c>
      <c r="C49">
        <f t="shared" si="1"/>
        <v>3569621.19</v>
      </c>
      <c r="E49">
        <v>3569621.19</v>
      </c>
    </row>
    <row r="50" spans="1:5" x14ac:dyDescent="0.3">
      <c r="A50">
        <v>810</v>
      </c>
      <c r="B50" t="s">
        <v>48</v>
      </c>
      <c r="C50">
        <f t="shared" si="1"/>
        <v>8757.24</v>
      </c>
      <c r="E50">
        <v>8757.24</v>
      </c>
    </row>
    <row r="51" spans="1:5" x14ac:dyDescent="0.3">
      <c r="A51">
        <v>16844</v>
      </c>
      <c r="B51" t="s">
        <v>43</v>
      </c>
      <c r="C51">
        <f t="shared" si="1"/>
        <v>40306.78</v>
      </c>
      <c r="E51">
        <v>40306.78</v>
      </c>
    </row>
    <row r="52" spans="1:5" x14ac:dyDescent="0.3">
      <c r="A52">
        <v>25337</v>
      </c>
      <c r="B52" t="s">
        <v>42</v>
      </c>
      <c r="C52">
        <f t="shared" si="1"/>
        <v>42673334.960000001</v>
      </c>
      <c r="E52">
        <v>42673334.960000001</v>
      </c>
    </row>
    <row r="53" spans="1:5" x14ac:dyDescent="0.3">
      <c r="A53">
        <v>30653</v>
      </c>
      <c r="B53" t="s">
        <v>191</v>
      </c>
      <c r="C53">
        <f t="shared" si="1"/>
        <v>2744904.74</v>
      </c>
      <c r="E53">
        <v>2744904.74</v>
      </c>
    </row>
    <row r="54" spans="1:5" x14ac:dyDescent="0.3">
      <c r="A54">
        <v>937</v>
      </c>
      <c r="B54" t="s">
        <v>58</v>
      </c>
      <c r="C54">
        <f t="shared" si="1"/>
        <v>4930</v>
      </c>
      <c r="E54">
        <v>4930</v>
      </c>
    </row>
    <row r="55" spans="1:5" x14ac:dyDescent="0.3">
      <c r="A55">
        <v>809</v>
      </c>
      <c r="B55" t="s">
        <v>46</v>
      </c>
      <c r="C55">
        <f t="shared" si="1"/>
        <v>111120</v>
      </c>
      <c r="E55">
        <v>111120</v>
      </c>
    </row>
    <row r="56" spans="1:5" x14ac:dyDescent="0.3">
      <c r="A56">
        <v>849</v>
      </c>
      <c r="B56" t="s">
        <v>201</v>
      </c>
      <c r="C56">
        <f t="shared" si="1"/>
        <v>709950.46</v>
      </c>
      <c r="E56">
        <v>709950.46</v>
      </c>
    </row>
    <row r="57" spans="1:5" x14ac:dyDescent="0.3">
      <c r="A57">
        <v>28769</v>
      </c>
      <c r="B57" t="s">
        <v>60</v>
      </c>
      <c r="C57">
        <f t="shared" si="1"/>
        <v>5775</v>
      </c>
      <c r="E57">
        <v>5775</v>
      </c>
    </row>
    <row r="58" spans="1:5" x14ac:dyDescent="0.3">
      <c r="A58">
        <v>970</v>
      </c>
      <c r="B58" t="s">
        <v>55</v>
      </c>
      <c r="C58">
        <f t="shared" si="1"/>
        <v>2017706.45</v>
      </c>
      <c r="E58">
        <v>2017706.45</v>
      </c>
    </row>
    <row r="59" spans="1:5" x14ac:dyDescent="0.3">
      <c r="A59">
        <v>801</v>
      </c>
      <c r="B59" t="s">
        <v>199</v>
      </c>
      <c r="C59">
        <f t="shared" ref="C59:C90" si="2">+E59</f>
        <v>21436716.48</v>
      </c>
      <c r="E59">
        <v>21436716.48</v>
      </c>
    </row>
    <row r="60" spans="1:5" x14ac:dyDescent="0.3">
      <c r="A60">
        <v>23336</v>
      </c>
      <c r="B60" t="s">
        <v>100</v>
      </c>
      <c r="C60">
        <f t="shared" si="2"/>
        <v>33513.839999999997</v>
      </c>
      <c r="E60">
        <v>33513.839999999997</v>
      </c>
    </row>
    <row r="61" spans="1:5" x14ac:dyDescent="0.3">
      <c r="A61">
        <v>781</v>
      </c>
      <c r="B61" t="s">
        <v>62</v>
      </c>
      <c r="C61">
        <f t="shared" si="2"/>
        <v>35883.599999999999</v>
      </c>
      <c r="E61">
        <v>35883.599999999999</v>
      </c>
    </row>
    <row r="62" spans="1:5" x14ac:dyDescent="0.3">
      <c r="A62">
        <v>902</v>
      </c>
      <c r="B62" t="s">
        <v>45</v>
      </c>
      <c r="C62">
        <f t="shared" si="2"/>
        <v>1198</v>
      </c>
      <c r="E62">
        <v>1198</v>
      </c>
    </row>
    <row r="63" spans="1:5" x14ac:dyDescent="0.3">
      <c r="A63">
        <v>909</v>
      </c>
      <c r="B63" t="s">
        <v>16</v>
      </c>
      <c r="C63">
        <f t="shared" si="2"/>
        <v>344464</v>
      </c>
      <c r="E63">
        <v>344464</v>
      </c>
    </row>
    <row r="64" spans="1:5" x14ac:dyDescent="0.3">
      <c r="A64">
        <v>918</v>
      </c>
      <c r="B64" t="s">
        <v>13</v>
      </c>
      <c r="C64">
        <f t="shared" si="2"/>
        <v>128068</v>
      </c>
      <c r="E64">
        <v>128068</v>
      </c>
    </row>
    <row r="65" spans="1:5" x14ac:dyDescent="0.3">
      <c r="A65">
        <v>1086</v>
      </c>
      <c r="B65" s="31" t="s">
        <v>20</v>
      </c>
      <c r="C65">
        <f t="shared" si="2"/>
        <v>2520</v>
      </c>
      <c r="E65">
        <v>2520</v>
      </c>
    </row>
    <row r="66" spans="1:5" x14ac:dyDescent="0.3">
      <c r="A66">
        <v>907</v>
      </c>
      <c r="B66" t="s">
        <v>14</v>
      </c>
      <c r="C66">
        <f t="shared" si="2"/>
        <v>204559.98</v>
      </c>
      <c r="E66">
        <v>204559.98</v>
      </c>
    </row>
    <row r="67" spans="1:5" x14ac:dyDescent="0.3">
      <c r="A67">
        <v>27281</v>
      </c>
      <c r="B67" t="s">
        <v>180</v>
      </c>
      <c r="C67">
        <f t="shared" si="2"/>
        <v>172333.24</v>
      </c>
      <c r="E67">
        <v>172333.24</v>
      </c>
    </row>
    <row r="68" spans="1:5" x14ac:dyDescent="0.3">
      <c r="A68">
        <v>910</v>
      </c>
      <c r="B68" t="s">
        <v>18</v>
      </c>
      <c r="C68">
        <f t="shared" si="2"/>
        <v>203000</v>
      </c>
      <c r="E68">
        <v>203000</v>
      </c>
    </row>
    <row r="69" spans="1:5" x14ac:dyDescent="0.3">
      <c r="A69">
        <v>908</v>
      </c>
      <c r="B69" t="s">
        <v>15</v>
      </c>
      <c r="C69">
        <f t="shared" si="2"/>
        <v>435120</v>
      </c>
      <c r="E69">
        <v>435120</v>
      </c>
    </row>
    <row r="70" spans="1:5" x14ac:dyDescent="0.3">
      <c r="A70">
        <v>41940</v>
      </c>
      <c r="B70" t="s">
        <v>365</v>
      </c>
      <c r="C70">
        <f t="shared" si="2"/>
        <v>2317078</v>
      </c>
      <c r="E70">
        <v>2317078</v>
      </c>
    </row>
    <row r="71" spans="1:5" x14ac:dyDescent="0.3">
      <c r="A71">
        <v>21757</v>
      </c>
      <c r="B71" t="s">
        <v>375</v>
      </c>
      <c r="C71">
        <f t="shared" si="2"/>
        <v>4820</v>
      </c>
      <c r="E71">
        <v>4820</v>
      </c>
    </row>
    <row r="72" spans="1:5" x14ac:dyDescent="0.3">
      <c r="A72">
        <v>36614</v>
      </c>
      <c r="B72" t="s">
        <v>11</v>
      </c>
      <c r="C72">
        <f t="shared" si="2"/>
        <v>3456402.83</v>
      </c>
      <c r="E72">
        <v>3456402.83</v>
      </c>
    </row>
    <row r="73" spans="1:5" x14ac:dyDescent="0.3">
      <c r="A73">
        <v>36613</v>
      </c>
      <c r="B73" t="s">
        <v>392</v>
      </c>
      <c r="C73">
        <f t="shared" si="2"/>
        <v>7000</v>
      </c>
      <c r="E73">
        <v>7000</v>
      </c>
    </row>
    <row r="74" spans="1:5" x14ac:dyDescent="0.3">
      <c r="A74">
        <v>20336</v>
      </c>
      <c r="B74" t="s">
        <v>12</v>
      </c>
      <c r="C74">
        <f t="shared" si="2"/>
        <v>3645103.04</v>
      </c>
      <c r="E74">
        <v>3645103.04</v>
      </c>
    </row>
    <row r="75" spans="1:5" x14ac:dyDescent="0.3">
      <c r="A75">
        <v>817</v>
      </c>
      <c r="B75" t="s">
        <v>21</v>
      </c>
      <c r="C75">
        <f t="shared" si="2"/>
        <v>3275</v>
      </c>
      <c r="E75">
        <v>3275</v>
      </c>
    </row>
    <row r="76" spans="1:5" x14ac:dyDescent="0.3">
      <c r="A76">
        <v>931</v>
      </c>
      <c r="B76" t="s">
        <v>196</v>
      </c>
      <c r="C76">
        <f t="shared" si="2"/>
        <v>2290</v>
      </c>
      <c r="E76">
        <v>2290</v>
      </c>
    </row>
    <row r="77" spans="1:5" x14ac:dyDescent="0.3">
      <c r="A77">
        <v>921</v>
      </c>
      <c r="B77" t="s">
        <v>23</v>
      </c>
      <c r="C77">
        <f t="shared" si="2"/>
        <v>70000</v>
      </c>
      <c r="E77">
        <v>70000</v>
      </c>
    </row>
    <row r="78" spans="1:5" x14ac:dyDescent="0.3">
      <c r="A78">
        <v>1076</v>
      </c>
      <c r="B78" t="s">
        <v>376</v>
      </c>
      <c r="C78">
        <f t="shared" si="2"/>
        <v>88549</v>
      </c>
      <c r="E78">
        <v>88549</v>
      </c>
    </row>
    <row r="79" spans="1:5" x14ac:dyDescent="0.3">
      <c r="A79">
        <v>933</v>
      </c>
      <c r="B79" t="s">
        <v>231</v>
      </c>
      <c r="C79">
        <f t="shared" si="2"/>
        <v>576</v>
      </c>
      <c r="E79">
        <v>576</v>
      </c>
    </row>
    <row r="80" spans="1:5" x14ac:dyDescent="0.3">
      <c r="A80">
        <v>962</v>
      </c>
      <c r="B80" t="s">
        <v>61</v>
      </c>
      <c r="C80">
        <f t="shared" si="2"/>
        <v>3837982.13</v>
      </c>
      <c r="E80">
        <v>3837982.13</v>
      </c>
    </row>
    <row r="81" spans="1:5" x14ac:dyDescent="0.3">
      <c r="A81">
        <v>961</v>
      </c>
      <c r="B81" t="s">
        <v>91</v>
      </c>
      <c r="C81">
        <f t="shared" si="2"/>
        <v>3417598.68</v>
      </c>
      <c r="E81">
        <v>3417598.68</v>
      </c>
    </row>
    <row r="82" spans="1:5" x14ac:dyDescent="0.3">
      <c r="A82">
        <v>964</v>
      </c>
      <c r="B82" t="s">
        <v>63</v>
      </c>
      <c r="C82">
        <f t="shared" si="2"/>
        <v>21500</v>
      </c>
      <c r="E82">
        <v>21500</v>
      </c>
    </row>
    <row r="83" spans="1:5" x14ac:dyDescent="0.3">
      <c r="A83">
        <v>894</v>
      </c>
      <c r="B83" t="s">
        <v>70</v>
      </c>
      <c r="C83">
        <f t="shared" si="2"/>
        <v>78756</v>
      </c>
      <c r="E83">
        <v>78756</v>
      </c>
    </row>
    <row r="84" spans="1:5" x14ac:dyDescent="0.3">
      <c r="A84">
        <v>969</v>
      </c>
      <c r="B84" t="s">
        <v>64</v>
      </c>
      <c r="C84">
        <f t="shared" si="2"/>
        <v>3041.3</v>
      </c>
      <c r="E84">
        <v>3041.3</v>
      </c>
    </row>
    <row r="85" spans="1:5" x14ac:dyDescent="0.3">
      <c r="A85">
        <v>963</v>
      </c>
      <c r="B85" t="s">
        <v>92</v>
      </c>
      <c r="C85">
        <f t="shared" si="2"/>
        <v>78954.460000000006</v>
      </c>
      <c r="E85">
        <v>78954.460000000006</v>
      </c>
    </row>
    <row r="86" spans="1:5" x14ac:dyDescent="0.3">
      <c r="A86">
        <v>29063</v>
      </c>
      <c r="B86" t="s">
        <v>206</v>
      </c>
      <c r="C86">
        <f t="shared" si="2"/>
        <v>193552.99</v>
      </c>
      <c r="E86">
        <v>193552.99</v>
      </c>
    </row>
    <row r="87" spans="1:5" x14ac:dyDescent="0.3">
      <c r="A87">
        <v>915</v>
      </c>
      <c r="B87" t="s">
        <v>65</v>
      </c>
      <c r="C87">
        <f t="shared" si="2"/>
        <v>2500</v>
      </c>
      <c r="E87">
        <v>2500</v>
      </c>
    </row>
    <row r="88" spans="1:5" x14ac:dyDescent="0.3">
      <c r="A88">
        <v>496</v>
      </c>
      <c r="B88" t="s">
        <v>204</v>
      </c>
      <c r="C88">
        <f t="shared" si="2"/>
        <v>121697.75</v>
      </c>
      <c r="E88">
        <v>121697.75</v>
      </c>
    </row>
    <row r="89" spans="1:5" x14ac:dyDescent="0.3">
      <c r="A89">
        <v>821</v>
      </c>
      <c r="B89" t="s">
        <v>113</v>
      </c>
      <c r="C89">
        <f t="shared" si="2"/>
        <v>1742106</v>
      </c>
      <c r="E89">
        <v>1742106</v>
      </c>
    </row>
    <row r="90" spans="1:5" x14ac:dyDescent="0.3">
      <c r="A90">
        <v>904</v>
      </c>
      <c r="B90" t="s">
        <v>67</v>
      </c>
      <c r="C90">
        <f t="shared" si="2"/>
        <v>338236</v>
      </c>
      <c r="E90">
        <v>338236</v>
      </c>
    </row>
    <row r="91" spans="1:5" x14ac:dyDescent="0.3">
      <c r="A91">
        <v>932</v>
      </c>
      <c r="B91" t="s">
        <v>54</v>
      </c>
      <c r="C91">
        <f t="shared" ref="C91:C126" si="3">+E91</f>
        <v>549108.74</v>
      </c>
      <c r="E91">
        <v>549108.74</v>
      </c>
    </row>
    <row r="92" spans="1:5" x14ac:dyDescent="0.3">
      <c r="A92">
        <v>20113</v>
      </c>
      <c r="B92" t="s">
        <v>223</v>
      </c>
      <c r="C92">
        <f t="shared" si="3"/>
        <v>326252</v>
      </c>
      <c r="E92">
        <v>326252</v>
      </c>
    </row>
    <row r="93" spans="1:5" x14ac:dyDescent="0.3">
      <c r="A93">
        <v>1101</v>
      </c>
      <c r="B93" t="s">
        <v>229</v>
      </c>
      <c r="C93">
        <f t="shared" si="3"/>
        <v>12100</v>
      </c>
      <c r="E93">
        <v>12100</v>
      </c>
    </row>
    <row r="94" spans="1:5" x14ac:dyDescent="0.3">
      <c r="A94">
        <v>854</v>
      </c>
      <c r="B94" t="s">
        <v>205</v>
      </c>
      <c r="C94">
        <f t="shared" si="3"/>
        <v>1536321</v>
      </c>
      <c r="E94">
        <v>1536321</v>
      </c>
    </row>
    <row r="95" spans="1:5" x14ac:dyDescent="0.3">
      <c r="A95">
        <v>984</v>
      </c>
      <c r="B95" t="s">
        <v>234</v>
      </c>
      <c r="C95">
        <f t="shared" si="3"/>
        <v>587289</v>
      </c>
      <c r="E95">
        <v>587289</v>
      </c>
    </row>
    <row r="96" spans="1:5" x14ac:dyDescent="0.3">
      <c r="A96">
        <v>983</v>
      </c>
      <c r="B96" t="s">
        <v>95</v>
      </c>
      <c r="C96">
        <f t="shared" si="3"/>
        <v>3245737.94</v>
      </c>
      <c r="E96">
        <v>3245737.94</v>
      </c>
    </row>
    <row r="97" spans="1:5" x14ac:dyDescent="0.3">
      <c r="A97">
        <v>35339</v>
      </c>
      <c r="B97" t="s">
        <v>224</v>
      </c>
      <c r="C97">
        <f t="shared" si="3"/>
        <v>4520</v>
      </c>
      <c r="E97">
        <v>4520</v>
      </c>
    </row>
    <row r="98" spans="1:5" x14ac:dyDescent="0.3">
      <c r="A98">
        <v>1074</v>
      </c>
      <c r="B98" t="s">
        <v>202</v>
      </c>
      <c r="C98">
        <f t="shared" si="3"/>
        <v>926292</v>
      </c>
      <c r="E98">
        <v>926292</v>
      </c>
    </row>
    <row r="99" spans="1:5" x14ac:dyDescent="0.3">
      <c r="A99">
        <v>951</v>
      </c>
      <c r="B99" t="s">
        <v>311</v>
      </c>
      <c r="C99">
        <f t="shared" si="3"/>
        <v>198000</v>
      </c>
      <c r="E99">
        <v>198000</v>
      </c>
    </row>
    <row r="100" spans="1:5" x14ac:dyDescent="0.3">
      <c r="A100">
        <v>926</v>
      </c>
      <c r="B100" t="s">
        <v>207</v>
      </c>
      <c r="C100">
        <f t="shared" si="3"/>
        <v>2814773.52</v>
      </c>
      <c r="E100">
        <v>2814773.52</v>
      </c>
    </row>
    <row r="101" spans="1:5" x14ac:dyDescent="0.3">
      <c r="A101">
        <v>934</v>
      </c>
      <c r="B101" t="s">
        <v>103</v>
      </c>
      <c r="C101">
        <f t="shared" si="3"/>
        <v>-61011.92</v>
      </c>
      <c r="E101">
        <v>-61011.92</v>
      </c>
    </row>
    <row r="102" spans="1:5" x14ac:dyDescent="0.3">
      <c r="A102">
        <v>811</v>
      </c>
      <c r="B102" t="s">
        <v>56</v>
      </c>
      <c r="C102">
        <f t="shared" si="3"/>
        <v>17490</v>
      </c>
      <c r="E102">
        <v>17490</v>
      </c>
    </row>
    <row r="103" spans="1:5" x14ac:dyDescent="0.3">
      <c r="A103">
        <v>685</v>
      </c>
      <c r="B103" t="s">
        <v>97</v>
      </c>
      <c r="C103">
        <f t="shared" si="3"/>
        <v>55606.04</v>
      </c>
      <c r="E103">
        <v>55606.04</v>
      </c>
    </row>
    <row r="104" spans="1:5" x14ac:dyDescent="0.3">
      <c r="A104">
        <v>920</v>
      </c>
      <c r="B104" t="s">
        <v>153</v>
      </c>
      <c r="C104">
        <f t="shared" si="3"/>
        <v>447533.32</v>
      </c>
      <c r="E104">
        <v>447533.32</v>
      </c>
    </row>
    <row r="105" spans="1:5" x14ac:dyDescent="0.3">
      <c r="A105">
        <v>936</v>
      </c>
      <c r="B105" t="s">
        <v>225</v>
      </c>
      <c r="C105">
        <f t="shared" si="3"/>
        <v>34038.1</v>
      </c>
      <c r="E105">
        <v>34038.1</v>
      </c>
    </row>
    <row r="106" spans="1:5" x14ac:dyDescent="0.3">
      <c r="A106">
        <v>812</v>
      </c>
      <c r="B106" t="s">
        <v>90</v>
      </c>
      <c r="C106">
        <f t="shared" si="3"/>
        <v>960790.54</v>
      </c>
      <c r="E106">
        <v>960790.54</v>
      </c>
    </row>
    <row r="107" spans="1:5" x14ac:dyDescent="0.3">
      <c r="A107">
        <v>1110</v>
      </c>
      <c r="B107" t="s">
        <v>102</v>
      </c>
      <c r="C107">
        <f t="shared" si="3"/>
        <v>121336</v>
      </c>
      <c r="E107">
        <v>121336</v>
      </c>
    </row>
    <row r="108" spans="1:5" x14ac:dyDescent="0.3">
      <c r="A108">
        <v>930</v>
      </c>
      <c r="B108" t="s">
        <v>96</v>
      </c>
      <c r="C108">
        <f t="shared" si="3"/>
        <v>15080</v>
      </c>
      <c r="E108">
        <v>15080</v>
      </c>
    </row>
    <row r="109" spans="1:5" x14ac:dyDescent="0.3">
      <c r="A109">
        <v>1021</v>
      </c>
      <c r="B109" t="s">
        <v>57</v>
      </c>
      <c r="C109">
        <f t="shared" si="3"/>
        <v>10.45</v>
      </c>
      <c r="E109">
        <v>10.45</v>
      </c>
    </row>
    <row r="110" spans="1:5" x14ac:dyDescent="0.3">
      <c r="A110">
        <v>10000</v>
      </c>
      <c r="B110" t="s">
        <v>68</v>
      </c>
      <c r="C110">
        <f t="shared" si="3"/>
        <v>35000</v>
      </c>
      <c r="E110">
        <v>35000</v>
      </c>
    </row>
    <row r="111" spans="1:5" x14ac:dyDescent="0.3">
      <c r="A111">
        <v>935</v>
      </c>
      <c r="B111" t="s">
        <v>228</v>
      </c>
      <c r="C111">
        <f t="shared" si="3"/>
        <v>30986</v>
      </c>
      <c r="E111">
        <v>30986</v>
      </c>
    </row>
    <row r="112" spans="1:5" x14ac:dyDescent="0.3">
      <c r="A112">
        <v>882</v>
      </c>
      <c r="B112" t="s">
        <v>216</v>
      </c>
      <c r="C112">
        <f t="shared" si="3"/>
        <v>475626</v>
      </c>
      <c r="E112">
        <v>475626</v>
      </c>
    </row>
    <row r="113" spans="1:8" x14ac:dyDescent="0.3">
      <c r="A113">
        <v>862</v>
      </c>
      <c r="B113" t="s">
        <v>79</v>
      </c>
      <c r="C113">
        <f t="shared" si="3"/>
        <v>58599</v>
      </c>
      <c r="E113">
        <v>58599</v>
      </c>
    </row>
    <row r="114" spans="1:8" x14ac:dyDescent="0.3">
      <c r="A114">
        <v>948</v>
      </c>
      <c r="B114" t="s">
        <v>72</v>
      </c>
      <c r="C114">
        <f t="shared" si="3"/>
        <v>6988729</v>
      </c>
      <c r="E114">
        <v>6988729</v>
      </c>
    </row>
    <row r="115" spans="1:8" x14ac:dyDescent="0.3">
      <c r="A115">
        <v>855</v>
      </c>
      <c r="B115" t="s">
        <v>73</v>
      </c>
      <c r="C115">
        <f t="shared" si="3"/>
        <v>2887079</v>
      </c>
      <c r="E115">
        <v>2887079</v>
      </c>
    </row>
    <row r="116" spans="1:8" x14ac:dyDescent="0.3">
      <c r="A116">
        <v>874</v>
      </c>
      <c r="B116" t="s">
        <v>393</v>
      </c>
      <c r="C116">
        <f t="shared" si="3"/>
        <v>15604</v>
      </c>
      <c r="E116">
        <v>15604</v>
      </c>
    </row>
    <row r="117" spans="1:8" x14ac:dyDescent="0.3">
      <c r="A117">
        <v>853</v>
      </c>
      <c r="B117" t="s">
        <v>74</v>
      </c>
      <c r="C117">
        <f t="shared" si="3"/>
        <v>9010122</v>
      </c>
      <c r="E117">
        <v>9010122</v>
      </c>
    </row>
    <row r="118" spans="1:8" x14ac:dyDescent="0.3">
      <c r="A118">
        <v>848</v>
      </c>
      <c r="B118" t="s">
        <v>235</v>
      </c>
      <c r="C118">
        <f t="shared" si="3"/>
        <v>57725</v>
      </c>
      <c r="E118">
        <v>57725</v>
      </c>
    </row>
    <row r="119" spans="1:8" x14ac:dyDescent="0.3">
      <c r="A119">
        <v>856</v>
      </c>
      <c r="B119" t="s">
        <v>80</v>
      </c>
      <c r="C119">
        <f t="shared" si="3"/>
        <v>215837</v>
      </c>
      <c r="E119">
        <v>215837</v>
      </c>
    </row>
    <row r="120" spans="1:8" x14ac:dyDescent="0.3">
      <c r="A120">
        <v>857</v>
      </c>
      <c r="B120" t="s">
        <v>76</v>
      </c>
      <c r="C120">
        <f t="shared" si="3"/>
        <v>24290</v>
      </c>
      <c r="E120">
        <v>24290</v>
      </c>
    </row>
    <row r="121" spans="1:8" x14ac:dyDescent="0.3">
      <c r="A121">
        <v>975</v>
      </c>
      <c r="B121" t="s">
        <v>77</v>
      </c>
      <c r="C121">
        <f t="shared" si="3"/>
        <v>32112</v>
      </c>
      <c r="E121">
        <v>32112</v>
      </c>
    </row>
    <row r="122" spans="1:8" x14ac:dyDescent="0.3">
      <c r="A122">
        <v>10208</v>
      </c>
      <c r="B122" t="s">
        <v>78</v>
      </c>
      <c r="C122">
        <f t="shared" si="3"/>
        <v>861491</v>
      </c>
      <c r="E122">
        <v>861491</v>
      </c>
    </row>
    <row r="123" spans="1:8" x14ac:dyDescent="0.3">
      <c r="A123">
        <v>863</v>
      </c>
      <c r="B123" t="s">
        <v>218</v>
      </c>
      <c r="C123">
        <f t="shared" si="3"/>
        <v>-1371</v>
      </c>
      <c r="E123">
        <v>-1371</v>
      </c>
    </row>
    <row r="124" spans="1:8" x14ac:dyDescent="0.3">
      <c r="A124">
        <v>31408</v>
      </c>
      <c r="B124" t="s">
        <v>227</v>
      </c>
      <c r="C124">
        <f t="shared" si="3"/>
        <v>-2590</v>
      </c>
      <c r="E124">
        <v>-2590</v>
      </c>
    </row>
    <row r="125" spans="1:8" x14ac:dyDescent="0.3">
      <c r="A125">
        <v>718</v>
      </c>
      <c r="B125" t="s">
        <v>217</v>
      </c>
      <c r="C125">
        <f t="shared" si="3"/>
        <v>935731</v>
      </c>
      <c r="E125">
        <v>935731</v>
      </c>
    </row>
    <row r="126" spans="1:8" x14ac:dyDescent="0.3">
      <c r="A126">
        <v>851</v>
      </c>
      <c r="B126" t="s">
        <v>81</v>
      </c>
      <c r="C126">
        <f t="shared" si="3"/>
        <v>83359776</v>
      </c>
      <c r="E126">
        <v>83359776</v>
      </c>
      <c r="H126">
        <f>+'Profit Loss-Amravati-25-26'!Q190-SUM(C10:C25)+SUM(C27:C147)</f>
        <v>115771406.46000028</v>
      </c>
    </row>
    <row r="127" spans="1:8" x14ac:dyDescent="0.3">
      <c r="A127">
        <v>852</v>
      </c>
      <c r="B127" t="s">
        <v>215</v>
      </c>
      <c r="C127">
        <f t="shared" ref="C127:C147" si="4">+E127</f>
        <v>312704</v>
      </c>
      <c r="E127">
        <v>312704</v>
      </c>
    </row>
    <row r="128" spans="1:8" x14ac:dyDescent="0.3">
      <c r="A128">
        <v>881</v>
      </c>
      <c r="B128" t="s">
        <v>210</v>
      </c>
      <c r="C128">
        <f t="shared" si="4"/>
        <v>1696</v>
      </c>
      <c r="E128">
        <v>1696</v>
      </c>
    </row>
    <row r="129" spans="1:5" x14ac:dyDescent="0.3">
      <c r="A129">
        <v>689</v>
      </c>
      <c r="B129" t="s">
        <v>75</v>
      </c>
      <c r="C129">
        <f t="shared" si="4"/>
        <v>1765214</v>
      </c>
      <c r="E129">
        <v>1765214</v>
      </c>
    </row>
    <row r="130" spans="1:5" x14ac:dyDescent="0.3">
      <c r="A130">
        <v>1325</v>
      </c>
      <c r="B130" t="s">
        <v>98</v>
      </c>
      <c r="C130">
        <f t="shared" si="4"/>
        <v>29397133</v>
      </c>
      <c r="E130">
        <v>29397133</v>
      </c>
    </row>
    <row r="131" spans="1:5" x14ac:dyDescent="0.3">
      <c r="A131">
        <v>11722</v>
      </c>
      <c r="B131" t="s">
        <v>211</v>
      </c>
      <c r="C131">
        <f t="shared" si="4"/>
        <v>1289</v>
      </c>
      <c r="E131">
        <v>1289</v>
      </c>
    </row>
    <row r="132" spans="1:5" x14ac:dyDescent="0.3">
      <c r="A132">
        <v>39011</v>
      </c>
      <c r="B132" t="s">
        <v>83</v>
      </c>
      <c r="C132">
        <f t="shared" si="4"/>
        <v>1877718</v>
      </c>
      <c r="E132">
        <v>1877718</v>
      </c>
    </row>
    <row r="133" spans="1:5" x14ac:dyDescent="0.3">
      <c r="A133">
        <v>38580</v>
      </c>
      <c r="B133" t="s">
        <v>82</v>
      </c>
      <c r="C133">
        <f t="shared" si="4"/>
        <v>7022301</v>
      </c>
      <c r="E133">
        <v>7022301</v>
      </c>
    </row>
    <row r="134" spans="1:5" x14ac:dyDescent="0.3">
      <c r="A134">
        <v>39010</v>
      </c>
      <c r="B134" t="s">
        <v>85</v>
      </c>
      <c r="C134">
        <f t="shared" si="4"/>
        <v>-67495</v>
      </c>
      <c r="E134">
        <v>-67495</v>
      </c>
    </row>
    <row r="135" spans="1:5" x14ac:dyDescent="0.3">
      <c r="A135">
        <v>38579</v>
      </c>
      <c r="B135" t="s">
        <v>86</v>
      </c>
      <c r="C135">
        <f t="shared" si="4"/>
        <v>-1067318</v>
      </c>
      <c r="E135">
        <v>-1067318</v>
      </c>
    </row>
    <row r="136" spans="1:5" x14ac:dyDescent="0.3">
      <c r="A136">
        <v>872</v>
      </c>
      <c r="B136" t="s">
        <v>87</v>
      </c>
      <c r="C136">
        <f t="shared" si="4"/>
        <v>45050</v>
      </c>
      <c r="E136">
        <v>45050</v>
      </c>
    </row>
    <row r="137" spans="1:5" x14ac:dyDescent="0.3">
      <c r="A137">
        <v>868</v>
      </c>
      <c r="B137" t="s">
        <v>88</v>
      </c>
      <c r="C137">
        <f t="shared" si="4"/>
        <v>565930</v>
      </c>
      <c r="E137">
        <v>565930</v>
      </c>
    </row>
    <row r="138" spans="1:5" x14ac:dyDescent="0.3">
      <c r="A138">
        <v>675</v>
      </c>
      <c r="B138" t="s">
        <v>99</v>
      </c>
      <c r="C138">
        <f t="shared" si="4"/>
        <v>188000</v>
      </c>
      <c r="E138">
        <v>188000</v>
      </c>
    </row>
    <row r="139" spans="1:5" x14ac:dyDescent="0.3">
      <c r="A139">
        <v>1107</v>
      </c>
      <c r="B139" t="s">
        <v>105</v>
      </c>
      <c r="C139">
        <f t="shared" si="4"/>
        <v>194119</v>
      </c>
      <c r="E139">
        <v>194119</v>
      </c>
    </row>
    <row r="140" spans="1:5" x14ac:dyDescent="0.3">
      <c r="A140">
        <v>859</v>
      </c>
      <c r="B140" t="s">
        <v>220</v>
      </c>
      <c r="C140">
        <f t="shared" si="4"/>
        <v>115062</v>
      </c>
      <c r="E140">
        <v>115062</v>
      </c>
    </row>
    <row r="141" spans="1:5" x14ac:dyDescent="0.3">
      <c r="A141">
        <v>858</v>
      </c>
      <c r="B141" t="s">
        <v>89</v>
      </c>
      <c r="C141">
        <f t="shared" si="4"/>
        <v>1330527.3600000001</v>
      </c>
      <c r="E141">
        <v>1330527.3600000001</v>
      </c>
    </row>
    <row r="142" spans="1:5" x14ac:dyDescent="0.3">
      <c r="A142">
        <v>870</v>
      </c>
      <c r="B142" t="s">
        <v>221</v>
      </c>
      <c r="C142">
        <f t="shared" si="4"/>
        <v>279416.12</v>
      </c>
      <c r="E142">
        <v>279416.12</v>
      </c>
    </row>
    <row r="143" spans="1:5" x14ac:dyDescent="0.3">
      <c r="A143">
        <v>981</v>
      </c>
      <c r="B143" t="s">
        <v>109</v>
      </c>
      <c r="C143">
        <f t="shared" si="4"/>
        <v>374746.27</v>
      </c>
      <c r="E143">
        <v>374746.27</v>
      </c>
    </row>
    <row r="144" spans="1:5" x14ac:dyDescent="0.3">
      <c r="A144">
        <v>974</v>
      </c>
      <c r="B144" t="s">
        <v>94</v>
      </c>
      <c r="C144">
        <f t="shared" si="4"/>
        <v>699</v>
      </c>
      <c r="E144">
        <v>699</v>
      </c>
    </row>
    <row r="145" spans="1:5" x14ac:dyDescent="0.3">
      <c r="A145">
        <v>1214</v>
      </c>
      <c r="B145" t="s">
        <v>106</v>
      </c>
      <c r="C145">
        <f t="shared" si="4"/>
        <v>16000</v>
      </c>
      <c r="E145">
        <v>16000</v>
      </c>
    </row>
    <row r="146" spans="1:5" x14ac:dyDescent="0.3">
      <c r="A146">
        <v>25273</v>
      </c>
      <c r="B146" t="s">
        <v>112</v>
      </c>
      <c r="C146">
        <f t="shared" si="4"/>
        <v>1693502.77</v>
      </c>
      <c r="E146">
        <v>1693502.77</v>
      </c>
    </row>
    <row r="147" spans="1:5" x14ac:dyDescent="0.3">
      <c r="A147">
        <v>986</v>
      </c>
      <c r="B147" t="s">
        <v>114</v>
      </c>
      <c r="C147">
        <f t="shared" si="4"/>
        <v>1577</v>
      </c>
      <c r="E147">
        <v>1577</v>
      </c>
    </row>
    <row r="148" spans="1:5" x14ac:dyDescent="0.3">
      <c r="A148" t="s">
        <v>162</v>
      </c>
      <c r="B148" t="s">
        <v>246</v>
      </c>
      <c r="C148">
        <f>SUM(C27:C147)</f>
        <v>1014165315.3800004</v>
      </c>
      <c r="D148" t="s">
        <v>144</v>
      </c>
      <c r="E148" t="s">
        <v>144</v>
      </c>
    </row>
    <row r="149" spans="1:5" x14ac:dyDescent="0.3">
      <c r="A149" t="s">
        <v>167</v>
      </c>
      <c r="B149" t="s">
        <v>168</v>
      </c>
      <c r="C149">
        <v>1014165315</v>
      </c>
      <c r="D149">
        <v>38</v>
      </c>
    </row>
    <row r="150" spans="1:5" x14ac:dyDescent="0.3">
      <c r="A150" t="s">
        <v>162</v>
      </c>
      <c r="B150" t="s">
        <v>246</v>
      </c>
      <c r="C150" t="s">
        <v>241</v>
      </c>
      <c r="D150" t="s">
        <v>144</v>
      </c>
      <c r="E150" t="s">
        <v>144</v>
      </c>
    </row>
    <row r="152" spans="1:5" x14ac:dyDescent="0.3">
      <c r="A152" t="s">
        <v>169</v>
      </c>
      <c r="B152" t="s">
        <v>417</v>
      </c>
      <c r="C152">
        <v>26.09</v>
      </c>
    </row>
    <row r="162" spans="1:5" x14ac:dyDescent="0.3">
      <c r="A162" t="s">
        <v>171</v>
      </c>
      <c r="B162" t="s">
        <v>249</v>
      </c>
      <c r="C162" t="s">
        <v>242</v>
      </c>
      <c r="D162" t="s">
        <v>154</v>
      </c>
      <c r="E162" t="s">
        <v>250</v>
      </c>
    </row>
    <row r="163" spans="1:5" x14ac:dyDescent="0.3">
      <c r="A163" t="s">
        <v>156</v>
      </c>
      <c r="B163" t="s">
        <v>416</v>
      </c>
      <c r="D163" t="s">
        <v>252</v>
      </c>
      <c r="E163" t="s">
        <v>350</v>
      </c>
    </row>
    <row r="164" spans="1:5" x14ac:dyDescent="0.3">
      <c r="A164" t="s">
        <v>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D07-6EAC-4867-9AC2-3EE9367762F6}">
  <dimension ref="A1:F68"/>
  <sheetViews>
    <sheetView workbookViewId="0">
      <selection activeCell="B3" sqref="B3"/>
    </sheetView>
  </sheetViews>
  <sheetFormatPr defaultRowHeight="14.4" x14ac:dyDescent="0.3"/>
  <cols>
    <col min="2" max="2" width="33.6640625" customWidth="1"/>
    <col min="5" max="5" width="11.6640625" bestFit="1" customWidth="1"/>
  </cols>
  <sheetData>
    <row r="1" spans="1:6" x14ac:dyDescent="0.3">
      <c r="A1" t="s">
        <v>141</v>
      </c>
      <c r="B1" t="s">
        <v>239</v>
      </c>
      <c r="D1" t="s">
        <v>143</v>
      </c>
    </row>
    <row r="2" spans="1:6" x14ac:dyDescent="0.3">
      <c r="A2" t="s">
        <v>141</v>
      </c>
      <c r="B2" t="s">
        <v>254</v>
      </c>
      <c r="D2" t="s">
        <v>143</v>
      </c>
    </row>
    <row r="3" spans="1:6" x14ac:dyDescent="0.3">
      <c r="A3" t="s">
        <v>141</v>
      </c>
      <c r="B3" t="s">
        <v>244</v>
      </c>
      <c r="C3" t="s">
        <v>414</v>
      </c>
      <c r="D3" t="s">
        <v>143</v>
      </c>
    </row>
    <row r="4" spans="1:6" x14ac:dyDescent="0.3">
      <c r="A4" t="s">
        <v>317</v>
      </c>
      <c r="B4" t="s">
        <v>290</v>
      </c>
      <c r="C4" t="s">
        <v>241</v>
      </c>
      <c r="D4" t="s">
        <v>256</v>
      </c>
      <c r="E4" t="s">
        <v>255</v>
      </c>
    </row>
    <row r="5" spans="1:6" x14ac:dyDescent="0.3">
      <c r="A5" t="s">
        <v>146</v>
      </c>
      <c r="B5" t="s">
        <v>146</v>
      </c>
      <c r="C5" t="s">
        <v>147</v>
      </c>
      <c r="D5" t="s">
        <v>148</v>
      </c>
    </row>
    <row r="6" spans="1:6" x14ac:dyDescent="0.3">
      <c r="A6" t="s">
        <v>149</v>
      </c>
      <c r="B6" t="s">
        <v>150</v>
      </c>
      <c r="C6" t="s">
        <v>151</v>
      </c>
      <c r="D6" t="s">
        <v>152</v>
      </c>
    </row>
    <row r="7" spans="1:6" x14ac:dyDescent="0.3">
      <c r="A7" t="s">
        <v>317</v>
      </c>
      <c r="B7" t="s">
        <v>290</v>
      </c>
      <c r="C7" t="s">
        <v>241</v>
      </c>
      <c r="D7" t="s">
        <v>256</v>
      </c>
      <c r="E7" t="s">
        <v>255</v>
      </c>
    </row>
    <row r="8" spans="1:6" x14ac:dyDescent="0.3">
      <c r="A8" t="s">
        <v>3</v>
      </c>
      <c r="C8" s="2">
        <f>+'Profit Loss-Betul-25-26'!Q141-SUM(C9)+SUM(C12:C62)</f>
        <v>-7067733</v>
      </c>
    </row>
    <row r="9" spans="1:6" x14ac:dyDescent="0.3">
      <c r="A9">
        <v>18669</v>
      </c>
      <c r="B9" t="s">
        <v>257</v>
      </c>
      <c r="C9">
        <f>+F9</f>
        <v>21712831.010000002</v>
      </c>
      <c r="F9">
        <v>21712831.010000002</v>
      </c>
    </row>
    <row r="10" spans="1:6" x14ac:dyDescent="0.3">
      <c r="A10">
        <v>706</v>
      </c>
      <c r="B10" t="s">
        <v>384</v>
      </c>
      <c r="C10">
        <f>+F10</f>
        <v>0.01</v>
      </c>
      <c r="F10">
        <v>0.01</v>
      </c>
    </row>
    <row r="11" spans="1:6" x14ac:dyDescent="0.3">
      <c r="A11" t="s">
        <v>323</v>
      </c>
      <c r="B11" t="s">
        <v>422</v>
      </c>
      <c r="C11">
        <f>SUM(C9:C10)</f>
        <v>21712831.020000003</v>
      </c>
      <c r="F11">
        <v>21712831.02</v>
      </c>
    </row>
    <row r="12" spans="1:6" x14ac:dyDescent="0.3">
      <c r="A12">
        <v>36604</v>
      </c>
      <c r="B12" t="s">
        <v>188</v>
      </c>
      <c r="C12">
        <f t="shared" ref="C12:C43" si="0">+F12</f>
        <v>45070</v>
      </c>
      <c r="F12">
        <v>45070</v>
      </c>
    </row>
    <row r="13" spans="1:6" x14ac:dyDescent="0.3">
      <c r="A13">
        <v>20335</v>
      </c>
      <c r="B13" t="s">
        <v>39</v>
      </c>
      <c r="C13">
        <f t="shared" si="0"/>
        <v>2370</v>
      </c>
      <c r="F13">
        <v>2370</v>
      </c>
    </row>
    <row r="14" spans="1:6" x14ac:dyDescent="0.3">
      <c r="A14">
        <v>36583</v>
      </c>
      <c r="B14" t="s">
        <v>200</v>
      </c>
      <c r="C14">
        <f t="shared" si="0"/>
        <v>107043.72</v>
      </c>
      <c r="F14">
        <v>107043.72</v>
      </c>
    </row>
    <row r="15" spans="1:6" x14ac:dyDescent="0.3">
      <c r="A15">
        <v>815</v>
      </c>
      <c r="B15" t="s">
        <v>40</v>
      </c>
      <c r="C15">
        <f t="shared" si="0"/>
        <v>51152</v>
      </c>
      <c r="F15">
        <v>51152</v>
      </c>
    </row>
    <row r="16" spans="1:6" x14ac:dyDescent="0.3">
      <c r="A16">
        <v>25339</v>
      </c>
      <c r="B16" t="s">
        <v>192</v>
      </c>
      <c r="C16">
        <f t="shared" si="0"/>
        <v>882569.46</v>
      </c>
      <c r="F16">
        <v>882569.46</v>
      </c>
    </row>
    <row r="17" spans="1:6" x14ac:dyDescent="0.3">
      <c r="A17">
        <v>810</v>
      </c>
      <c r="B17" t="s">
        <v>48</v>
      </c>
      <c r="C17">
        <f t="shared" si="0"/>
        <v>6700</v>
      </c>
      <c r="F17">
        <v>6700</v>
      </c>
    </row>
    <row r="18" spans="1:6" x14ac:dyDescent="0.3">
      <c r="A18">
        <v>937</v>
      </c>
      <c r="B18" t="s">
        <v>58</v>
      </c>
      <c r="C18">
        <f t="shared" si="0"/>
        <v>21360</v>
      </c>
      <c r="F18">
        <v>21360</v>
      </c>
    </row>
    <row r="19" spans="1:6" x14ac:dyDescent="0.3">
      <c r="A19">
        <v>809</v>
      </c>
      <c r="B19" t="s">
        <v>46</v>
      </c>
      <c r="C19">
        <f t="shared" si="0"/>
        <v>1480619</v>
      </c>
      <c r="F19">
        <v>1480619</v>
      </c>
    </row>
    <row r="20" spans="1:6" x14ac:dyDescent="0.3">
      <c r="A20">
        <v>36614</v>
      </c>
      <c r="B20" t="s">
        <v>11</v>
      </c>
      <c r="C20">
        <f t="shared" si="0"/>
        <v>6000</v>
      </c>
      <c r="F20">
        <v>6000</v>
      </c>
    </row>
    <row r="21" spans="1:6" x14ac:dyDescent="0.3">
      <c r="A21">
        <v>20336</v>
      </c>
      <c r="B21" t="s">
        <v>12</v>
      </c>
      <c r="C21">
        <f t="shared" si="0"/>
        <v>12500</v>
      </c>
      <c r="F21">
        <v>12500</v>
      </c>
    </row>
    <row r="22" spans="1:6" x14ac:dyDescent="0.3">
      <c r="A22">
        <v>961</v>
      </c>
      <c r="B22" t="s">
        <v>91</v>
      </c>
      <c r="C22">
        <f t="shared" si="0"/>
        <v>22600</v>
      </c>
      <c r="F22">
        <v>22600</v>
      </c>
    </row>
    <row r="23" spans="1:6" x14ac:dyDescent="0.3">
      <c r="A23">
        <v>894</v>
      </c>
      <c r="B23" t="s">
        <v>70</v>
      </c>
      <c r="C23">
        <f t="shared" si="0"/>
        <v>104517</v>
      </c>
      <c r="F23">
        <v>104517</v>
      </c>
    </row>
    <row r="24" spans="1:6" x14ac:dyDescent="0.3">
      <c r="A24">
        <v>963</v>
      </c>
      <c r="B24" t="s">
        <v>92</v>
      </c>
      <c r="C24">
        <f t="shared" si="0"/>
        <v>122670</v>
      </c>
      <c r="F24">
        <v>122670</v>
      </c>
    </row>
    <row r="25" spans="1:6" x14ac:dyDescent="0.3">
      <c r="A25">
        <v>29063</v>
      </c>
      <c r="B25" t="s">
        <v>206</v>
      </c>
      <c r="C25">
        <f t="shared" si="0"/>
        <v>445</v>
      </c>
      <c r="F25">
        <v>445</v>
      </c>
    </row>
    <row r="26" spans="1:6" x14ac:dyDescent="0.3">
      <c r="A26">
        <v>821</v>
      </c>
      <c r="B26" t="s">
        <v>113</v>
      </c>
      <c r="C26">
        <f t="shared" si="0"/>
        <v>2008600</v>
      </c>
      <c r="F26">
        <v>2008600</v>
      </c>
    </row>
    <row r="27" spans="1:6" x14ac:dyDescent="0.3">
      <c r="A27">
        <v>904</v>
      </c>
      <c r="B27" t="s">
        <v>67</v>
      </c>
      <c r="C27">
        <f t="shared" si="0"/>
        <v>12117</v>
      </c>
      <c r="F27">
        <v>12117</v>
      </c>
    </row>
    <row r="28" spans="1:6" x14ac:dyDescent="0.3">
      <c r="A28">
        <v>932</v>
      </c>
      <c r="B28" t="s">
        <v>54</v>
      </c>
      <c r="C28">
        <f t="shared" si="0"/>
        <v>86767.88</v>
      </c>
      <c r="F28">
        <v>86767.88</v>
      </c>
    </row>
    <row r="29" spans="1:6" x14ac:dyDescent="0.3">
      <c r="A29">
        <v>20113</v>
      </c>
      <c r="B29" t="s">
        <v>223</v>
      </c>
      <c r="C29">
        <f t="shared" si="0"/>
        <v>6000</v>
      </c>
      <c r="F29">
        <v>6000</v>
      </c>
    </row>
    <row r="30" spans="1:6" x14ac:dyDescent="0.3">
      <c r="A30">
        <v>1101</v>
      </c>
      <c r="B30" t="s">
        <v>229</v>
      </c>
      <c r="C30">
        <f t="shared" si="0"/>
        <v>30000</v>
      </c>
      <c r="F30">
        <v>30000</v>
      </c>
    </row>
    <row r="31" spans="1:6" x14ac:dyDescent="0.3">
      <c r="A31">
        <v>854</v>
      </c>
      <c r="B31" t="s">
        <v>205</v>
      </c>
      <c r="C31">
        <f t="shared" si="0"/>
        <v>30917</v>
      </c>
      <c r="F31">
        <v>30917</v>
      </c>
    </row>
    <row r="32" spans="1:6" x14ac:dyDescent="0.3">
      <c r="A32">
        <v>983</v>
      </c>
      <c r="B32" t="s">
        <v>95</v>
      </c>
      <c r="C32">
        <f t="shared" si="0"/>
        <v>78120</v>
      </c>
      <c r="F32">
        <v>78120</v>
      </c>
    </row>
    <row r="33" spans="1:6" x14ac:dyDescent="0.3">
      <c r="A33">
        <v>1074</v>
      </c>
      <c r="B33" t="s">
        <v>202</v>
      </c>
      <c r="C33">
        <f t="shared" si="0"/>
        <v>46150</v>
      </c>
      <c r="F33">
        <v>46150</v>
      </c>
    </row>
    <row r="34" spans="1:6" x14ac:dyDescent="0.3">
      <c r="A34">
        <v>929</v>
      </c>
      <c r="B34" t="s">
        <v>101</v>
      </c>
      <c r="C34">
        <f t="shared" si="0"/>
        <v>15937.5</v>
      </c>
      <c r="F34">
        <v>15937.5</v>
      </c>
    </row>
    <row r="35" spans="1:6" x14ac:dyDescent="0.3">
      <c r="A35">
        <v>926</v>
      </c>
      <c r="B35" t="s">
        <v>207</v>
      </c>
      <c r="C35">
        <f t="shared" si="0"/>
        <v>71675</v>
      </c>
      <c r="F35">
        <v>71675</v>
      </c>
    </row>
    <row r="36" spans="1:6" x14ac:dyDescent="0.3">
      <c r="A36">
        <v>934</v>
      </c>
      <c r="B36" t="s">
        <v>103</v>
      </c>
      <c r="C36">
        <f t="shared" si="0"/>
        <v>4352</v>
      </c>
      <c r="F36">
        <v>4352</v>
      </c>
    </row>
    <row r="37" spans="1:6" x14ac:dyDescent="0.3">
      <c r="A37">
        <v>685</v>
      </c>
      <c r="B37" t="s">
        <v>97</v>
      </c>
      <c r="C37">
        <f t="shared" si="0"/>
        <v>38744</v>
      </c>
      <c r="F37">
        <v>38744</v>
      </c>
    </row>
    <row r="38" spans="1:6" x14ac:dyDescent="0.3">
      <c r="A38">
        <v>920</v>
      </c>
      <c r="B38" t="s">
        <v>153</v>
      </c>
      <c r="C38">
        <f t="shared" si="0"/>
        <v>25482.62</v>
      </c>
      <c r="F38">
        <v>25482.62</v>
      </c>
    </row>
    <row r="39" spans="1:6" x14ac:dyDescent="0.3">
      <c r="A39">
        <v>936</v>
      </c>
      <c r="B39" t="s">
        <v>225</v>
      </c>
      <c r="C39">
        <f t="shared" si="0"/>
        <v>16928.78</v>
      </c>
      <c r="F39">
        <v>16928.78</v>
      </c>
    </row>
    <row r="40" spans="1:6" x14ac:dyDescent="0.3">
      <c r="A40">
        <v>812</v>
      </c>
      <c r="B40" t="s">
        <v>90</v>
      </c>
      <c r="C40">
        <f t="shared" si="0"/>
        <v>85306.79</v>
      </c>
      <c r="F40">
        <v>85306.79</v>
      </c>
    </row>
    <row r="41" spans="1:6" x14ac:dyDescent="0.3">
      <c r="A41">
        <v>1021</v>
      </c>
      <c r="B41" t="s">
        <v>57</v>
      </c>
      <c r="C41">
        <f t="shared" si="0"/>
        <v>-11.31</v>
      </c>
      <c r="F41">
        <v>-11.31</v>
      </c>
    </row>
    <row r="42" spans="1:6" x14ac:dyDescent="0.3">
      <c r="A42">
        <v>10000</v>
      </c>
      <c r="B42" t="s">
        <v>68</v>
      </c>
      <c r="C42">
        <f t="shared" si="0"/>
        <v>4900</v>
      </c>
      <c r="F42">
        <v>4900</v>
      </c>
    </row>
    <row r="43" spans="1:6" x14ac:dyDescent="0.3">
      <c r="A43">
        <v>935</v>
      </c>
      <c r="B43" t="s">
        <v>228</v>
      </c>
      <c r="C43">
        <f t="shared" si="0"/>
        <v>3971</v>
      </c>
      <c r="F43">
        <v>3971</v>
      </c>
    </row>
    <row r="44" spans="1:6" x14ac:dyDescent="0.3">
      <c r="A44">
        <v>948</v>
      </c>
      <c r="B44" t="s">
        <v>72</v>
      </c>
      <c r="C44">
        <f t="shared" ref="C44:C62" si="1">+F44</f>
        <v>536273</v>
      </c>
      <c r="F44">
        <v>536273</v>
      </c>
    </row>
    <row r="45" spans="1:6" x14ac:dyDescent="0.3">
      <c r="A45">
        <v>855</v>
      </c>
      <c r="B45" t="s">
        <v>73</v>
      </c>
      <c r="C45">
        <f t="shared" si="1"/>
        <v>337461</v>
      </c>
      <c r="F45">
        <v>337461</v>
      </c>
    </row>
    <row r="46" spans="1:6" x14ac:dyDescent="0.3">
      <c r="A46">
        <v>853</v>
      </c>
      <c r="B46" t="s">
        <v>74</v>
      </c>
      <c r="C46">
        <f t="shared" si="1"/>
        <v>473767</v>
      </c>
      <c r="F46">
        <v>473767</v>
      </c>
    </row>
    <row r="47" spans="1:6" x14ac:dyDescent="0.3">
      <c r="A47">
        <v>856</v>
      </c>
      <c r="B47" t="s">
        <v>80</v>
      </c>
      <c r="C47">
        <f t="shared" si="1"/>
        <v>22904</v>
      </c>
      <c r="F47">
        <v>22904</v>
      </c>
    </row>
    <row r="48" spans="1:6" x14ac:dyDescent="0.3">
      <c r="A48">
        <v>10208</v>
      </c>
      <c r="B48" t="s">
        <v>78</v>
      </c>
      <c r="C48">
        <f t="shared" si="1"/>
        <v>94625</v>
      </c>
      <c r="F48">
        <v>94625</v>
      </c>
    </row>
    <row r="49" spans="1:6" x14ac:dyDescent="0.3">
      <c r="A49">
        <v>851</v>
      </c>
      <c r="B49" t="s">
        <v>81</v>
      </c>
      <c r="C49">
        <f t="shared" si="1"/>
        <v>4962944</v>
      </c>
      <c r="F49">
        <v>4962944</v>
      </c>
    </row>
    <row r="50" spans="1:6" x14ac:dyDescent="0.3">
      <c r="A50">
        <v>689</v>
      </c>
      <c r="B50" t="s">
        <v>75</v>
      </c>
      <c r="C50">
        <f t="shared" si="1"/>
        <v>1088</v>
      </c>
      <c r="F50">
        <v>1088</v>
      </c>
    </row>
    <row r="51" spans="1:6" x14ac:dyDescent="0.3">
      <c r="A51">
        <v>1325</v>
      </c>
      <c r="B51" t="s">
        <v>98</v>
      </c>
      <c r="C51">
        <f t="shared" si="1"/>
        <v>19448699</v>
      </c>
      <c r="F51">
        <v>19448699</v>
      </c>
    </row>
    <row r="52" spans="1:6" x14ac:dyDescent="0.3">
      <c r="A52">
        <v>39011</v>
      </c>
      <c r="B52" t="s">
        <v>83</v>
      </c>
      <c r="C52">
        <f t="shared" si="1"/>
        <v>88816</v>
      </c>
      <c r="F52">
        <v>88816</v>
      </c>
    </row>
    <row r="53" spans="1:6" x14ac:dyDescent="0.3">
      <c r="A53">
        <v>38580</v>
      </c>
      <c r="B53" t="s">
        <v>82</v>
      </c>
      <c r="C53">
        <f t="shared" si="1"/>
        <v>310160</v>
      </c>
      <c r="F53">
        <v>310160</v>
      </c>
    </row>
    <row r="54" spans="1:6" x14ac:dyDescent="0.3">
      <c r="A54">
        <v>39010</v>
      </c>
      <c r="B54" t="s">
        <v>85</v>
      </c>
      <c r="C54">
        <f t="shared" si="1"/>
        <v>-5852</v>
      </c>
      <c r="F54">
        <v>-5852</v>
      </c>
    </row>
    <row r="55" spans="1:6" x14ac:dyDescent="0.3">
      <c r="A55">
        <v>38579</v>
      </c>
      <c r="B55" t="s">
        <v>86</v>
      </c>
      <c r="C55">
        <f t="shared" si="1"/>
        <v>-91851</v>
      </c>
      <c r="F55">
        <v>-91851</v>
      </c>
    </row>
    <row r="56" spans="1:6" x14ac:dyDescent="0.3">
      <c r="A56">
        <v>872</v>
      </c>
      <c r="B56" t="s">
        <v>87</v>
      </c>
      <c r="C56">
        <f t="shared" si="1"/>
        <v>20830</v>
      </c>
      <c r="F56">
        <v>20830</v>
      </c>
    </row>
    <row r="57" spans="1:6" x14ac:dyDescent="0.3">
      <c r="A57">
        <v>868</v>
      </c>
      <c r="B57" t="s">
        <v>88</v>
      </c>
      <c r="C57">
        <f t="shared" si="1"/>
        <v>25691</v>
      </c>
      <c r="F57">
        <v>25691</v>
      </c>
    </row>
    <row r="58" spans="1:6" x14ac:dyDescent="0.3">
      <c r="A58">
        <v>675</v>
      </c>
      <c r="B58" t="s">
        <v>99</v>
      </c>
      <c r="C58">
        <f t="shared" si="1"/>
        <v>16000</v>
      </c>
      <c r="F58">
        <v>16000</v>
      </c>
    </row>
    <row r="59" spans="1:6" x14ac:dyDescent="0.3">
      <c r="A59">
        <v>1107</v>
      </c>
      <c r="B59" t="s">
        <v>105</v>
      </c>
      <c r="C59">
        <f t="shared" si="1"/>
        <v>3781</v>
      </c>
      <c r="F59">
        <v>3781</v>
      </c>
    </row>
    <row r="60" spans="1:6" x14ac:dyDescent="0.3">
      <c r="A60">
        <v>859</v>
      </c>
      <c r="B60" t="s">
        <v>220</v>
      </c>
      <c r="C60">
        <f t="shared" si="1"/>
        <v>1632</v>
      </c>
      <c r="F60">
        <v>1632</v>
      </c>
    </row>
    <row r="61" spans="1:6" x14ac:dyDescent="0.3">
      <c r="A61">
        <v>858</v>
      </c>
      <c r="B61" t="s">
        <v>89</v>
      </c>
      <c r="C61">
        <f t="shared" si="1"/>
        <v>371638</v>
      </c>
      <c r="F61">
        <v>371638</v>
      </c>
    </row>
    <row r="62" spans="1:6" x14ac:dyDescent="0.3">
      <c r="A62">
        <v>981</v>
      </c>
      <c r="B62" t="s">
        <v>109</v>
      </c>
      <c r="C62">
        <f t="shared" si="1"/>
        <v>14974.2</v>
      </c>
      <c r="F62">
        <v>14974.2</v>
      </c>
    </row>
    <row r="63" spans="1:6" x14ac:dyDescent="0.3">
      <c r="A63" t="s">
        <v>325</v>
      </c>
      <c r="B63" t="s">
        <v>326</v>
      </c>
      <c r="C63">
        <v>32065154.640000001</v>
      </c>
      <c r="E63">
        <f>+C11-C63</f>
        <v>-10352323.619999997</v>
      </c>
      <c r="F63">
        <v>32065154.640000001</v>
      </c>
    </row>
    <row r="65" spans="1:5" x14ac:dyDescent="0.3">
      <c r="A65" t="s">
        <v>327</v>
      </c>
      <c r="B65" t="s">
        <v>419</v>
      </c>
      <c r="C65">
        <v>0.62</v>
      </c>
    </row>
    <row r="66" spans="1:5" x14ac:dyDescent="0.3">
      <c r="A66" t="s">
        <v>329</v>
      </c>
      <c r="B66" t="s">
        <v>294</v>
      </c>
      <c r="C66" t="s">
        <v>242</v>
      </c>
      <c r="D66" t="s">
        <v>420</v>
      </c>
      <c r="E66" t="s">
        <v>330</v>
      </c>
    </row>
    <row r="67" spans="1:5" x14ac:dyDescent="0.3">
      <c r="A67" t="s">
        <v>156</v>
      </c>
      <c r="B67" t="s">
        <v>418</v>
      </c>
      <c r="D67" t="s">
        <v>379</v>
      </c>
      <c r="E67" t="s">
        <v>421</v>
      </c>
    </row>
    <row r="68" spans="1:5" x14ac:dyDescent="0.3">
      <c r="A68" t="s">
        <v>157</v>
      </c>
    </row>
  </sheetData>
  <autoFilter ref="A7:C68" xr:uid="{AF48DD07-6EAC-4867-9AC2-3EE9367762F6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60C6-3B62-4147-ABA7-F5A77A6E6161}">
  <dimension ref="A1:I145"/>
  <sheetViews>
    <sheetView topLeftCell="A109" workbookViewId="0">
      <selection activeCell="C140" sqref="C140"/>
    </sheetView>
  </sheetViews>
  <sheetFormatPr defaultRowHeight="14.4" x14ac:dyDescent="0.3"/>
  <cols>
    <col min="1" max="1" width="22.88671875" customWidth="1"/>
    <col min="2" max="2" width="34.6640625" customWidth="1"/>
    <col min="3" max="5" width="22.88671875" customWidth="1"/>
    <col min="6" max="6" width="12" bestFit="1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240</v>
      </c>
      <c r="D2" t="s">
        <v>143</v>
      </c>
    </row>
    <row r="3" spans="1:5" x14ac:dyDescent="0.3">
      <c r="A3" t="s">
        <v>141</v>
      </c>
      <c r="B3" t="s">
        <v>244</v>
      </c>
      <c r="C3" t="s">
        <v>391</v>
      </c>
      <c r="D3" t="s">
        <v>143</v>
      </c>
    </row>
    <row r="4" spans="1:5" x14ac:dyDescent="0.3">
      <c r="A4" t="s">
        <v>317</v>
      </c>
      <c r="B4" t="s">
        <v>290</v>
      </c>
      <c r="C4" t="s">
        <v>241</v>
      </c>
      <c r="D4" t="s">
        <v>144</v>
      </c>
      <c r="E4" t="s">
        <v>144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317</v>
      </c>
      <c r="B7" t="s">
        <v>290</v>
      </c>
      <c r="C7" t="s">
        <v>241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>
        <v>21686</v>
      </c>
      <c r="B9" t="s">
        <v>176</v>
      </c>
      <c r="C9">
        <f t="shared" ref="C9:C22" si="0">+E9</f>
        <v>58108673</v>
      </c>
      <c r="E9">
        <v>58108673</v>
      </c>
    </row>
    <row r="10" spans="1:5" x14ac:dyDescent="0.3">
      <c r="A10">
        <v>701</v>
      </c>
      <c r="B10" t="s">
        <v>178</v>
      </c>
      <c r="C10">
        <f t="shared" si="0"/>
        <v>471500</v>
      </c>
      <c r="E10">
        <v>471500</v>
      </c>
    </row>
    <row r="11" spans="1:5" x14ac:dyDescent="0.3">
      <c r="A11">
        <v>16905</v>
      </c>
      <c r="B11" t="s">
        <v>177</v>
      </c>
      <c r="C11">
        <f t="shared" si="0"/>
        <v>391950601.49000001</v>
      </c>
      <c r="E11">
        <v>391950601.49000001</v>
      </c>
    </row>
    <row r="12" spans="1:5" x14ac:dyDescent="0.3">
      <c r="A12">
        <v>26282</v>
      </c>
      <c r="B12" t="s">
        <v>247</v>
      </c>
      <c r="C12">
        <f t="shared" si="0"/>
        <v>21860</v>
      </c>
      <c r="E12">
        <v>21860</v>
      </c>
    </row>
    <row r="13" spans="1:5" x14ac:dyDescent="0.3">
      <c r="A13">
        <v>35115</v>
      </c>
      <c r="B13" t="s">
        <v>179</v>
      </c>
      <c r="C13">
        <f t="shared" si="0"/>
        <v>5699323</v>
      </c>
      <c r="E13">
        <v>5699323</v>
      </c>
    </row>
    <row r="14" spans="1:5" x14ac:dyDescent="0.3">
      <c r="A14">
        <v>35116</v>
      </c>
      <c r="B14" t="s">
        <v>345</v>
      </c>
      <c r="C14">
        <f t="shared" si="0"/>
        <v>2419148</v>
      </c>
      <c r="E14">
        <v>2419148</v>
      </c>
    </row>
    <row r="15" spans="1:5" x14ac:dyDescent="0.3">
      <c r="A15">
        <v>1015</v>
      </c>
      <c r="B15" t="s">
        <v>120</v>
      </c>
      <c r="C15">
        <f t="shared" si="0"/>
        <v>823238.6</v>
      </c>
      <c r="E15">
        <v>823238.6</v>
      </c>
    </row>
    <row r="16" spans="1:5" x14ac:dyDescent="0.3">
      <c r="A16">
        <v>1002</v>
      </c>
      <c r="B16" t="s">
        <v>28</v>
      </c>
      <c r="C16">
        <f t="shared" si="0"/>
        <v>6259301</v>
      </c>
      <c r="E16">
        <v>6259301</v>
      </c>
    </row>
    <row r="17" spans="1:6" x14ac:dyDescent="0.3">
      <c r="A17">
        <v>1201</v>
      </c>
      <c r="B17" t="s">
        <v>30</v>
      </c>
      <c r="C17">
        <f t="shared" si="0"/>
        <v>960756</v>
      </c>
      <c r="E17">
        <v>960756</v>
      </c>
    </row>
    <row r="18" spans="1:6" x14ac:dyDescent="0.3">
      <c r="A18">
        <v>1227</v>
      </c>
      <c r="B18" t="s">
        <v>182</v>
      </c>
      <c r="C18">
        <f t="shared" si="0"/>
        <v>3839855</v>
      </c>
      <c r="E18">
        <v>3839855</v>
      </c>
    </row>
    <row r="19" spans="1:6" x14ac:dyDescent="0.3">
      <c r="A19">
        <v>703</v>
      </c>
      <c r="B19" t="s">
        <v>181</v>
      </c>
      <c r="C19">
        <f t="shared" si="0"/>
        <v>533514</v>
      </c>
      <c r="E19">
        <v>533514</v>
      </c>
    </row>
    <row r="20" spans="1:6" x14ac:dyDescent="0.3">
      <c r="A20">
        <v>1011</v>
      </c>
      <c r="B20" t="s">
        <v>119</v>
      </c>
      <c r="C20">
        <f t="shared" si="0"/>
        <v>640</v>
      </c>
      <c r="E20">
        <v>640</v>
      </c>
    </row>
    <row r="21" spans="1:6" x14ac:dyDescent="0.3">
      <c r="A21">
        <v>1022</v>
      </c>
      <c r="B21" t="s">
        <v>276</v>
      </c>
      <c r="C21">
        <f t="shared" si="0"/>
        <v>3</v>
      </c>
      <c r="E21">
        <v>3</v>
      </c>
    </row>
    <row r="22" spans="1:6" x14ac:dyDescent="0.3">
      <c r="A22">
        <v>1016</v>
      </c>
      <c r="B22" t="s">
        <v>124</v>
      </c>
      <c r="C22">
        <f t="shared" si="0"/>
        <v>1280</v>
      </c>
      <c r="E22">
        <v>1280</v>
      </c>
    </row>
    <row r="23" spans="1:6" x14ac:dyDescent="0.3">
      <c r="A23" t="s">
        <v>323</v>
      </c>
      <c r="B23" t="s">
        <v>324</v>
      </c>
      <c r="C23">
        <f>SUM(C9:C22)</f>
        <v>471089693.09000003</v>
      </c>
      <c r="D23">
        <v>471089693.08999997</v>
      </c>
      <c r="E23">
        <f>SUM(E9:E22)</f>
        <v>471089693.09000003</v>
      </c>
    </row>
    <row r="24" spans="1:6" x14ac:dyDescent="0.3">
      <c r="A24">
        <v>1054</v>
      </c>
      <c r="B24" t="s">
        <v>305</v>
      </c>
      <c r="C24">
        <f t="shared" ref="C24:C30" si="1">+E24</f>
        <v>3508237.17</v>
      </c>
      <c r="E24">
        <v>3508237.17</v>
      </c>
    </row>
    <row r="25" spans="1:6" x14ac:dyDescent="0.3">
      <c r="A25">
        <v>1508</v>
      </c>
      <c r="B25" t="s">
        <v>306</v>
      </c>
      <c r="C25">
        <f t="shared" si="1"/>
        <v>9983215.9800000004</v>
      </c>
      <c r="E25">
        <v>9983215.9800000004</v>
      </c>
    </row>
    <row r="26" spans="1:6" x14ac:dyDescent="0.3">
      <c r="A26">
        <v>726</v>
      </c>
      <c r="B26" t="s">
        <v>307</v>
      </c>
      <c r="C26">
        <f t="shared" si="1"/>
        <v>57001475.630000003</v>
      </c>
      <c r="E26">
        <v>57001475.630000003</v>
      </c>
    </row>
    <row r="27" spans="1:6" x14ac:dyDescent="0.3">
      <c r="A27">
        <v>31383</v>
      </c>
      <c r="B27" t="s">
        <v>308</v>
      </c>
      <c r="C27">
        <f t="shared" si="1"/>
        <v>81361572.290000007</v>
      </c>
      <c r="E27">
        <v>81361572.290000007</v>
      </c>
    </row>
    <row r="28" spans="1:6" x14ac:dyDescent="0.3">
      <c r="A28">
        <v>35552</v>
      </c>
      <c r="B28" t="s">
        <v>309</v>
      </c>
      <c r="C28">
        <f t="shared" si="1"/>
        <v>10045740.779999999</v>
      </c>
      <c r="E28">
        <v>10045740.779999999</v>
      </c>
    </row>
    <row r="29" spans="1:6" x14ac:dyDescent="0.3">
      <c r="A29">
        <v>36461</v>
      </c>
      <c r="B29" t="s">
        <v>310</v>
      </c>
      <c r="C29">
        <f t="shared" si="1"/>
        <v>155547</v>
      </c>
      <c r="E29">
        <v>155547</v>
      </c>
      <c r="F29">
        <f>SUM(E24:E29)</f>
        <v>162055788.84999999</v>
      </c>
    </row>
    <row r="30" spans="1:6" x14ac:dyDescent="0.3">
      <c r="A30">
        <v>18670</v>
      </c>
      <c r="B30" t="s">
        <v>195</v>
      </c>
      <c r="C30">
        <f t="shared" si="1"/>
        <v>16435708</v>
      </c>
      <c r="E30">
        <v>16435708</v>
      </c>
    </row>
    <row r="31" spans="1:6" x14ac:dyDescent="0.3">
      <c r="A31">
        <v>772</v>
      </c>
      <c r="B31" t="s">
        <v>198</v>
      </c>
      <c r="C31">
        <f t="shared" ref="C31:C138" si="2">+E31</f>
        <v>559064.98</v>
      </c>
      <c r="E31">
        <v>559064.98</v>
      </c>
    </row>
    <row r="32" spans="1:6" x14ac:dyDescent="0.3">
      <c r="A32">
        <v>820</v>
      </c>
      <c r="B32" t="s">
        <v>69</v>
      </c>
      <c r="C32">
        <f t="shared" si="2"/>
        <v>145330</v>
      </c>
      <c r="E32">
        <v>145330</v>
      </c>
    </row>
    <row r="33" spans="1:5" x14ac:dyDescent="0.3">
      <c r="A33">
        <v>917</v>
      </c>
      <c r="B33" t="s">
        <v>44</v>
      </c>
      <c r="C33">
        <f t="shared" si="2"/>
        <v>118941</v>
      </c>
      <c r="E33">
        <v>118941</v>
      </c>
    </row>
    <row r="34" spans="1:5" x14ac:dyDescent="0.3">
      <c r="A34">
        <v>36603</v>
      </c>
      <c r="B34" t="s">
        <v>187</v>
      </c>
      <c r="C34">
        <f t="shared" si="2"/>
        <v>2292544.6800000002</v>
      </c>
      <c r="E34">
        <v>2292544.6800000002</v>
      </c>
    </row>
    <row r="35" spans="1:5" x14ac:dyDescent="0.3">
      <c r="A35">
        <v>36604</v>
      </c>
      <c r="B35" t="s">
        <v>188</v>
      </c>
      <c r="C35">
        <f t="shared" si="2"/>
        <v>2160608.12</v>
      </c>
      <c r="E35">
        <v>2160608.12</v>
      </c>
    </row>
    <row r="36" spans="1:5" x14ac:dyDescent="0.3">
      <c r="A36">
        <v>20335</v>
      </c>
      <c r="B36" t="s">
        <v>39</v>
      </c>
      <c r="C36">
        <f t="shared" si="2"/>
        <v>359828</v>
      </c>
      <c r="E36">
        <v>359828</v>
      </c>
    </row>
    <row r="37" spans="1:5" x14ac:dyDescent="0.3">
      <c r="A37">
        <v>1400</v>
      </c>
      <c r="B37" t="s">
        <v>186</v>
      </c>
      <c r="C37">
        <f t="shared" si="2"/>
        <v>265250655.02000001</v>
      </c>
      <c r="E37">
        <v>265250655.02000001</v>
      </c>
    </row>
    <row r="38" spans="1:5" x14ac:dyDescent="0.3">
      <c r="A38">
        <v>875</v>
      </c>
      <c r="B38" t="s">
        <v>38</v>
      </c>
      <c r="C38">
        <f t="shared" si="2"/>
        <v>21505900.390000001</v>
      </c>
      <c r="E38">
        <v>21505900.390000001</v>
      </c>
    </row>
    <row r="39" spans="1:5" x14ac:dyDescent="0.3">
      <c r="A39">
        <v>35921</v>
      </c>
      <c r="B39" t="s">
        <v>278</v>
      </c>
      <c r="C39">
        <f t="shared" si="2"/>
        <v>8460079</v>
      </c>
      <c r="E39">
        <v>8460079</v>
      </c>
    </row>
    <row r="40" spans="1:5" x14ac:dyDescent="0.3">
      <c r="A40">
        <v>25338</v>
      </c>
      <c r="B40" t="s">
        <v>193</v>
      </c>
      <c r="C40">
        <f t="shared" si="2"/>
        <v>21784.799999999999</v>
      </c>
      <c r="E40">
        <v>21784.799999999999</v>
      </c>
    </row>
    <row r="41" spans="1:5" x14ac:dyDescent="0.3">
      <c r="A41">
        <v>36583</v>
      </c>
      <c r="B41" t="s">
        <v>200</v>
      </c>
      <c r="C41">
        <f t="shared" si="2"/>
        <v>518256.82</v>
      </c>
      <c r="E41">
        <v>518256.82</v>
      </c>
    </row>
    <row r="42" spans="1:5" x14ac:dyDescent="0.3">
      <c r="A42">
        <v>818</v>
      </c>
      <c r="B42" t="s">
        <v>47</v>
      </c>
      <c r="C42">
        <f t="shared" si="2"/>
        <v>13011.88</v>
      </c>
      <c r="E42">
        <v>13011.88</v>
      </c>
    </row>
    <row r="43" spans="1:5" x14ac:dyDescent="0.3">
      <c r="A43">
        <v>1612</v>
      </c>
      <c r="B43" t="s">
        <v>189</v>
      </c>
      <c r="C43">
        <f t="shared" si="2"/>
        <v>36235076.109999999</v>
      </c>
      <c r="E43">
        <v>36235076.109999999</v>
      </c>
    </row>
    <row r="44" spans="1:5" x14ac:dyDescent="0.3">
      <c r="A44">
        <v>17864</v>
      </c>
      <c r="B44" t="s">
        <v>190</v>
      </c>
      <c r="C44">
        <f t="shared" si="2"/>
        <v>1564521.14</v>
      </c>
      <c r="E44">
        <v>1564521.14</v>
      </c>
    </row>
    <row r="45" spans="1:5" x14ac:dyDescent="0.3">
      <c r="A45">
        <v>815</v>
      </c>
      <c r="B45" t="s">
        <v>40</v>
      </c>
      <c r="C45">
        <f t="shared" si="2"/>
        <v>128587.22</v>
      </c>
      <c r="E45">
        <v>128587.22</v>
      </c>
    </row>
    <row r="46" spans="1:5" x14ac:dyDescent="0.3">
      <c r="A46">
        <v>25339</v>
      </c>
      <c r="B46" t="s">
        <v>192</v>
      </c>
      <c r="C46">
        <f t="shared" si="2"/>
        <v>3094182.68</v>
      </c>
      <c r="E46">
        <v>3094182.68</v>
      </c>
    </row>
    <row r="47" spans="1:5" x14ac:dyDescent="0.3">
      <c r="A47">
        <v>810</v>
      </c>
      <c r="B47" t="s">
        <v>48</v>
      </c>
      <c r="C47">
        <f t="shared" si="2"/>
        <v>5075</v>
      </c>
      <c r="E47">
        <v>5075</v>
      </c>
    </row>
    <row r="48" spans="1:5" x14ac:dyDescent="0.3">
      <c r="A48">
        <v>16844</v>
      </c>
      <c r="B48" t="s">
        <v>43</v>
      </c>
      <c r="C48">
        <f t="shared" si="2"/>
        <v>40306.78</v>
      </c>
      <c r="E48">
        <v>40306.78</v>
      </c>
    </row>
    <row r="49" spans="1:5" x14ac:dyDescent="0.3">
      <c r="A49">
        <v>25337</v>
      </c>
      <c r="B49" t="s">
        <v>42</v>
      </c>
      <c r="C49">
        <f t="shared" si="2"/>
        <v>34037639.439999998</v>
      </c>
      <c r="E49">
        <v>34037639.439999998</v>
      </c>
    </row>
    <row r="50" spans="1:5" x14ac:dyDescent="0.3">
      <c r="A50">
        <v>30653</v>
      </c>
      <c r="B50" t="s">
        <v>191</v>
      </c>
      <c r="C50">
        <f t="shared" si="2"/>
        <v>1316638.72</v>
      </c>
      <c r="E50">
        <v>1316638.72</v>
      </c>
    </row>
    <row r="51" spans="1:5" x14ac:dyDescent="0.3">
      <c r="A51">
        <v>937</v>
      </c>
      <c r="B51" t="s">
        <v>58</v>
      </c>
      <c r="C51">
        <f t="shared" si="2"/>
        <v>4930</v>
      </c>
      <c r="E51">
        <v>4930</v>
      </c>
    </row>
    <row r="52" spans="1:5" x14ac:dyDescent="0.3">
      <c r="A52">
        <v>809</v>
      </c>
      <c r="B52" t="s">
        <v>46</v>
      </c>
      <c r="C52">
        <f t="shared" si="2"/>
        <v>-6020</v>
      </c>
      <c r="E52">
        <v>-6020</v>
      </c>
    </row>
    <row r="53" spans="1:5" x14ac:dyDescent="0.3">
      <c r="A53">
        <v>849</v>
      </c>
      <c r="B53" t="s">
        <v>201</v>
      </c>
      <c r="C53">
        <f t="shared" si="2"/>
        <v>709950.46</v>
      </c>
      <c r="E53">
        <v>709950.46</v>
      </c>
    </row>
    <row r="54" spans="1:5" x14ac:dyDescent="0.3">
      <c r="A54">
        <v>28769</v>
      </c>
      <c r="B54" t="s">
        <v>60</v>
      </c>
      <c r="C54">
        <f t="shared" si="2"/>
        <v>5775</v>
      </c>
      <c r="E54">
        <v>5775</v>
      </c>
    </row>
    <row r="55" spans="1:5" x14ac:dyDescent="0.3">
      <c r="A55">
        <v>970</v>
      </c>
      <c r="B55" t="s">
        <v>55</v>
      </c>
      <c r="C55">
        <f t="shared" si="2"/>
        <v>1683085.58</v>
      </c>
      <c r="E55">
        <v>1683085.58</v>
      </c>
    </row>
    <row r="56" spans="1:5" x14ac:dyDescent="0.3">
      <c r="A56">
        <v>801</v>
      </c>
      <c r="B56" t="s">
        <v>199</v>
      </c>
      <c r="C56">
        <f t="shared" si="2"/>
        <v>12946535.98</v>
      </c>
      <c r="E56">
        <v>12946535.98</v>
      </c>
    </row>
    <row r="57" spans="1:5" x14ac:dyDescent="0.3">
      <c r="A57">
        <v>23336</v>
      </c>
      <c r="B57" t="s">
        <v>100</v>
      </c>
      <c r="C57">
        <f t="shared" si="2"/>
        <v>33513.839999999997</v>
      </c>
      <c r="E57">
        <v>33513.839999999997</v>
      </c>
    </row>
    <row r="58" spans="1:5" x14ac:dyDescent="0.3">
      <c r="A58">
        <v>781</v>
      </c>
      <c r="B58" t="s">
        <v>62</v>
      </c>
      <c r="C58">
        <f t="shared" si="2"/>
        <v>35883.599999999999</v>
      </c>
      <c r="E58">
        <v>35883.599999999999</v>
      </c>
    </row>
    <row r="59" spans="1:5" x14ac:dyDescent="0.3">
      <c r="A59">
        <v>902</v>
      </c>
      <c r="B59" t="s">
        <v>45</v>
      </c>
      <c r="C59">
        <f t="shared" si="2"/>
        <v>1198</v>
      </c>
      <c r="E59">
        <v>1198</v>
      </c>
    </row>
    <row r="60" spans="1:5" x14ac:dyDescent="0.3">
      <c r="A60">
        <v>909</v>
      </c>
      <c r="B60" t="s">
        <v>16</v>
      </c>
      <c r="C60">
        <f t="shared" si="2"/>
        <v>144558</v>
      </c>
      <c r="E60">
        <v>144558</v>
      </c>
    </row>
    <row r="61" spans="1:5" x14ac:dyDescent="0.3">
      <c r="A61">
        <v>918</v>
      </c>
      <c r="B61" t="s">
        <v>13</v>
      </c>
      <c r="C61">
        <f t="shared" si="2"/>
        <v>39168</v>
      </c>
      <c r="E61">
        <v>39168</v>
      </c>
    </row>
    <row r="62" spans="1:5" x14ac:dyDescent="0.3">
      <c r="A62">
        <v>1086</v>
      </c>
      <c r="B62" t="s">
        <v>20</v>
      </c>
      <c r="C62">
        <f t="shared" si="2"/>
        <v>2520</v>
      </c>
      <c r="E62">
        <v>2520</v>
      </c>
    </row>
    <row r="63" spans="1:5" x14ac:dyDescent="0.3">
      <c r="A63">
        <v>907</v>
      </c>
      <c r="B63" t="s">
        <v>14</v>
      </c>
      <c r="C63">
        <f t="shared" si="2"/>
        <v>-2832213</v>
      </c>
      <c r="E63">
        <v>-2832213</v>
      </c>
    </row>
    <row r="64" spans="1:5" x14ac:dyDescent="0.3">
      <c r="A64">
        <v>27281</v>
      </c>
      <c r="B64" t="s">
        <v>180</v>
      </c>
      <c r="C64">
        <f t="shared" si="2"/>
        <v>146565.22</v>
      </c>
      <c r="E64">
        <v>146565.22</v>
      </c>
    </row>
    <row r="65" spans="1:5" x14ac:dyDescent="0.3">
      <c r="A65">
        <v>908</v>
      </c>
      <c r="B65" t="s">
        <v>15</v>
      </c>
      <c r="C65">
        <f t="shared" si="2"/>
        <v>127559</v>
      </c>
      <c r="E65">
        <v>127559</v>
      </c>
    </row>
    <row r="66" spans="1:5" x14ac:dyDescent="0.3">
      <c r="A66">
        <v>41940</v>
      </c>
      <c r="B66" t="s">
        <v>365</v>
      </c>
      <c r="C66">
        <f t="shared" si="2"/>
        <v>2317078</v>
      </c>
      <c r="E66">
        <v>2317078</v>
      </c>
    </row>
    <row r="67" spans="1:5" x14ac:dyDescent="0.3">
      <c r="A67">
        <v>21757</v>
      </c>
      <c r="B67" t="s">
        <v>375</v>
      </c>
      <c r="C67">
        <f t="shared" si="2"/>
        <v>4820</v>
      </c>
      <c r="E67">
        <v>4820</v>
      </c>
    </row>
    <row r="68" spans="1:5" x14ac:dyDescent="0.3">
      <c r="A68">
        <v>36614</v>
      </c>
      <c r="B68" t="s">
        <v>11</v>
      </c>
      <c r="C68">
        <f t="shared" si="2"/>
        <v>2444897.81</v>
      </c>
      <c r="E68">
        <v>2444897.81</v>
      </c>
    </row>
    <row r="69" spans="1:5" x14ac:dyDescent="0.3">
      <c r="A69">
        <v>36613</v>
      </c>
      <c r="B69" t="s">
        <v>392</v>
      </c>
      <c r="C69">
        <f t="shared" si="2"/>
        <v>7000</v>
      </c>
      <c r="E69">
        <v>7000</v>
      </c>
    </row>
    <row r="70" spans="1:5" x14ac:dyDescent="0.3">
      <c r="A70">
        <v>20336</v>
      </c>
      <c r="B70" t="s">
        <v>12</v>
      </c>
      <c r="C70">
        <f t="shared" si="2"/>
        <v>3321370.43</v>
      </c>
      <c r="E70">
        <v>3321370.43</v>
      </c>
    </row>
    <row r="71" spans="1:5" x14ac:dyDescent="0.3">
      <c r="A71">
        <v>817</v>
      </c>
      <c r="B71" t="s">
        <v>21</v>
      </c>
      <c r="C71">
        <f t="shared" si="2"/>
        <v>2270</v>
      </c>
      <c r="E71">
        <v>2270</v>
      </c>
    </row>
    <row r="72" spans="1:5" x14ac:dyDescent="0.3">
      <c r="A72">
        <v>931</v>
      </c>
      <c r="B72" t="s">
        <v>196</v>
      </c>
      <c r="C72">
        <f t="shared" si="2"/>
        <v>2290</v>
      </c>
      <c r="E72">
        <v>2290</v>
      </c>
    </row>
    <row r="73" spans="1:5" x14ac:dyDescent="0.3">
      <c r="A73">
        <v>1076</v>
      </c>
      <c r="B73" t="s">
        <v>376</v>
      </c>
      <c r="C73">
        <f t="shared" si="2"/>
        <v>88549</v>
      </c>
      <c r="E73">
        <v>88549</v>
      </c>
    </row>
    <row r="74" spans="1:5" x14ac:dyDescent="0.3">
      <c r="A74">
        <v>933</v>
      </c>
      <c r="B74" t="s">
        <v>231</v>
      </c>
      <c r="C74">
        <f t="shared" si="2"/>
        <v>576</v>
      </c>
      <c r="E74">
        <v>576</v>
      </c>
    </row>
    <row r="75" spans="1:5" x14ac:dyDescent="0.3">
      <c r="A75">
        <v>962</v>
      </c>
      <c r="B75" t="s">
        <v>61</v>
      </c>
      <c r="C75">
        <f t="shared" si="2"/>
        <v>2673668</v>
      </c>
      <c r="E75">
        <v>2673668</v>
      </c>
    </row>
    <row r="76" spans="1:5" x14ac:dyDescent="0.3">
      <c r="A76">
        <v>961</v>
      </c>
      <c r="B76" t="s">
        <v>91</v>
      </c>
      <c r="C76">
        <f t="shared" si="2"/>
        <v>2493922.48</v>
      </c>
      <c r="E76">
        <v>2493922.48</v>
      </c>
    </row>
    <row r="77" spans="1:5" x14ac:dyDescent="0.3">
      <c r="A77">
        <v>964</v>
      </c>
      <c r="B77" t="s">
        <v>63</v>
      </c>
      <c r="C77">
        <f t="shared" si="2"/>
        <v>21500</v>
      </c>
      <c r="E77">
        <v>21500</v>
      </c>
    </row>
    <row r="78" spans="1:5" x14ac:dyDescent="0.3">
      <c r="A78">
        <v>894</v>
      </c>
      <c r="B78" t="s">
        <v>70</v>
      </c>
      <c r="C78">
        <f t="shared" si="2"/>
        <v>78756</v>
      </c>
      <c r="E78">
        <v>78756</v>
      </c>
    </row>
    <row r="79" spans="1:5" x14ac:dyDescent="0.3">
      <c r="A79">
        <v>969</v>
      </c>
      <c r="B79" t="s">
        <v>64</v>
      </c>
      <c r="C79">
        <f t="shared" si="2"/>
        <v>1824.78</v>
      </c>
      <c r="E79">
        <v>1824.78</v>
      </c>
    </row>
    <row r="80" spans="1:5" x14ac:dyDescent="0.3">
      <c r="A80">
        <v>963</v>
      </c>
      <c r="B80" t="s">
        <v>92</v>
      </c>
      <c r="C80">
        <f t="shared" si="2"/>
        <v>29832.2</v>
      </c>
      <c r="E80">
        <v>29832.2</v>
      </c>
    </row>
    <row r="81" spans="1:5" x14ac:dyDescent="0.3">
      <c r="A81">
        <v>29063</v>
      </c>
      <c r="B81" t="s">
        <v>206</v>
      </c>
      <c r="C81">
        <f t="shared" si="2"/>
        <v>156392.99</v>
      </c>
      <c r="E81">
        <v>156392.99</v>
      </c>
    </row>
    <row r="82" spans="1:5" x14ac:dyDescent="0.3">
      <c r="A82">
        <v>915</v>
      </c>
      <c r="B82" t="s">
        <v>65</v>
      </c>
      <c r="C82">
        <f t="shared" si="2"/>
        <v>2500</v>
      </c>
      <c r="E82">
        <v>2500</v>
      </c>
    </row>
    <row r="83" spans="1:5" x14ac:dyDescent="0.3">
      <c r="A83">
        <v>821</v>
      </c>
      <c r="B83" t="s">
        <v>113</v>
      </c>
      <c r="C83">
        <f t="shared" si="2"/>
        <v>1328858</v>
      </c>
      <c r="E83">
        <v>1328858</v>
      </c>
    </row>
    <row r="84" spans="1:5" x14ac:dyDescent="0.3">
      <c r="A84">
        <v>904</v>
      </c>
      <c r="B84" t="s">
        <v>67</v>
      </c>
      <c r="C84">
        <f t="shared" si="2"/>
        <v>338236</v>
      </c>
      <c r="E84">
        <v>338236</v>
      </c>
    </row>
    <row r="85" spans="1:5" x14ac:dyDescent="0.3">
      <c r="A85">
        <v>932</v>
      </c>
      <c r="B85" t="s">
        <v>54</v>
      </c>
      <c r="C85">
        <f t="shared" si="2"/>
        <v>456869.98</v>
      </c>
      <c r="E85">
        <v>456869.98</v>
      </c>
    </row>
    <row r="86" spans="1:5" x14ac:dyDescent="0.3">
      <c r="A86">
        <v>20113</v>
      </c>
      <c r="B86" t="s">
        <v>223</v>
      </c>
      <c r="C86">
        <f t="shared" si="2"/>
        <v>290349</v>
      </c>
      <c r="E86">
        <v>290349</v>
      </c>
    </row>
    <row r="87" spans="1:5" x14ac:dyDescent="0.3">
      <c r="A87">
        <v>854</v>
      </c>
      <c r="B87" t="s">
        <v>205</v>
      </c>
      <c r="C87">
        <f t="shared" si="2"/>
        <v>1134569</v>
      </c>
      <c r="E87">
        <v>1134569</v>
      </c>
    </row>
    <row r="88" spans="1:5" x14ac:dyDescent="0.3">
      <c r="A88">
        <v>984</v>
      </c>
      <c r="B88" t="s">
        <v>234</v>
      </c>
      <c r="C88">
        <f t="shared" si="2"/>
        <v>587289</v>
      </c>
      <c r="E88">
        <v>587289</v>
      </c>
    </row>
    <row r="89" spans="1:5" x14ac:dyDescent="0.3">
      <c r="A89">
        <v>983</v>
      </c>
      <c r="B89" t="s">
        <v>95</v>
      </c>
      <c r="C89">
        <f t="shared" si="2"/>
        <v>2588736.41</v>
      </c>
      <c r="E89">
        <v>2588736.41</v>
      </c>
    </row>
    <row r="90" spans="1:5" x14ac:dyDescent="0.3">
      <c r="A90">
        <v>35339</v>
      </c>
      <c r="B90" t="s">
        <v>224</v>
      </c>
      <c r="C90">
        <f t="shared" si="2"/>
        <v>4520</v>
      </c>
      <c r="E90">
        <v>4520</v>
      </c>
    </row>
    <row r="91" spans="1:5" x14ac:dyDescent="0.3">
      <c r="A91">
        <v>1074</v>
      </c>
      <c r="B91" t="s">
        <v>202</v>
      </c>
      <c r="C91">
        <f t="shared" si="2"/>
        <v>714506</v>
      </c>
      <c r="E91">
        <v>714506</v>
      </c>
    </row>
    <row r="92" spans="1:5" x14ac:dyDescent="0.3">
      <c r="A92">
        <v>951</v>
      </c>
      <c r="B92" t="s">
        <v>311</v>
      </c>
      <c r="C92">
        <f t="shared" si="2"/>
        <v>154000</v>
      </c>
      <c r="E92">
        <v>154000</v>
      </c>
    </row>
    <row r="93" spans="1:5" x14ac:dyDescent="0.3">
      <c r="A93">
        <v>926</v>
      </c>
      <c r="B93" t="s">
        <v>207</v>
      </c>
      <c r="C93">
        <f t="shared" si="2"/>
        <v>1978819.96</v>
      </c>
      <c r="E93">
        <v>1978819.96</v>
      </c>
    </row>
    <row r="94" spans="1:5" x14ac:dyDescent="0.3">
      <c r="A94">
        <v>934</v>
      </c>
      <c r="B94" t="s">
        <v>103</v>
      </c>
      <c r="C94">
        <f t="shared" si="2"/>
        <v>-50630.559999999998</v>
      </c>
      <c r="E94">
        <v>-50630.559999999998</v>
      </c>
    </row>
    <row r="95" spans="1:5" x14ac:dyDescent="0.3">
      <c r="A95">
        <v>685</v>
      </c>
      <c r="B95" t="s">
        <v>97</v>
      </c>
      <c r="C95">
        <f t="shared" si="2"/>
        <v>39120.6</v>
      </c>
      <c r="E95">
        <v>39120.6</v>
      </c>
    </row>
    <row r="96" spans="1:5" x14ac:dyDescent="0.3">
      <c r="A96">
        <v>920</v>
      </c>
      <c r="B96" t="s">
        <v>153</v>
      </c>
      <c r="C96">
        <f t="shared" si="2"/>
        <v>274246.76</v>
      </c>
      <c r="E96">
        <v>274246.76</v>
      </c>
    </row>
    <row r="97" spans="1:5" x14ac:dyDescent="0.3">
      <c r="A97">
        <v>936</v>
      </c>
      <c r="B97" t="s">
        <v>225</v>
      </c>
      <c r="C97">
        <f t="shared" si="2"/>
        <v>34038.1</v>
      </c>
      <c r="E97">
        <v>34038.1</v>
      </c>
    </row>
    <row r="98" spans="1:5" x14ac:dyDescent="0.3">
      <c r="A98">
        <v>812</v>
      </c>
      <c r="B98" t="s">
        <v>90</v>
      </c>
      <c r="C98">
        <f t="shared" si="2"/>
        <v>911811.36</v>
      </c>
      <c r="E98">
        <v>911811.36</v>
      </c>
    </row>
    <row r="99" spans="1:5" x14ac:dyDescent="0.3">
      <c r="A99">
        <v>1110</v>
      </c>
      <c r="B99" t="s">
        <v>102</v>
      </c>
      <c r="C99">
        <f t="shared" si="2"/>
        <v>121336</v>
      </c>
      <c r="E99">
        <v>121336</v>
      </c>
    </row>
    <row r="100" spans="1:5" x14ac:dyDescent="0.3">
      <c r="A100">
        <v>930</v>
      </c>
      <c r="B100" t="s">
        <v>96</v>
      </c>
      <c r="C100">
        <f t="shared" si="2"/>
        <v>5550</v>
      </c>
      <c r="E100">
        <v>5550</v>
      </c>
    </row>
    <row r="101" spans="1:5" x14ac:dyDescent="0.3">
      <c r="A101">
        <v>1021</v>
      </c>
      <c r="B101" t="s">
        <v>57</v>
      </c>
      <c r="C101">
        <f t="shared" si="2"/>
        <v>9.99</v>
      </c>
      <c r="E101">
        <v>9.99</v>
      </c>
    </row>
    <row r="102" spans="1:5" x14ac:dyDescent="0.3">
      <c r="A102">
        <v>935</v>
      </c>
      <c r="B102" t="s">
        <v>228</v>
      </c>
      <c r="C102">
        <f t="shared" si="2"/>
        <v>16205</v>
      </c>
      <c r="E102">
        <v>16205</v>
      </c>
    </row>
    <row r="103" spans="1:5" x14ac:dyDescent="0.3">
      <c r="A103">
        <v>882</v>
      </c>
      <c r="B103" t="s">
        <v>216</v>
      </c>
      <c r="C103">
        <f t="shared" si="2"/>
        <v>475414</v>
      </c>
      <c r="E103">
        <v>475414</v>
      </c>
    </row>
    <row r="104" spans="1:5" x14ac:dyDescent="0.3">
      <c r="A104">
        <v>862</v>
      </c>
      <c r="B104" t="s">
        <v>79</v>
      </c>
      <c r="C104">
        <f t="shared" si="2"/>
        <v>46645</v>
      </c>
      <c r="E104">
        <v>46645</v>
      </c>
    </row>
    <row r="105" spans="1:5" x14ac:dyDescent="0.3">
      <c r="A105">
        <v>948</v>
      </c>
      <c r="B105" t="s">
        <v>72</v>
      </c>
      <c r="C105">
        <f t="shared" si="2"/>
        <v>5630073</v>
      </c>
      <c r="E105">
        <v>5630073</v>
      </c>
    </row>
    <row r="106" spans="1:5" x14ac:dyDescent="0.3">
      <c r="A106">
        <v>855</v>
      </c>
      <c r="B106" t="s">
        <v>73</v>
      </c>
      <c r="C106">
        <f t="shared" si="2"/>
        <v>2222889</v>
      </c>
      <c r="E106">
        <v>2222889</v>
      </c>
    </row>
    <row r="107" spans="1:5" x14ac:dyDescent="0.3">
      <c r="A107">
        <v>874</v>
      </c>
      <c r="B107" t="s">
        <v>393</v>
      </c>
      <c r="C107">
        <f t="shared" si="2"/>
        <v>15604</v>
      </c>
      <c r="E107">
        <v>15604</v>
      </c>
    </row>
    <row r="108" spans="1:5" x14ac:dyDescent="0.3">
      <c r="A108">
        <v>853</v>
      </c>
      <c r="B108" t="s">
        <v>74</v>
      </c>
      <c r="C108">
        <f t="shared" si="2"/>
        <v>7166581</v>
      </c>
      <c r="E108">
        <v>7166581</v>
      </c>
    </row>
    <row r="109" spans="1:5" x14ac:dyDescent="0.3">
      <c r="A109">
        <v>848</v>
      </c>
      <c r="B109" t="s">
        <v>235</v>
      </c>
      <c r="C109">
        <f t="shared" si="2"/>
        <v>57725</v>
      </c>
      <c r="E109">
        <v>57725</v>
      </c>
    </row>
    <row r="110" spans="1:5" x14ac:dyDescent="0.3">
      <c r="A110">
        <v>856</v>
      </c>
      <c r="B110" t="s">
        <v>80</v>
      </c>
      <c r="C110">
        <f t="shared" si="2"/>
        <v>153910</v>
      </c>
      <c r="E110">
        <v>153910</v>
      </c>
    </row>
    <row r="111" spans="1:5" x14ac:dyDescent="0.3">
      <c r="A111">
        <v>857</v>
      </c>
      <c r="B111" t="s">
        <v>76</v>
      </c>
      <c r="C111">
        <f t="shared" si="2"/>
        <v>24290</v>
      </c>
      <c r="E111">
        <v>24290</v>
      </c>
    </row>
    <row r="112" spans="1:5" x14ac:dyDescent="0.3">
      <c r="A112">
        <v>975</v>
      </c>
      <c r="B112" t="s">
        <v>77</v>
      </c>
      <c r="C112">
        <f t="shared" si="2"/>
        <v>31176</v>
      </c>
      <c r="E112">
        <v>31176</v>
      </c>
    </row>
    <row r="113" spans="1:9" x14ac:dyDescent="0.3">
      <c r="A113">
        <v>10208</v>
      </c>
      <c r="B113" t="s">
        <v>78</v>
      </c>
      <c r="C113">
        <f t="shared" si="2"/>
        <v>656263</v>
      </c>
      <c r="E113">
        <v>656263</v>
      </c>
    </row>
    <row r="114" spans="1:9" x14ac:dyDescent="0.3">
      <c r="A114">
        <v>863</v>
      </c>
      <c r="B114" t="s">
        <v>218</v>
      </c>
      <c r="C114">
        <f t="shared" si="2"/>
        <v>-1371</v>
      </c>
      <c r="E114">
        <v>-1371</v>
      </c>
    </row>
    <row r="115" spans="1:9" x14ac:dyDescent="0.3">
      <c r="A115">
        <v>31408</v>
      </c>
      <c r="B115" t="s">
        <v>227</v>
      </c>
      <c r="C115">
        <f t="shared" si="2"/>
        <v>-2590</v>
      </c>
      <c r="E115">
        <v>-2590</v>
      </c>
    </row>
    <row r="116" spans="1:9" x14ac:dyDescent="0.3">
      <c r="A116">
        <v>718</v>
      </c>
      <c r="B116" t="s">
        <v>217</v>
      </c>
      <c r="C116">
        <f t="shared" si="2"/>
        <v>848669</v>
      </c>
      <c r="E116">
        <v>848669</v>
      </c>
    </row>
    <row r="117" spans="1:9" x14ac:dyDescent="0.3">
      <c r="A117">
        <v>851</v>
      </c>
      <c r="B117" t="s">
        <v>81</v>
      </c>
      <c r="C117">
        <f t="shared" si="2"/>
        <v>62018355</v>
      </c>
      <c r="E117">
        <v>62018355</v>
      </c>
    </row>
    <row r="118" spans="1:9" x14ac:dyDescent="0.3">
      <c r="A118">
        <v>852</v>
      </c>
      <c r="B118" t="s">
        <v>215</v>
      </c>
      <c r="C118">
        <f t="shared" si="2"/>
        <v>312704</v>
      </c>
      <c r="E118">
        <v>312704</v>
      </c>
    </row>
    <row r="119" spans="1:9" x14ac:dyDescent="0.3">
      <c r="A119">
        <v>881</v>
      </c>
      <c r="B119" t="s">
        <v>210</v>
      </c>
      <c r="C119">
        <f t="shared" si="2"/>
        <v>1484</v>
      </c>
      <c r="E119">
        <v>1484</v>
      </c>
    </row>
    <row r="120" spans="1:9" x14ac:dyDescent="0.3">
      <c r="A120">
        <v>689</v>
      </c>
      <c r="B120" t="s">
        <v>75</v>
      </c>
      <c r="C120">
        <f t="shared" si="2"/>
        <v>1403969</v>
      </c>
      <c r="E120">
        <v>1403969</v>
      </c>
    </row>
    <row r="121" spans="1:9" x14ac:dyDescent="0.3">
      <c r="A121">
        <v>1325</v>
      </c>
      <c r="B121" t="s">
        <v>98</v>
      </c>
      <c r="C121">
        <f t="shared" si="2"/>
        <v>23919677</v>
      </c>
      <c r="E121">
        <v>23919677</v>
      </c>
    </row>
    <row r="122" spans="1:9" x14ac:dyDescent="0.3">
      <c r="A122">
        <v>11722</v>
      </c>
      <c r="B122" t="s">
        <v>211</v>
      </c>
      <c r="C122">
        <f t="shared" si="2"/>
        <v>1289</v>
      </c>
      <c r="E122">
        <v>1289</v>
      </c>
      <c r="I122">
        <f>+'Profit Loss-Amravati-25-26'!M190-SUM(C9:C22)+SUM(C24:C138)</f>
        <v>111735998.65333354</v>
      </c>
    </row>
    <row r="123" spans="1:9" x14ac:dyDescent="0.3">
      <c r="A123">
        <v>39011</v>
      </c>
      <c r="B123" t="s">
        <v>83</v>
      </c>
      <c r="C123">
        <f t="shared" si="2"/>
        <v>1384239</v>
      </c>
      <c r="E123">
        <v>1384239</v>
      </c>
    </row>
    <row r="124" spans="1:9" x14ac:dyDescent="0.3">
      <c r="A124">
        <v>38580</v>
      </c>
      <c r="B124" t="s">
        <v>82</v>
      </c>
      <c r="C124">
        <f t="shared" si="2"/>
        <v>5264953</v>
      </c>
      <c r="E124">
        <v>5264953</v>
      </c>
    </row>
    <row r="125" spans="1:9" x14ac:dyDescent="0.3">
      <c r="A125">
        <v>39010</v>
      </c>
      <c r="B125" t="s">
        <v>85</v>
      </c>
      <c r="C125">
        <f t="shared" si="2"/>
        <v>-57876</v>
      </c>
      <c r="E125">
        <v>-57876</v>
      </c>
    </row>
    <row r="126" spans="1:9" x14ac:dyDescent="0.3">
      <c r="A126">
        <v>38579</v>
      </c>
      <c r="B126" t="s">
        <v>86</v>
      </c>
      <c r="C126">
        <f t="shared" si="2"/>
        <v>-900812</v>
      </c>
      <c r="E126">
        <v>-900812</v>
      </c>
    </row>
    <row r="127" spans="1:9" x14ac:dyDescent="0.3">
      <c r="A127">
        <v>872</v>
      </c>
      <c r="B127" t="s">
        <v>87</v>
      </c>
      <c r="C127">
        <f t="shared" si="2"/>
        <v>69675</v>
      </c>
      <c r="E127">
        <v>69675</v>
      </c>
    </row>
    <row r="128" spans="1:9" x14ac:dyDescent="0.3">
      <c r="A128">
        <v>868</v>
      </c>
      <c r="B128" t="s">
        <v>88</v>
      </c>
      <c r="C128">
        <f t="shared" si="2"/>
        <v>423632</v>
      </c>
      <c r="E128">
        <v>423632</v>
      </c>
    </row>
    <row r="129" spans="1:5" x14ac:dyDescent="0.3">
      <c r="A129">
        <v>675</v>
      </c>
      <c r="B129" t="s">
        <v>99</v>
      </c>
      <c r="C129">
        <f t="shared" si="2"/>
        <v>188000</v>
      </c>
      <c r="E129">
        <v>188000</v>
      </c>
    </row>
    <row r="130" spans="1:5" x14ac:dyDescent="0.3">
      <c r="A130">
        <v>1107</v>
      </c>
      <c r="B130" t="s">
        <v>105</v>
      </c>
      <c r="C130">
        <f t="shared" si="2"/>
        <v>163563</v>
      </c>
      <c r="E130">
        <v>163563</v>
      </c>
    </row>
    <row r="131" spans="1:5" x14ac:dyDescent="0.3">
      <c r="A131">
        <v>859</v>
      </c>
      <c r="B131" t="s">
        <v>220</v>
      </c>
      <c r="C131">
        <f t="shared" si="2"/>
        <v>79843</v>
      </c>
      <c r="E131">
        <v>79843</v>
      </c>
    </row>
    <row r="132" spans="1:5" x14ac:dyDescent="0.3">
      <c r="A132">
        <v>858</v>
      </c>
      <c r="B132" t="s">
        <v>89</v>
      </c>
      <c r="C132">
        <f t="shared" si="2"/>
        <v>1051696.3600000001</v>
      </c>
      <c r="E132">
        <v>1051696.3600000001</v>
      </c>
    </row>
    <row r="133" spans="1:5" x14ac:dyDescent="0.3">
      <c r="A133">
        <v>870</v>
      </c>
      <c r="B133" t="s">
        <v>221</v>
      </c>
      <c r="C133">
        <f t="shared" si="2"/>
        <v>279416.12</v>
      </c>
      <c r="E133">
        <v>279416.12</v>
      </c>
    </row>
    <row r="134" spans="1:5" x14ac:dyDescent="0.3">
      <c r="A134">
        <v>981</v>
      </c>
      <c r="B134" t="s">
        <v>109</v>
      </c>
      <c r="C134">
        <f t="shared" si="2"/>
        <v>256510.49</v>
      </c>
      <c r="E134">
        <v>256510.49</v>
      </c>
    </row>
    <row r="135" spans="1:5" x14ac:dyDescent="0.3">
      <c r="A135">
        <v>974</v>
      </c>
      <c r="B135" t="s">
        <v>94</v>
      </c>
      <c r="C135">
        <f t="shared" si="2"/>
        <v>699</v>
      </c>
      <c r="E135">
        <v>699</v>
      </c>
    </row>
    <row r="136" spans="1:5" x14ac:dyDescent="0.3">
      <c r="A136">
        <v>1214</v>
      </c>
      <c r="B136" t="s">
        <v>106</v>
      </c>
      <c r="C136">
        <f t="shared" si="2"/>
        <v>10000</v>
      </c>
      <c r="E136">
        <v>10000</v>
      </c>
    </row>
    <row r="137" spans="1:5" x14ac:dyDescent="0.3">
      <c r="A137">
        <v>25273</v>
      </c>
      <c r="B137" t="s">
        <v>112</v>
      </c>
      <c r="C137">
        <f t="shared" si="2"/>
        <v>1421763.15</v>
      </c>
      <c r="E137">
        <v>1421763.15</v>
      </c>
    </row>
    <row r="138" spans="1:5" x14ac:dyDescent="0.3">
      <c r="A138">
        <v>986</v>
      </c>
      <c r="B138" t="s">
        <v>114</v>
      </c>
      <c r="C138">
        <f t="shared" si="2"/>
        <v>1577</v>
      </c>
      <c r="E138">
        <v>1577</v>
      </c>
    </row>
    <row r="139" spans="1:5" x14ac:dyDescent="0.3">
      <c r="A139" t="s">
        <v>317</v>
      </c>
      <c r="B139" t="s">
        <v>290</v>
      </c>
      <c r="C139">
        <f>SUM(C24:C138)</f>
        <v>708557861.72000027</v>
      </c>
      <c r="D139">
        <v>708557861.72000003</v>
      </c>
      <c r="E139">
        <f>SUM(E24:E138)</f>
        <v>708557861.72000027</v>
      </c>
    </row>
    <row r="140" spans="1:5" x14ac:dyDescent="0.3">
      <c r="A140" t="s">
        <v>325</v>
      </c>
      <c r="B140" t="s">
        <v>326</v>
      </c>
      <c r="C140">
        <f>+C23-C139</f>
        <v>-237468168.63000023</v>
      </c>
    </row>
    <row r="141" spans="1:5" x14ac:dyDescent="0.3">
      <c r="A141" t="s">
        <v>317</v>
      </c>
      <c r="B141" t="s">
        <v>290</v>
      </c>
      <c r="C141">
        <f>+C23-C139</f>
        <v>-237468168.63000023</v>
      </c>
      <c r="D141" t="s">
        <v>144</v>
      </c>
      <c r="E141" t="s">
        <v>144</v>
      </c>
    </row>
    <row r="142" spans="1:5" x14ac:dyDescent="0.3">
      <c r="A142" t="s">
        <v>327</v>
      </c>
      <c r="B142" t="s">
        <v>394</v>
      </c>
      <c r="C142">
        <v>68.63</v>
      </c>
    </row>
    <row r="143" spans="1:5" x14ac:dyDescent="0.3">
      <c r="A143" t="s">
        <v>329</v>
      </c>
      <c r="B143" t="s">
        <v>294</v>
      </c>
      <c r="C143" t="s">
        <v>242</v>
      </c>
      <c r="D143" t="s">
        <v>154</v>
      </c>
      <c r="E143" t="s">
        <v>250</v>
      </c>
    </row>
    <row r="144" spans="1:5" x14ac:dyDescent="0.3">
      <c r="A144" t="s">
        <v>156</v>
      </c>
      <c r="B144" t="s">
        <v>395</v>
      </c>
      <c r="D144" t="s">
        <v>252</v>
      </c>
      <c r="E144" t="s">
        <v>350</v>
      </c>
    </row>
    <row r="145" spans="1:1" x14ac:dyDescent="0.3">
      <c r="A145" t="s">
        <v>157</v>
      </c>
    </row>
  </sheetData>
  <autoFilter ref="A7:C145" xr:uid="{81F360C6-3B62-4147-ABA7-F5A77A6E6161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1D43-8A52-4B3F-B7E8-D88F0701389E}">
  <dimension ref="A1:E63"/>
  <sheetViews>
    <sheetView workbookViewId="0">
      <selection activeCell="B19" sqref="B19"/>
    </sheetView>
  </sheetViews>
  <sheetFormatPr defaultRowHeight="14.4" x14ac:dyDescent="0.3"/>
  <cols>
    <col min="2" max="2" width="35.6640625" customWidth="1"/>
    <col min="3" max="6" width="24.554687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160</v>
      </c>
      <c r="C3" t="s">
        <v>396</v>
      </c>
      <c r="D3" t="s">
        <v>143</v>
      </c>
    </row>
    <row r="4" spans="1:5" x14ac:dyDescent="0.3">
      <c r="A4" t="s">
        <v>162</v>
      </c>
      <c r="B4" t="s">
        <v>290</v>
      </c>
      <c r="C4" t="s">
        <v>255</v>
      </c>
      <c r="D4" t="s">
        <v>144</v>
      </c>
      <c r="E4" t="s">
        <v>144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162</v>
      </c>
      <c r="B7" t="s">
        <v>290</v>
      </c>
      <c r="C7" t="s">
        <v>255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v>16435708.01</v>
      </c>
    </row>
    <row r="10" spans="1:5" x14ac:dyDescent="0.3">
      <c r="A10">
        <v>706</v>
      </c>
      <c r="B10" t="s">
        <v>384</v>
      </c>
      <c r="C10">
        <v>0.01</v>
      </c>
    </row>
    <row r="11" spans="1:5" x14ac:dyDescent="0.3">
      <c r="A11" t="s">
        <v>165</v>
      </c>
      <c r="B11" t="s">
        <v>164</v>
      </c>
      <c r="C11">
        <f>SUM(C9:C10)</f>
        <v>16435708.02</v>
      </c>
      <c r="D11">
        <v>16435708.02</v>
      </c>
      <c r="E11">
        <f>+C11-D11</f>
        <v>0</v>
      </c>
    </row>
    <row r="12" spans="1:5" x14ac:dyDescent="0.3">
      <c r="A12">
        <v>20335</v>
      </c>
      <c r="B12" t="s">
        <v>39</v>
      </c>
      <c r="C12">
        <v>400</v>
      </c>
    </row>
    <row r="13" spans="1:5" x14ac:dyDescent="0.3">
      <c r="A13">
        <v>36583</v>
      </c>
      <c r="B13" t="s">
        <v>200</v>
      </c>
      <c r="C13">
        <v>96043.72</v>
      </c>
    </row>
    <row r="14" spans="1:5" x14ac:dyDescent="0.3">
      <c r="A14">
        <v>815</v>
      </c>
      <c r="B14" t="s">
        <v>40</v>
      </c>
      <c r="C14">
        <v>34338</v>
      </c>
    </row>
    <row r="15" spans="1:5" x14ac:dyDescent="0.3">
      <c r="A15">
        <v>25339</v>
      </c>
      <c r="B15" t="s">
        <v>192</v>
      </c>
      <c r="C15">
        <v>470860.28</v>
      </c>
    </row>
    <row r="16" spans="1:5" x14ac:dyDescent="0.3">
      <c r="A16">
        <v>810</v>
      </c>
      <c r="B16" t="s">
        <v>48</v>
      </c>
      <c r="C16">
        <v>6700</v>
      </c>
    </row>
    <row r="17" spans="1:3" x14ac:dyDescent="0.3">
      <c r="A17">
        <v>937</v>
      </c>
      <c r="B17" t="s">
        <v>58</v>
      </c>
      <c r="C17">
        <v>19250</v>
      </c>
    </row>
    <row r="18" spans="1:3" x14ac:dyDescent="0.3">
      <c r="A18">
        <v>809</v>
      </c>
      <c r="B18" t="s">
        <v>46</v>
      </c>
      <c r="C18">
        <v>1135660</v>
      </c>
    </row>
    <row r="19" spans="1:3" x14ac:dyDescent="0.3">
      <c r="A19">
        <v>36614</v>
      </c>
      <c r="B19" t="s">
        <v>11</v>
      </c>
      <c r="C19">
        <v>6000</v>
      </c>
    </row>
    <row r="20" spans="1:3" x14ac:dyDescent="0.3">
      <c r="A20">
        <v>20336</v>
      </c>
      <c r="B20" t="s">
        <v>12</v>
      </c>
      <c r="C20">
        <v>12500</v>
      </c>
    </row>
    <row r="21" spans="1:3" x14ac:dyDescent="0.3">
      <c r="A21">
        <v>961</v>
      </c>
      <c r="B21" t="s">
        <v>91</v>
      </c>
      <c r="C21">
        <v>18200</v>
      </c>
    </row>
    <row r="22" spans="1:3" x14ac:dyDescent="0.3">
      <c r="A22">
        <v>894</v>
      </c>
      <c r="B22" t="s">
        <v>70</v>
      </c>
      <c r="C22">
        <v>104517</v>
      </c>
    </row>
    <row r="23" spans="1:3" x14ac:dyDescent="0.3">
      <c r="A23">
        <v>963</v>
      </c>
      <c r="B23" t="s">
        <v>92</v>
      </c>
      <c r="C23">
        <v>122670</v>
      </c>
    </row>
    <row r="24" spans="1:3" x14ac:dyDescent="0.3">
      <c r="A24">
        <v>29063</v>
      </c>
      <c r="B24" t="s">
        <v>206</v>
      </c>
      <c r="C24">
        <v>445</v>
      </c>
    </row>
    <row r="25" spans="1:3" x14ac:dyDescent="0.3">
      <c r="A25">
        <v>821</v>
      </c>
      <c r="B25" t="s">
        <v>113</v>
      </c>
      <c r="C25">
        <v>1361900</v>
      </c>
    </row>
    <row r="26" spans="1:3" x14ac:dyDescent="0.3">
      <c r="A26">
        <v>904</v>
      </c>
      <c r="B26" t="s">
        <v>67</v>
      </c>
      <c r="C26">
        <v>12117</v>
      </c>
    </row>
    <row r="27" spans="1:3" x14ac:dyDescent="0.3">
      <c r="A27">
        <v>932</v>
      </c>
      <c r="B27" t="s">
        <v>54</v>
      </c>
      <c r="C27">
        <v>48087.86</v>
      </c>
    </row>
    <row r="28" spans="1:3" x14ac:dyDescent="0.3">
      <c r="A28">
        <v>1101</v>
      </c>
      <c r="B28" t="s">
        <v>229</v>
      </c>
      <c r="C28">
        <v>20000</v>
      </c>
    </row>
    <row r="29" spans="1:3" x14ac:dyDescent="0.3">
      <c r="A29">
        <v>854</v>
      </c>
      <c r="B29" t="s">
        <v>205</v>
      </c>
      <c r="C29">
        <v>29717</v>
      </c>
    </row>
    <row r="30" spans="1:3" x14ac:dyDescent="0.3">
      <c r="A30">
        <v>983</v>
      </c>
      <c r="B30" t="s">
        <v>95</v>
      </c>
      <c r="C30">
        <v>71564</v>
      </c>
    </row>
    <row r="31" spans="1:3" x14ac:dyDescent="0.3">
      <c r="A31">
        <v>1074</v>
      </c>
      <c r="B31" t="s">
        <v>202</v>
      </c>
      <c r="C31">
        <v>46150</v>
      </c>
    </row>
    <row r="32" spans="1:3" x14ac:dyDescent="0.3">
      <c r="A32">
        <v>926</v>
      </c>
      <c r="B32" t="s">
        <v>207</v>
      </c>
      <c r="C32">
        <v>49073</v>
      </c>
    </row>
    <row r="33" spans="1:3" x14ac:dyDescent="0.3">
      <c r="A33">
        <v>934</v>
      </c>
      <c r="B33" t="s">
        <v>103</v>
      </c>
      <c r="C33">
        <v>4950</v>
      </c>
    </row>
    <row r="34" spans="1:3" x14ac:dyDescent="0.3">
      <c r="A34">
        <v>685</v>
      </c>
      <c r="B34" t="s">
        <v>97</v>
      </c>
      <c r="C34">
        <v>26020</v>
      </c>
    </row>
    <row r="35" spans="1:3" x14ac:dyDescent="0.3">
      <c r="A35">
        <v>920</v>
      </c>
      <c r="B35" t="s">
        <v>153</v>
      </c>
      <c r="C35">
        <v>11577.4</v>
      </c>
    </row>
    <row r="36" spans="1:3" x14ac:dyDescent="0.3">
      <c r="A36">
        <v>936</v>
      </c>
      <c r="B36" t="s">
        <v>225</v>
      </c>
      <c r="C36">
        <v>16928.78</v>
      </c>
    </row>
    <row r="37" spans="1:3" x14ac:dyDescent="0.3">
      <c r="A37">
        <v>812</v>
      </c>
      <c r="B37" t="s">
        <v>90</v>
      </c>
      <c r="C37">
        <v>85306.79</v>
      </c>
    </row>
    <row r="38" spans="1:3" x14ac:dyDescent="0.3">
      <c r="A38">
        <v>1021</v>
      </c>
      <c r="B38" t="s">
        <v>57</v>
      </c>
      <c r="C38">
        <v>-11.31</v>
      </c>
    </row>
    <row r="39" spans="1:3" x14ac:dyDescent="0.3">
      <c r="A39">
        <v>10000</v>
      </c>
      <c r="B39" t="s">
        <v>68</v>
      </c>
      <c r="C39">
        <v>4900</v>
      </c>
    </row>
    <row r="40" spans="1:3" x14ac:dyDescent="0.3">
      <c r="A40">
        <v>935</v>
      </c>
      <c r="B40" t="s">
        <v>228</v>
      </c>
      <c r="C40">
        <v>3971</v>
      </c>
    </row>
    <row r="41" spans="1:3" x14ac:dyDescent="0.3">
      <c r="A41">
        <v>948</v>
      </c>
      <c r="B41" t="s">
        <v>72</v>
      </c>
      <c r="C41">
        <v>233987</v>
      </c>
    </row>
    <row r="42" spans="1:3" x14ac:dyDescent="0.3">
      <c r="A42">
        <v>855</v>
      </c>
      <c r="B42" t="s">
        <v>73</v>
      </c>
      <c r="C42">
        <v>245159</v>
      </c>
    </row>
    <row r="43" spans="1:3" x14ac:dyDescent="0.3">
      <c r="A43">
        <v>853</v>
      </c>
      <c r="B43" t="s">
        <v>74</v>
      </c>
      <c r="C43">
        <v>348638</v>
      </c>
    </row>
    <row r="44" spans="1:3" x14ac:dyDescent="0.3">
      <c r="A44">
        <v>10208</v>
      </c>
      <c r="B44" t="s">
        <v>78</v>
      </c>
      <c r="C44">
        <v>71861</v>
      </c>
    </row>
    <row r="45" spans="1:3" x14ac:dyDescent="0.3">
      <c r="A45">
        <v>851</v>
      </c>
      <c r="B45" t="s">
        <v>81</v>
      </c>
      <c r="C45">
        <v>3510753</v>
      </c>
    </row>
    <row r="46" spans="1:3" x14ac:dyDescent="0.3">
      <c r="A46">
        <v>1325</v>
      </c>
      <c r="B46" t="s">
        <v>98</v>
      </c>
      <c r="C46">
        <v>14741990</v>
      </c>
    </row>
    <row r="47" spans="1:3" x14ac:dyDescent="0.3">
      <c r="A47">
        <v>39011</v>
      </c>
      <c r="B47" t="s">
        <v>83</v>
      </c>
      <c r="C47">
        <v>68925</v>
      </c>
    </row>
    <row r="48" spans="1:3" x14ac:dyDescent="0.3">
      <c r="A48">
        <v>38580</v>
      </c>
      <c r="B48" t="s">
        <v>82</v>
      </c>
      <c r="C48">
        <v>236682</v>
      </c>
    </row>
    <row r="49" spans="1:5" x14ac:dyDescent="0.3">
      <c r="A49">
        <v>39010</v>
      </c>
      <c r="B49" t="s">
        <v>85</v>
      </c>
      <c r="C49">
        <v>-2573</v>
      </c>
    </row>
    <row r="50" spans="1:5" x14ac:dyDescent="0.3">
      <c r="A50">
        <v>38579</v>
      </c>
      <c r="B50" t="s">
        <v>86</v>
      </c>
      <c r="C50">
        <v>-40505</v>
      </c>
    </row>
    <row r="51" spans="1:5" x14ac:dyDescent="0.3">
      <c r="A51">
        <v>872</v>
      </c>
      <c r="B51" t="s">
        <v>87</v>
      </c>
      <c r="C51">
        <v>24500</v>
      </c>
    </row>
    <row r="52" spans="1:5" x14ac:dyDescent="0.3">
      <c r="A52">
        <v>868</v>
      </c>
      <c r="B52" t="s">
        <v>88</v>
      </c>
      <c r="C52">
        <v>19600</v>
      </c>
    </row>
    <row r="53" spans="1:5" x14ac:dyDescent="0.3">
      <c r="A53">
        <v>675</v>
      </c>
      <c r="B53" t="s">
        <v>99</v>
      </c>
      <c r="C53">
        <v>16000</v>
      </c>
    </row>
    <row r="54" spans="1:5" x14ac:dyDescent="0.3">
      <c r="A54">
        <v>1107</v>
      </c>
      <c r="B54" t="s">
        <v>105</v>
      </c>
      <c r="C54">
        <v>3781</v>
      </c>
    </row>
    <row r="55" spans="1:5" x14ac:dyDescent="0.3">
      <c r="A55">
        <v>859</v>
      </c>
      <c r="B55" t="s">
        <v>220</v>
      </c>
      <c r="C55">
        <v>1632</v>
      </c>
    </row>
    <row r="56" spans="1:5" x14ac:dyDescent="0.3">
      <c r="A56">
        <v>858</v>
      </c>
      <c r="B56" t="s">
        <v>89</v>
      </c>
      <c r="C56">
        <v>244832</v>
      </c>
    </row>
    <row r="57" spans="1:5" x14ac:dyDescent="0.3">
      <c r="A57">
        <v>981</v>
      </c>
      <c r="B57" t="s">
        <v>109</v>
      </c>
      <c r="C57">
        <v>11202.92</v>
      </c>
    </row>
    <row r="58" spans="1:5" x14ac:dyDescent="0.3">
      <c r="A58" t="s">
        <v>167</v>
      </c>
      <c r="B58" t="s">
        <v>168</v>
      </c>
      <c r="C58">
        <f>SUM(C12:C57)</f>
        <v>23556300.440000001</v>
      </c>
      <c r="D58">
        <v>23556300.440000001</v>
      </c>
      <c r="E58">
        <f>+C58-D58</f>
        <v>0</v>
      </c>
    </row>
    <row r="59" spans="1:5" x14ac:dyDescent="0.3">
      <c r="C59">
        <f>+C11-C58</f>
        <v>-7120592.4200000018</v>
      </c>
    </row>
    <row r="60" spans="1:5" x14ac:dyDescent="0.3">
      <c r="A60" t="s">
        <v>169</v>
      </c>
      <c r="B60" t="s">
        <v>397</v>
      </c>
      <c r="C60">
        <v>2.42</v>
      </c>
    </row>
    <row r="61" spans="1:5" x14ac:dyDescent="0.3">
      <c r="A61" t="s">
        <v>171</v>
      </c>
      <c r="B61" t="s">
        <v>294</v>
      </c>
      <c r="C61" t="s">
        <v>259</v>
      </c>
      <c r="D61" t="s">
        <v>154</v>
      </c>
      <c r="E61" t="s">
        <v>250</v>
      </c>
    </row>
    <row r="62" spans="1:5" x14ac:dyDescent="0.3">
      <c r="A62" t="s">
        <v>156</v>
      </c>
      <c r="B62" t="s">
        <v>398</v>
      </c>
      <c r="D62" t="s">
        <v>252</v>
      </c>
      <c r="E62" t="s">
        <v>348</v>
      </c>
    </row>
    <row r="63" spans="1:5" x14ac:dyDescent="0.3">
      <c r="A63" t="s">
        <v>157</v>
      </c>
    </row>
  </sheetData>
  <autoFilter ref="A7:C63" xr:uid="{10DF1D43-8A52-4B3F-B7E8-D88F0701389E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307E-016E-42AF-AF53-6FB7F0018056}">
  <dimension ref="A1:H151"/>
  <sheetViews>
    <sheetView topLeftCell="A121" workbookViewId="0">
      <selection activeCell="C145" sqref="C145"/>
    </sheetView>
  </sheetViews>
  <sheetFormatPr defaultRowHeight="14.4" x14ac:dyDescent="0.3"/>
  <cols>
    <col min="2" max="3" width="41.6640625" customWidth="1"/>
  </cols>
  <sheetData>
    <row r="1" spans="1:6" x14ac:dyDescent="0.3">
      <c r="A1" t="s">
        <v>141</v>
      </c>
      <c r="B1" t="s">
        <v>239</v>
      </c>
      <c r="D1" t="s">
        <v>143</v>
      </c>
    </row>
    <row r="2" spans="1:6" x14ac:dyDescent="0.3">
      <c r="A2" t="s">
        <v>141</v>
      </c>
      <c r="B2" t="s">
        <v>240</v>
      </c>
      <c r="D2" t="s">
        <v>143</v>
      </c>
    </row>
    <row r="3" spans="1:6" x14ac:dyDescent="0.3">
      <c r="A3" t="s">
        <v>141</v>
      </c>
      <c r="B3" t="s">
        <v>244</v>
      </c>
      <c r="C3" t="s">
        <v>401</v>
      </c>
      <c r="D3" t="s">
        <v>143</v>
      </c>
    </row>
    <row r="4" spans="1:6" x14ac:dyDescent="0.3">
      <c r="A4" t="s">
        <v>162</v>
      </c>
      <c r="B4" t="s">
        <v>246</v>
      </c>
      <c r="C4" t="s">
        <v>241</v>
      </c>
      <c r="D4" t="s">
        <v>255</v>
      </c>
      <c r="E4" t="s">
        <v>256</v>
      </c>
    </row>
    <row r="5" spans="1:6" x14ac:dyDescent="0.3">
      <c r="A5" t="s">
        <v>146</v>
      </c>
      <c r="B5" t="s">
        <v>146</v>
      </c>
      <c r="C5" t="s">
        <v>147</v>
      </c>
      <c r="D5" t="s">
        <v>148</v>
      </c>
    </row>
    <row r="6" spans="1:6" x14ac:dyDescent="0.3">
      <c r="A6" t="s">
        <v>149</v>
      </c>
      <c r="B6" t="s">
        <v>150</v>
      </c>
      <c r="C6" t="s">
        <v>151</v>
      </c>
      <c r="D6" t="s">
        <v>152</v>
      </c>
    </row>
    <row r="7" spans="1:6" x14ac:dyDescent="0.3">
      <c r="A7" t="s">
        <v>162</v>
      </c>
      <c r="B7" t="s">
        <v>246</v>
      </c>
      <c r="C7" t="s">
        <v>241</v>
      </c>
      <c r="D7" t="s">
        <v>255</v>
      </c>
      <c r="E7" t="s">
        <v>256</v>
      </c>
    </row>
    <row r="8" spans="1:6" x14ac:dyDescent="0.3">
      <c r="A8" t="s">
        <v>3</v>
      </c>
    </row>
    <row r="9" spans="1:6" x14ac:dyDescent="0.3">
      <c r="A9" t="s">
        <v>4</v>
      </c>
      <c r="C9" s="2"/>
    </row>
    <row r="10" spans="1:6" x14ac:dyDescent="0.3">
      <c r="A10">
        <v>21686</v>
      </c>
      <c r="B10" t="s">
        <v>176</v>
      </c>
      <c r="C10">
        <f t="shared" ref="C10:C24" si="0">+F10</f>
        <v>73649850</v>
      </c>
      <c r="F10">
        <v>73649850</v>
      </c>
    </row>
    <row r="11" spans="1:6" x14ac:dyDescent="0.3">
      <c r="A11">
        <v>1677</v>
      </c>
      <c r="B11" t="s">
        <v>402</v>
      </c>
      <c r="C11">
        <f t="shared" si="0"/>
        <v>72061522</v>
      </c>
      <c r="F11">
        <v>72061522</v>
      </c>
    </row>
    <row r="12" spans="1:6" x14ac:dyDescent="0.3">
      <c r="A12">
        <v>701</v>
      </c>
      <c r="B12" t="s">
        <v>178</v>
      </c>
      <c r="C12">
        <f t="shared" si="0"/>
        <v>471500.01</v>
      </c>
      <c r="F12">
        <v>471500.01</v>
      </c>
    </row>
    <row r="13" spans="1:6" x14ac:dyDescent="0.3">
      <c r="A13">
        <v>16905</v>
      </c>
      <c r="B13" t="s">
        <v>177</v>
      </c>
      <c r="C13">
        <f t="shared" si="0"/>
        <v>438063642.99000001</v>
      </c>
      <c r="F13">
        <v>438063642.99000001</v>
      </c>
    </row>
    <row r="14" spans="1:6" x14ac:dyDescent="0.3">
      <c r="A14">
        <v>26282</v>
      </c>
      <c r="B14" t="s">
        <v>247</v>
      </c>
      <c r="C14">
        <f t="shared" si="0"/>
        <v>21860</v>
      </c>
      <c r="F14">
        <v>21860</v>
      </c>
    </row>
    <row r="15" spans="1:6" x14ac:dyDescent="0.3">
      <c r="A15">
        <v>35115</v>
      </c>
      <c r="B15" t="s">
        <v>179</v>
      </c>
      <c r="C15">
        <f t="shared" si="0"/>
        <v>6121968</v>
      </c>
      <c r="F15">
        <v>6121968</v>
      </c>
    </row>
    <row r="16" spans="1:6" x14ac:dyDescent="0.3">
      <c r="A16">
        <v>35116</v>
      </c>
      <c r="B16" t="s">
        <v>345</v>
      </c>
      <c r="C16">
        <f t="shared" si="0"/>
        <v>2419148</v>
      </c>
      <c r="F16">
        <v>2419148</v>
      </c>
    </row>
    <row r="17" spans="1:6" x14ac:dyDescent="0.3">
      <c r="A17">
        <v>1015</v>
      </c>
      <c r="B17" t="s">
        <v>120</v>
      </c>
      <c r="C17">
        <f t="shared" si="0"/>
        <v>875604.08</v>
      </c>
      <c r="F17">
        <v>875604.08</v>
      </c>
    </row>
    <row r="18" spans="1:6" x14ac:dyDescent="0.3">
      <c r="A18">
        <v>1002</v>
      </c>
      <c r="B18" t="s">
        <v>28</v>
      </c>
      <c r="C18">
        <f t="shared" si="0"/>
        <v>6259301</v>
      </c>
      <c r="F18">
        <v>6259301</v>
      </c>
    </row>
    <row r="19" spans="1:6" x14ac:dyDescent="0.3">
      <c r="A19">
        <v>1201</v>
      </c>
      <c r="B19" t="s">
        <v>30</v>
      </c>
      <c r="C19">
        <f t="shared" si="0"/>
        <v>1912875</v>
      </c>
      <c r="F19">
        <v>1912875</v>
      </c>
    </row>
    <row r="20" spans="1:6" x14ac:dyDescent="0.3">
      <c r="A20">
        <v>1227</v>
      </c>
      <c r="B20" t="s">
        <v>182</v>
      </c>
      <c r="C20">
        <f t="shared" si="0"/>
        <v>4155695</v>
      </c>
      <c r="F20">
        <v>4155695</v>
      </c>
    </row>
    <row r="21" spans="1:6" x14ac:dyDescent="0.3">
      <c r="A21">
        <v>703</v>
      </c>
      <c r="B21" t="s">
        <v>181</v>
      </c>
      <c r="C21">
        <f t="shared" si="0"/>
        <v>575364</v>
      </c>
      <c r="F21">
        <v>575364</v>
      </c>
    </row>
    <row r="22" spans="1:6" x14ac:dyDescent="0.3">
      <c r="A22">
        <v>1011</v>
      </c>
      <c r="B22" t="s">
        <v>119</v>
      </c>
      <c r="C22">
        <f t="shared" si="0"/>
        <v>640</v>
      </c>
      <c r="F22">
        <v>640</v>
      </c>
    </row>
    <row r="23" spans="1:6" x14ac:dyDescent="0.3">
      <c r="A23">
        <v>1022</v>
      </c>
      <c r="B23" t="s">
        <v>276</v>
      </c>
      <c r="C23">
        <f t="shared" si="0"/>
        <v>3</v>
      </c>
      <c r="F23">
        <v>3</v>
      </c>
    </row>
    <row r="24" spans="1:6" x14ac:dyDescent="0.3">
      <c r="A24">
        <v>1016</v>
      </c>
      <c r="B24" t="s">
        <v>124</v>
      </c>
      <c r="C24">
        <f t="shared" si="0"/>
        <v>1280</v>
      </c>
      <c r="F24">
        <v>1280</v>
      </c>
    </row>
    <row r="25" spans="1:6" x14ac:dyDescent="0.3">
      <c r="A25" t="s">
        <v>165</v>
      </c>
      <c r="B25" t="s">
        <v>174</v>
      </c>
      <c r="C25">
        <f>SUM(C10:C24)</f>
        <v>606590253.08000004</v>
      </c>
      <c r="F25">
        <v>606590253.08000004</v>
      </c>
    </row>
    <row r="26" spans="1:6" x14ac:dyDescent="0.3">
      <c r="A26">
        <v>1054</v>
      </c>
      <c r="B26" t="s">
        <v>305</v>
      </c>
      <c r="C26">
        <f>+F26</f>
        <v>3508237.17</v>
      </c>
      <c r="F26">
        <v>3508237.17</v>
      </c>
    </row>
    <row r="27" spans="1:6" x14ac:dyDescent="0.3">
      <c r="A27">
        <v>1508</v>
      </c>
      <c r="B27" t="s">
        <v>306</v>
      </c>
      <c r="C27">
        <f>+F27</f>
        <v>9983215.9800000004</v>
      </c>
      <c r="F27">
        <v>9983215.9800000004</v>
      </c>
    </row>
    <row r="28" spans="1:6" x14ac:dyDescent="0.3">
      <c r="A28">
        <v>726</v>
      </c>
      <c r="B28" t="s">
        <v>307</v>
      </c>
      <c r="C28">
        <f>+F28</f>
        <v>57001475.630000003</v>
      </c>
      <c r="F28">
        <v>57001475.630000003</v>
      </c>
    </row>
    <row r="29" spans="1:6" x14ac:dyDescent="0.3">
      <c r="A29">
        <v>31383</v>
      </c>
      <c r="B29" t="s">
        <v>308</v>
      </c>
      <c r="C29">
        <f>+F29</f>
        <v>81361572.290000007</v>
      </c>
      <c r="F29">
        <v>81361572.290000007</v>
      </c>
    </row>
    <row r="30" spans="1:6" x14ac:dyDescent="0.3">
      <c r="A30">
        <v>35552</v>
      </c>
      <c r="B30" t="s">
        <v>309</v>
      </c>
      <c r="C30">
        <f t="shared" ref="C30:C144" si="1">+F30</f>
        <v>10045740.779999999</v>
      </c>
      <c r="F30">
        <v>10045740.779999999</v>
      </c>
    </row>
    <row r="31" spans="1:6" x14ac:dyDescent="0.3">
      <c r="A31">
        <v>36461</v>
      </c>
      <c r="B31" t="s">
        <v>310</v>
      </c>
      <c r="C31">
        <f t="shared" si="1"/>
        <v>155547</v>
      </c>
      <c r="F31">
        <v>155547</v>
      </c>
    </row>
    <row r="32" spans="1:6" x14ac:dyDescent="0.3">
      <c r="A32">
        <v>18670</v>
      </c>
      <c r="B32" t="s">
        <v>195</v>
      </c>
      <c r="C32">
        <f t="shared" si="1"/>
        <v>18524580</v>
      </c>
      <c r="F32">
        <v>18524580</v>
      </c>
    </row>
    <row r="33" spans="1:6" x14ac:dyDescent="0.3">
      <c r="A33">
        <v>772</v>
      </c>
      <c r="B33" t="s">
        <v>198</v>
      </c>
      <c r="C33">
        <f t="shared" si="1"/>
        <v>581312.84</v>
      </c>
      <c r="F33">
        <v>581312.84</v>
      </c>
    </row>
    <row r="34" spans="1:6" x14ac:dyDescent="0.3">
      <c r="A34">
        <v>820</v>
      </c>
      <c r="B34" t="s">
        <v>69</v>
      </c>
      <c r="C34">
        <f t="shared" si="1"/>
        <v>145330</v>
      </c>
      <c r="F34">
        <v>145330</v>
      </c>
    </row>
    <row r="35" spans="1:6" x14ac:dyDescent="0.3">
      <c r="A35">
        <v>917</v>
      </c>
      <c r="B35" t="s">
        <v>44</v>
      </c>
      <c r="C35">
        <f t="shared" si="1"/>
        <v>152321</v>
      </c>
      <c r="F35">
        <v>152321</v>
      </c>
    </row>
    <row r="36" spans="1:6" x14ac:dyDescent="0.3">
      <c r="A36">
        <v>36603</v>
      </c>
      <c r="B36" t="s">
        <v>187</v>
      </c>
      <c r="C36">
        <f t="shared" si="1"/>
        <v>2786461.14</v>
      </c>
      <c r="F36">
        <v>2786461.14</v>
      </c>
    </row>
    <row r="37" spans="1:6" x14ac:dyDescent="0.3">
      <c r="A37">
        <v>36604</v>
      </c>
      <c r="B37" t="s">
        <v>188</v>
      </c>
      <c r="C37">
        <f t="shared" si="1"/>
        <v>3182557.72</v>
      </c>
      <c r="F37">
        <v>3182557.72</v>
      </c>
    </row>
    <row r="38" spans="1:6" x14ac:dyDescent="0.3">
      <c r="A38">
        <v>20335</v>
      </c>
      <c r="B38" t="s">
        <v>39</v>
      </c>
      <c r="C38">
        <f t="shared" si="1"/>
        <v>381619</v>
      </c>
      <c r="F38">
        <v>381619</v>
      </c>
    </row>
    <row r="39" spans="1:6" x14ac:dyDescent="0.3">
      <c r="A39">
        <v>1400</v>
      </c>
      <c r="B39" t="s">
        <v>186</v>
      </c>
      <c r="C39">
        <f t="shared" si="1"/>
        <v>376334169.66000003</v>
      </c>
      <c r="F39">
        <v>376334169.66000003</v>
      </c>
    </row>
    <row r="40" spans="1:6" x14ac:dyDescent="0.3">
      <c r="A40">
        <v>875</v>
      </c>
      <c r="B40" t="s">
        <v>38</v>
      </c>
      <c r="C40">
        <f t="shared" si="1"/>
        <v>21505900.390000001</v>
      </c>
      <c r="F40">
        <v>21505900.390000001</v>
      </c>
    </row>
    <row r="41" spans="1:6" x14ac:dyDescent="0.3">
      <c r="A41">
        <v>35921</v>
      </c>
      <c r="B41" t="s">
        <v>278</v>
      </c>
      <c r="C41">
        <f t="shared" si="1"/>
        <v>8460079</v>
      </c>
      <c r="F41">
        <v>8460079</v>
      </c>
    </row>
    <row r="42" spans="1:6" x14ac:dyDescent="0.3">
      <c r="A42">
        <v>25338</v>
      </c>
      <c r="B42" t="s">
        <v>193</v>
      </c>
      <c r="C42">
        <f t="shared" si="1"/>
        <v>21784.799999999999</v>
      </c>
      <c r="F42">
        <v>21784.799999999999</v>
      </c>
    </row>
    <row r="43" spans="1:6" x14ac:dyDescent="0.3">
      <c r="A43">
        <v>36583</v>
      </c>
      <c r="B43" t="s">
        <v>200</v>
      </c>
      <c r="C43">
        <f t="shared" si="1"/>
        <v>523880.5</v>
      </c>
      <c r="F43">
        <v>523880.5</v>
      </c>
    </row>
    <row r="44" spans="1:6" x14ac:dyDescent="0.3">
      <c r="A44">
        <v>818</v>
      </c>
      <c r="B44" t="s">
        <v>47</v>
      </c>
      <c r="C44">
        <f t="shared" si="1"/>
        <v>13011.88</v>
      </c>
      <c r="F44">
        <v>13011.88</v>
      </c>
    </row>
    <row r="45" spans="1:6" x14ac:dyDescent="0.3">
      <c r="A45">
        <v>1612</v>
      </c>
      <c r="B45" t="s">
        <v>189</v>
      </c>
      <c r="C45">
        <f t="shared" si="1"/>
        <v>40508081.850000001</v>
      </c>
      <c r="F45">
        <v>40508081.850000001</v>
      </c>
    </row>
    <row r="46" spans="1:6" x14ac:dyDescent="0.3">
      <c r="A46">
        <v>17864</v>
      </c>
      <c r="B46" t="s">
        <v>190</v>
      </c>
      <c r="C46">
        <f t="shared" si="1"/>
        <v>1664942.14</v>
      </c>
      <c r="F46">
        <v>1664942.14</v>
      </c>
    </row>
    <row r="47" spans="1:6" x14ac:dyDescent="0.3">
      <c r="A47">
        <v>815</v>
      </c>
      <c r="B47" t="s">
        <v>40</v>
      </c>
      <c r="C47">
        <f t="shared" si="1"/>
        <v>142909.22</v>
      </c>
      <c r="F47">
        <v>142909.22</v>
      </c>
    </row>
    <row r="48" spans="1:6" x14ac:dyDescent="0.3">
      <c r="A48">
        <v>25339</v>
      </c>
      <c r="B48" t="s">
        <v>192</v>
      </c>
      <c r="C48">
        <f t="shared" si="1"/>
        <v>3354516.57</v>
      </c>
      <c r="F48">
        <v>3354516.57</v>
      </c>
    </row>
    <row r="49" spans="1:6" x14ac:dyDescent="0.3">
      <c r="A49">
        <v>810</v>
      </c>
      <c r="B49" t="s">
        <v>48</v>
      </c>
      <c r="C49">
        <f t="shared" si="1"/>
        <v>8757.24</v>
      </c>
      <c r="F49">
        <v>8757.24</v>
      </c>
    </row>
    <row r="50" spans="1:6" x14ac:dyDescent="0.3">
      <c r="A50">
        <v>16844</v>
      </c>
      <c r="B50" t="s">
        <v>43</v>
      </c>
      <c r="C50">
        <f t="shared" si="1"/>
        <v>40306.78</v>
      </c>
      <c r="F50">
        <v>40306.78</v>
      </c>
    </row>
    <row r="51" spans="1:6" x14ac:dyDescent="0.3">
      <c r="A51">
        <v>25337</v>
      </c>
      <c r="B51" t="s">
        <v>42</v>
      </c>
      <c r="C51">
        <f t="shared" si="1"/>
        <v>38947941.460000001</v>
      </c>
      <c r="F51">
        <v>38947941.460000001</v>
      </c>
    </row>
    <row r="52" spans="1:6" x14ac:dyDescent="0.3">
      <c r="A52">
        <v>30653</v>
      </c>
      <c r="B52" t="s">
        <v>191</v>
      </c>
      <c r="C52">
        <f t="shared" si="1"/>
        <v>2087500.58</v>
      </c>
      <c r="F52">
        <v>2087500.58</v>
      </c>
    </row>
    <row r="53" spans="1:6" x14ac:dyDescent="0.3">
      <c r="A53">
        <v>937</v>
      </c>
      <c r="B53" t="s">
        <v>58</v>
      </c>
      <c r="C53">
        <f t="shared" si="1"/>
        <v>4930</v>
      </c>
      <c r="F53">
        <v>4930</v>
      </c>
    </row>
    <row r="54" spans="1:6" x14ac:dyDescent="0.3">
      <c r="A54">
        <v>809</v>
      </c>
      <c r="B54" t="s">
        <v>46</v>
      </c>
      <c r="C54">
        <f t="shared" si="1"/>
        <v>-6020</v>
      </c>
      <c r="F54">
        <v>-6020</v>
      </c>
    </row>
    <row r="55" spans="1:6" x14ac:dyDescent="0.3">
      <c r="A55">
        <v>849</v>
      </c>
      <c r="B55" t="s">
        <v>201</v>
      </c>
      <c r="C55">
        <f t="shared" si="1"/>
        <v>709950.46</v>
      </c>
      <c r="F55">
        <v>709950.46</v>
      </c>
    </row>
    <row r="56" spans="1:6" x14ac:dyDescent="0.3">
      <c r="A56">
        <v>28769</v>
      </c>
      <c r="B56" t="s">
        <v>60</v>
      </c>
      <c r="C56">
        <f t="shared" si="1"/>
        <v>5775</v>
      </c>
      <c r="F56">
        <v>5775</v>
      </c>
    </row>
    <row r="57" spans="1:6" x14ac:dyDescent="0.3">
      <c r="A57">
        <v>970</v>
      </c>
      <c r="B57" t="s">
        <v>55</v>
      </c>
      <c r="C57">
        <f t="shared" si="1"/>
        <v>1939596.45</v>
      </c>
      <c r="F57">
        <v>1939596.45</v>
      </c>
    </row>
    <row r="58" spans="1:6" x14ac:dyDescent="0.3">
      <c r="A58">
        <v>801</v>
      </c>
      <c r="B58" t="s">
        <v>199</v>
      </c>
      <c r="C58">
        <f t="shared" si="1"/>
        <v>20646618.079999998</v>
      </c>
      <c r="F58">
        <v>20646618.079999998</v>
      </c>
    </row>
    <row r="59" spans="1:6" x14ac:dyDescent="0.3">
      <c r="A59">
        <v>23336</v>
      </c>
      <c r="B59" t="s">
        <v>100</v>
      </c>
      <c r="C59">
        <f t="shared" si="1"/>
        <v>33513.839999999997</v>
      </c>
      <c r="F59">
        <v>33513.839999999997</v>
      </c>
    </row>
    <row r="60" spans="1:6" x14ac:dyDescent="0.3">
      <c r="A60">
        <v>781</v>
      </c>
      <c r="B60" t="s">
        <v>62</v>
      </c>
      <c r="C60">
        <f t="shared" si="1"/>
        <v>35883.599999999999</v>
      </c>
      <c r="F60">
        <v>35883.599999999999</v>
      </c>
    </row>
    <row r="61" spans="1:6" x14ac:dyDescent="0.3">
      <c r="A61">
        <v>902</v>
      </c>
      <c r="B61" t="s">
        <v>45</v>
      </c>
      <c r="C61">
        <f t="shared" si="1"/>
        <v>1198</v>
      </c>
      <c r="F61">
        <v>1198</v>
      </c>
    </row>
    <row r="62" spans="1:6" x14ac:dyDescent="0.3">
      <c r="A62">
        <v>909</v>
      </c>
      <c r="B62" t="s">
        <v>16</v>
      </c>
      <c r="C62">
        <f t="shared" si="1"/>
        <v>208425</v>
      </c>
      <c r="F62">
        <v>208425</v>
      </c>
    </row>
    <row r="63" spans="1:6" x14ac:dyDescent="0.3">
      <c r="A63">
        <v>918</v>
      </c>
      <c r="B63" t="s">
        <v>13</v>
      </c>
      <c r="C63">
        <f t="shared" si="1"/>
        <v>90168</v>
      </c>
      <c r="F63">
        <v>90168</v>
      </c>
    </row>
    <row r="64" spans="1:6" x14ac:dyDescent="0.3">
      <c r="A64">
        <v>1086</v>
      </c>
      <c r="B64" t="s">
        <v>20</v>
      </c>
      <c r="C64">
        <f t="shared" si="1"/>
        <v>2520</v>
      </c>
      <c r="F64">
        <v>2520</v>
      </c>
    </row>
    <row r="65" spans="1:6" x14ac:dyDescent="0.3">
      <c r="A65">
        <v>907</v>
      </c>
      <c r="B65" t="s">
        <v>14</v>
      </c>
      <c r="C65">
        <f t="shared" si="1"/>
        <v>-2902996</v>
      </c>
      <c r="F65">
        <v>-2902996</v>
      </c>
    </row>
    <row r="66" spans="1:6" x14ac:dyDescent="0.3">
      <c r="A66">
        <v>27281</v>
      </c>
      <c r="B66" t="s">
        <v>180</v>
      </c>
      <c r="C66">
        <f t="shared" si="1"/>
        <v>278852.21999999997</v>
      </c>
      <c r="F66">
        <v>278852.21999999997</v>
      </c>
    </row>
    <row r="67" spans="1:6" x14ac:dyDescent="0.3">
      <c r="A67">
        <v>908</v>
      </c>
      <c r="B67" t="s">
        <v>15</v>
      </c>
      <c r="C67">
        <f t="shared" si="1"/>
        <v>254237</v>
      </c>
      <c r="F67">
        <v>254237</v>
      </c>
    </row>
    <row r="68" spans="1:6" x14ac:dyDescent="0.3">
      <c r="A68">
        <v>41940</v>
      </c>
      <c r="B68" t="s">
        <v>365</v>
      </c>
      <c r="C68">
        <f t="shared" si="1"/>
        <v>2317078</v>
      </c>
      <c r="F68">
        <v>2317078</v>
      </c>
    </row>
    <row r="69" spans="1:6" x14ac:dyDescent="0.3">
      <c r="A69">
        <v>21757</v>
      </c>
      <c r="B69" t="s">
        <v>375</v>
      </c>
      <c r="C69">
        <f t="shared" si="1"/>
        <v>4820</v>
      </c>
      <c r="F69">
        <v>4820</v>
      </c>
    </row>
    <row r="70" spans="1:6" x14ac:dyDescent="0.3">
      <c r="A70">
        <v>36614</v>
      </c>
      <c r="B70" t="s">
        <v>11</v>
      </c>
      <c r="C70">
        <f t="shared" si="1"/>
        <v>2603491.83</v>
      </c>
      <c r="F70">
        <v>2603491.83</v>
      </c>
    </row>
    <row r="71" spans="1:6" x14ac:dyDescent="0.3">
      <c r="A71">
        <v>36613</v>
      </c>
      <c r="B71" t="s">
        <v>392</v>
      </c>
      <c r="C71">
        <f t="shared" si="1"/>
        <v>7000</v>
      </c>
      <c r="F71">
        <v>7000</v>
      </c>
    </row>
    <row r="72" spans="1:6" x14ac:dyDescent="0.3">
      <c r="A72">
        <v>20336</v>
      </c>
      <c r="B72" t="s">
        <v>12</v>
      </c>
      <c r="C72">
        <f t="shared" si="1"/>
        <v>3628852.14</v>
      </c>
      <c r="F72">
        <v>3628852.14</v>
      </c>
    </row>
    <row r="73" spans="1:6" x14ac:dyDescent="0.3">
      <c r="A73">
        <v>817</v>
      </c>
      <c r="B73" t="s">
        <v>21</v>
      </c>
      <c r="C73">
        <f t="shared" si="1"/>
        <v>2470</v>
      </c>
      <c r="F73">
        <v>2470</v>
      </c>
    </row>
    <row r="74" spans="1:6" x14ac:dyDescent="0.3">
      <c r="A74">
        <v>931</v>
      </c>
      <c r="B74" t="s">
        <v>196</v>
      </c>
      <c r="C74">
        <f t="shared" si="1"/>
        <v>2290</v>
      </c>
      <c r="F74">
        <v>2290</v>
      </c>
    </row>
    <row r="75" spans="1:6" x14ac:dyDescent="0.3">
      <c r="A75">
        <v>921</v>
      </c>
      <c r="B75" t="s">
        <v>23</v>
      </c>
      <c r="C75" s="31">
        <f t="shared" si="1"/>
        <v>70000</v>
      </c>
      <c r="F75">
        <v>70000</v>
      </c>
    </row>
    <row r="76" spans="1:6" x14ac:dyDescent="0.3">
      <c r="A76">
        <v>1076</v>
      </c>
      <c r="B76" t="s">
        <v>376</v>
      </c>
      <c r="C76">
        <f t="shared" si="1"/>
        <v>88549</v>
      </c>
      <c r="F76">
        <v>88549</v>
      </c>
    </row>
    <row r="77" spans="1:6" x14ac:dyDescent="0.3">
      <c r="A77">
        <v>933</v>
      </c>
      <c r="B77" t="s">
        <v>231</v>
      </c>
      <c r="C77">
        <f t="shared" si="1"/>
        <v>576</v>
      </c>
      <c r="F77">
        <v>576</v>
      </c>
    </row>
    <row r="78" spans="1:6" x14ac:dyDescent="0.3">
      <c r="A78">
        <v>962</v>
      </c>
      <c r="B78" t="s">
        <v>61</v>
      </c>
      <c r="C78">
        <f t="shared" si="1"/>
        <v>3381746.55</v>
      </c>
      <c r="F78">
        <v>3381746.55</v>
      </c>
    </row>
    <row r="79" spans="1:6" x14ac:dyDescent="0.3">
      <c r="A79">
        <v>961</v>
      </c>
      <c r="B79" t="s">
        <v>91</v>
      </c>
      <c r="C79">
        <f t="shared" si="1"/>
        <v>3189786.48</v>
      </c>
      <c r="F79">
        <v>3189786.48</v>
      </c>
    </row>
    <row r="80" spans="1:6" x14ac:dyDescent="0.3">
      <c r="A80">
        <v>964</v>
      </c>
      <c r="B80" t="s">
        <v>63</v>
      </c>
      <c r="C80">
        <f t="shared" si="1"/>
        <v>21500</v>
      </c>
      <c r="F80">
        <v>21500</v>
      </c>
    </row>
    <row r="81" spans="1:6" x14ac:dyDescent="0.3">
      <c r="A81">
        <v>894</v>
      </c>
      <c r="B81" t="s">
        <v>70</v>
      </c>
      <c r="C81">
        <f t="shared" si="1"/>
        <v>78756</v>
      </c>
      <c r="F81">
        <v>78756</v>
      </c>
    </row>
    <row r="82" spans="1:6" x14ac:dyDescent="0.3">
      <c r="A82">
        <v>969</v>
      </c>
      <c r="B82" t="s">
        <v>64</v>
      </c>
      <c r="C82">
        <f t="shared" si="1"/>
        <v>1824.78</v>
      </c>
      <c r="F82">
        <v>1824.78</v>
      </c>
    </row>
    <row r="83" spans="1:6" x14ac:dyDescent="0.3">
      <c r="A83">
        <v>963</v>
      </c>
      <c r="B83" t="s">
        <v>92</v>
      </c>
      <c r="C83">
        <f t="shared" si="1"/>
        <v>76546.2</v>
      </c>
      <c r="F83">
        <v>76546.2</v>
      </c>
    </row>
    <row r="84" spans="1:6" x14ac:dyDescent="0.3">
      <c r="A84">
        <v>29063</v>
      </c>
      <c r="B84" t="s">
        <v>206</v>
      </c>
      <c r="C84">
        <f t="shared" si="1"/>
        <v>181534.99</v>
      </c>
      <c r="F84">
        <v>181534.99</v>
      </c>
    </row>
    <row r="85" spans="1:6" x14ac:dyDescent="0.3">
      <c r="A85">
        <v>915</v>
      </c>
      <c r="B85" t="s">
        <v>65</v>
      </c>
      <c r="C85">
        <f t="shared" si="1"/>
        <v>2500</v>
      </c>
      <c r="F85">
        <v>2500</v>
      </c>
    </row>
    <row r="86" spans="1:6" x14ac:dyDescent="0.3">
      <c r="A86">
        <v>496</v>
      </c>
      <c r="B86" t="s">
        <v>204</v>
      </c>
      <c r="C86" s="31">
        <f t="shared" si="1"/>
        <v>2000</v>
      </c>
      <c r="F86">
        <v>2000</v>
      </c>
    </row>
    <row r="87" spans="1:6" x14ac:dyDescent="0.3">
      <c r="A87">
        <v>821</v>
      </c>
      <c r="B87" t="s">
        <v>113</v>
      </c>
      <c r="C87">
        <f t="shared" si="1"/>
        <v>1543482</v>
      </c>
      <c r="F87">
        <v>1543482</v>
      </c>
    </row>
    <row r="88" spans="1:6" x14ac:dyDescent="0.3">
      <c r="A88">
        <v>904</v>
      </c>
      <c r="B88" t="s">
        <v>67</v>
      </c>
      <c r="C88">
        <f t="shared" si="1"/>
        <v>338236</v>
      </c>
      <c r="F88">
        <v>338236</v>
      </c>
    </row>
    <row r="89" spans="1:6" x14ac:dyDescent="0.3">
      <c r="A89">
        <v>932</v>
      </c>
      <c r="B89" t="s">
        <v>54</v>
      </c>
      <c r="C89">
        <f t="shared" si="1"/>
        <v>543738.74</v>
      </c>
      <c r="F89">
        <v>543738.74</v>
      </c>
    </row>
    <row r="90" spans="1:6" x14ac:dyDescent="0.3">
      <c r="A90">
        <v>20113</v>
      </c>
      <c r="B90" t="s">
        <v>223</v>
      </c>
      <c r="C90">
        <f t="shared" si="1"/>
        <v>320603</v>
      </c>
      <c r="F90">
        <v>320603</v>
      </c>
    </row>
    <row r="91" spans="1:6" x14ac:dyDescent="0.3">
      <c r="A91">
        <v>1101</v>
      </c>
      <c r="B91" t="s">
        <v>229</v>
      </c>
      <c r="C91">
        <f t="shared" si="1"/>
        <v>12100</v>
      </c>
      <c r="F91">
        <v>12100</v>
      </c>
    </row>
    <row r="92" spans="1:6" x14ac:dyDescent="0.3">
      <c r="A92">
        <v>854</v>
      </c>
      <c r="B92" t="s">
        <v>205</v>
      </c>
      <c r="C92">
        <f t="shared" si="1"/>
        <v>1388181</v>
      </c>
      <c r="F92">
        <v>1388181</v>
      </c>
    </row>
    <row r="93" spans="1:6" x14ac:dyDescent="0.3">
      <c r="A93">
        <v>984</v>
      </c>
      <c r="B93" t="s">
        <v>234</v>
      </c>
      <c r="C93">
        <f t="shared" si="1"/>
        <v>587289</v>
      </c>
      <c r="F93">
        <v>587289</v>
      </c>
    </row>
    <row r="94" spans="1:6" x14ac:dyDescent="0.3">
      <c r="A94">
        <v>983</v>
      </c>
      <c r="B94" t="s">
        <v>95</v>
      </c>
      <c r="C94">
        <f t="shared" si="1"/>
        <v>2826138.41</v>
      </c>
      <c r="F94">
        <v>2826138.41</v>
      </c>
    </row>
    <row r="95" spans="1:6" x14ac:dyDescent="0.3">
      <c r="A95">
        <v>35339</v>
      </c>
      <c r="B95" t="s">
        <v>224</v>
      </c>
      <c r="C95">
        <f t="shared" si="1"/>
        <v>4520</v>
      </c>
      <c r="F95">
        <v>4520</v>
      </c>
    </row>
    <row r="96" spans="1:6" x14ac:dyDescent="0.3">
      <c r="A96">
        <v>1074</v>
      </c>
      <c r="B96" t="s">
        <v>202</v>
      </c>
      <c r="C96">
        <f t="shared" si="1"/>
        <v>926292</v>
      </c>
      <c r="F96">
        <v>926292</v>
      </c>
    </row>
    <row r="97" spans="1:6" x14ac:dyDescent="0.3">
      <c r="A97">
        <v>951</v>
      </c>
      <c r="B97" t="s">
        <v>311</v>
      </c>
      <c r="C97">
        <f t="shared" si="1"/>
        <v>176000</v>
      </c>
      <c r="F97">
        <v>176000</v>
      </c>
    </row>
    <row r="98" spans="1:6" x14ac:dyDescent="0.3">
      <c r="A98">
        <v>926</v>
      </c>
      <c r="B98" t="s">
        <v>207</v>
      </c>
      <c r="C98">
        <f t="shared" si="1"/>
        <v>2380658.31</v>
      </c>
      <c r="F98">
        <v>2380658.31</v>
      </c>
    </row>
    <row r="99" spans="1:6" x14ac:dyDescent="0.3">
      <c r="A99">
        <v>934</v>
      </c>
      <c r="B99" t="s">
        <v>103</v>
      </c>
      <c r="C99">
        <f t="shared" si="1"/>
        <v>-58057.74</v>
      </c>
      <c r="F99">
        <v>-58057.74</v>
      </c>
    </row>
    <row r="100" spans="1:6" x14ac:dyDescent="0.3">
      <c r="A100">
        <v>811</v>
      </c>
      <c r="B100" t="s">
        <v>56</v>
      </c>
      <c r="C100">
        <f t="shared" si="1"/>
        <v>17490</v>
      </c>
      <c r="F100">
        <v>17490</v>
      </c>
    </row>
    <row r="101" spans="1:6" x14ac:dyDescent="0.3">
      <c r="A101">
        <v>685</v>
      </c>
      <c r="B101" t="s">
        <v>97</v>
      </c>
      <c r="C101">
        <f t="shared" si="1"/>
        <v>46806.04</v>
      </c>
      <c r="F101">
        <v>46806.04</v>
      </c>
    </row>
    <row r="102" spans="1:6" x14ac:dyDescent="0.3">
      <c r="A102">
        <v>920</v>
      </c>
      <c r="B102" t="s">
        <v>153</v>
      </c>
      <c r="C102">
        <f t="shared" si="1"/>
        <v>355920.32</v>
      </c>
      <c r="F102">
        <v>355920.32</v>
      </c>
    </row>
    <row r="103" spans="1:6" x14ac:dyDescent="0.3">
      <c r="A103">
        <v>936</v>
      </c>
      <c r="B103" t="s">
        <v>225</v>
      </c>
      <c r="C103">
        <f t="shared" si="1"/>
        <v>34038.1</v>
      </c>
      <c r="F103">
        <v>34038.1</v>
      </c>
    </row>
    <row r="104" spans="1:6" x14ac:dyDescent="0.3">
      <c r="A104">
        <v>812</v>
      </c>
      <c r="B104" t="s">
        <v>90</v>
      </c>
      <c r="C104">
        <f t="shared" si="1"/>
        <v>917621.36</v>
      </c>
      <c r="F104">
        <v>917621.36</v>
      </c>
    </row>
    <row r="105" spans="1:6" x14ac:dyDescent="0.3">
      <c r="A105">
        <v>1110</v>
      </c>
      <c r="B105" t="s">
        <v>102</v>
      </c>
      <c r="C105">
        <f t="shared" si="1"/>
        <v>121336</v>
      </c>
      <c r="F105">
        <v>121336</v>
      </c>
    </row>
    <row r="106" spans="1:6" x14ac:dyDescent="0.3">
      <c r="A106">
        <v>930</v>
      </c>
      <c r="B106" t="s">
        <v>96</v>
      </c>
      <c r="C106">
        <f t="shared" si="1"/>
        <v>14700</v>
      </c>
      <c r="F106">
        <v>14700</v>
      </c>
    </row>
    <row r="107" spans="1:6" x14ac:dyDescent="0.3">
      <c r="A107">
        <v>1021</v>
      </c>
      <c r="B107" t="s">
        <v>57</v>
      </c>
      <c r="C107">
        <f t="shared" si="1"/>
        <v>10.25</v>
      </c>
      <c r="F107">
        <v>10.25</v>
      </c>
    </row>
    <row r="108" spans="1:6" x14ac:dyDescent="0.3">
      <c r="A108">
        <v>935</v>
      </c>
      <c r="B108" t="s">
        <v>228</v>
      </c>
      <c r="C108">
        <f t="shared" si="1"/>
        <v>27206</v>
      </c>
      <c r="F108">
        <v>27206</v>
      </c>
    </row>
    <row r="109" spans="1:6" x14ac:dyDescent="0.3">
      <c r="A109">
        <v>882</v>
      </c>
      <c r="B109" t="s">
        <v>216</v>
      </c>
      <c r="C109">
        <f t="shared" si="1"/>
        <v>475626</v>
      </c>
      <c r="F109">
        <v>475626</v>
      </c>
    </row>
    <row r="110" spans="1:6" x14ac:dyDescent="0.3">
      <c r="A110">
        <v>862</v>
      </c>
      <c r="B110" t="s">
        <v>79</v>
      </c>
      <c r="C110">
        <f t="shared" si="1"/>
        <v>58599</v>
      </c>
      <c r="F110">
        <v>58599</v>
      </c>
    </row>
    <row r="111" spans="1:6" x14ac:dyDescent="0.3">
      <c r="A111">
        <v>948</v>
      </c>
      <c r="B111" t="s">
        <v>72</v>
      </c>
      <c r="C111">
        <f t="shared" si="1"/>
        <v>6301018</v>
      </c>
      <c r="F111">
        <v>6301018</v>
      </c>
    </row>
    <row r="112" spans="1:6" x14ac:dyDescent="0.3">
      <c r="A112">
        <v>855</v>
      </c>
      <c r="B112" t="s">
        <v>73</v>
      </c>
      <c r="C112">
        <f t="shared" si="1"/>
        <v>2561975</v>
      </c>
      <c r="F112">
        <v>2561975</v>
      </c>
    </row>
    <row r="113" spans="1:8" x14ac:dyDescent="0.3">
      <c r="A113">
        <v>874</v>
      </c>
      <c r="B113" t="s">
        <v>393</v>
      </c>
      <c r="C113">
        <f t="shared" si="1"/>
        <v>15604</v>
      </c>
      <c r="F113">
        <v>15604</v>
      </c>
    </row>
    <row r="114" spans="1:8" x14ac:dyDescent="0.3">
      <c r="A114">
        <v>853</v>
      </c>
      <c r="B114" t="s">
        <v>74</v>
      </c>
      <c r="C114">
        <f t="shared" si="1"/>
        <v>8075385</v>
      </c>
      <c r="F114">
        <v>8075385</v>
      </c>
    </row>
    <row r="115" spans="1:8" x14ac:dyDescent="0.3">
      <c r="A115">
        <v>848</v>
      </c>
      <c r="B115" t="s">
        <v>235</v>
      </c>
      <c r="C115">
        <f t="shared" si="1"/>
        <v>57725</v>
      </c>
      <c r="F115">
        <v>57725</v>
      </c>
    </row>
    <row r="116" spans="1:8" x14ac:dyDescent="0.3">
      <c r="A116">
        <v>856</v>
      </c>
      <c r="B116" t="s">
        <v>80</v>
      </c>
      <c r="C116">
        <f t="shared" si="1"/>
        <v>176077</v>
      </c>
      <c r="F116">
        <v>176077</v>
      </c>
    </row>
    <row r="117" spans="1:8" x14ac:dyDescent="0.3">
      <c r="A117">
        <v>857</v>
      </c>
      <c r="B117" t="s">
        <v>76</v>
      </c>
      <c r="C117">
        <f t="shared" si="1"/>
        <v>24290</v>
      </c>
      <c r="F117">
        <v>24290</v>
      </c>
    </row>
    <row r="118" spans="1:8" x14ac:dyDescent="0.3">
      <c r="A118">
        <v>975</v>
      </c>
      <c r="B118" t="s">
        <v>77</v>
      </c>
      <c r="C118">
        <f t="shared" si="1"/>
        <v>32112</v>
      </c>
      <c r="F118">
        <v>32112</v>
      </c>
    </row>
    <row r="119" spans="1:8" x14ac:dyDescent="0.3">
      <c r="A119">
        <v>10208</v>
      </c>
      <c r="B119" t="s">
        <v>78</v>
      </c>
      <c r="C119">
        <f t="shared" si="1"/>
        <v>759125</v>
      </c>
      <c r="F119">
        <v>759125</v>
      </c>
    </row>
    <row r="120" spans="1:8" x14ac:dyDescent="0.3">
      <c r="A120">
        <v>863</v>
      </c>
      <c r="B120" t="s">
        <v>218</v>
      </c>
      <c r="C120">
        <f t="shared" si="1"/>
        <v>-1371</v>
      </c>
      <c r="F120">
        <v>-1371</v>
      </c>
    </row>
    <row r="121" spans="1:8" x14ac:dyDescent="0.3">
      <c r="A121">
        <v>31408</v>
      </c>
      <c r="B121" t="s">
        <v>227</v>
      </c>
      <c r="C121">
        <f t="shared" si="1"/>
        <v>-2590</v>
      </c>
      <c r="F121">
        <v>-2590</v>
      </c>
    </row>
    <row r="122" spans="1:8" x14ac:dyDescent="0.3">
      <c r="A122">
        <v>718</v>
      </c>
      <c r="B122" t="s">
        <v>217</v>
      </c>
      <c r="C122">
        <f t="shared" si="1"/>
        <v>904623</v>
      </c>
      <c r="F122">
        <v>904623</v>
      </c>
    </row>
    <row r="123" spans="1:8" x14ac:dyDescent="0.3">
      <c r="A123">
        <v>851</v>
      </c>
      <c r="B123" t="s">
        <v>81</v>
      </c>
      <c r="C123">
        <f t="shared" si="1"/>
        <v>71861389</v>
      </c>
      <c r="F123">
        <v>71861389</v>
      </c>
      <c r="H123">
        <f>+'Profit Loss-Amravati-25-26'!O190-SUM(C10:C24)+SUM(C26:C144)</f>
        <v>137448936.47586679</v>
      </c>
    </row>
    <row r="124" spans="1:8" x14ac:dyDescent="0.3">
      <c r="A124">
        <v>852</v>
      </c>
      <c r="B124" t="s">
        <v>215</v>
      </c>
      <c r="C124">
        <f t="shared" si="1"/>
        <v>312704</v>
      </c>
      <c r="F124">
        <v>312704</v>
      </c>
    </row>
    <row r="125" spans="1:8" x14ac:dyDescent="0.3">
      <c r="A125">
        <v>881</v>
      </c>
      <c r="B125" t="s">
        <v>210</v>
      </c>
      <c r="C125">
        <f t="shared" si="1"/>
        <v>1696</v>
      </c>
      <c r="F125">
        <v>1696</v>
      </c>
    </row>
    <row r="126" spans="1:8" x14ac:dyDescent="0.3">
      <c r="A126">
        <v>689</v>
      </c>
      <c r="B126" t="s">
        <v>75</v>
      </c>
      <c r="C126">
        <f t="shared" si="1"/>
        <v>1586251</v>
      </c>
      <c r="F126">
        <v>1586251</v>
      </c>
    </row>
    <row r="127" spans="1:8" x14ac:dyDescent="0.3">
      <c r="A127">
        <v>1325</v>
      </c>
      <c r="B127" t="s">
        <v>98</v>
      </c>
      <c r="C127">
        <f t="shared" si="1"/>
        <v>27132713</v>
      </c>
      <c r="F127">
        <v>27132713</v>
      </c>
    </row>
    <row r="128" spans="1:8" x14ac:dyDescent="0.3">
      <c r="A128">
        <v>11722</v>
      </c>
      <c r="B128" t="s">
        <v>211</v>
      </c>
      <c r="C128">
        <f t="shared" si="1"/>
        <v>1289</v>
      </c>
      <c r="F128">
        <v>1289</v>
      </c>
    </row>
    <row r="129" spans="1:6" x14ac:dyDescent="0.3">
      <c r="A129">
        <v>39011</v>
      </c>
      <c r="B129" t="s">
        <v>83</v>
      </c>
      <c r="C129">
        <f t="shared" si="1"/>
        <v>1617550</v>
      </c>
      <c r="F129">
        <v>1617550</v>
      </c>
    </row>
    <row r="130" spans="1:6" x14ac:dyDescent="0.3">
      <c r="A130">
        <v>38580</v>
      </c>
      <c r="B130" t="s">
        <v>82</v>
      </c>
      <c r="C130">
        <f t="shared" si="1"/>
        <v>6133423</v>
      </c>
      <c r="F130">
        <v>6133423</v>
      </c>
    </row>
    <row r="131" spans="1:6" x14ac:dyDescent="0.3">
      <c r="A131">
        <v>39010</v>
      </c>
      <c r="B131" t="s">
        <v>85</v>
      </c>
      <c r="C131">
        <f t="shared" si="1"/>
        <v>-63842</v>
      </c>
      <c r="F131">
        <v>-63842</v>
      </c>
    </row>
    <row r="132" spans="1:6" x14ac:dyDescent="0.3">
      <c r="A132">
        <v>38579</v>
      </c>
      <c r="B132" t="s">
        <v>86</v>
      </c>
      <c r="C132">
        <f t="shared" si="1"/>
        <v>-922858</v>
      </c>
      <c r="F132">
        <v>-922858</v>
      </c>
    </row>
    <row r="133" spans="1:6" x14ac:dyDescent="0.3">
      <c r="A133">
        <v>872</v>
      </c>
      <c r="B133" t="s">
        <v>87</v>
      </c>
      <c r="C133">
        <f t="shared" si="1"/>
        <v>69675</v>
      </c>
      <c r="F133">
        <v>69675</v>
      </c>
    </row>
    <row r="134" spans="1:6" x14ac:dyDescent="0.3">
      <c r="A134">
        <v>868</v>
      </c>
      <c r="B134" t="s">
        <v>88</v>
      </c>
      <c r="C134">
        <f t="shared" si="1"/>
        <v>493925</v>
      </c>
      <c r="F134">
        <v>493925</v>
      </c>
    </row>
    <row r="135" spans="1:6" x14ac:dyDescent="0.3">
      <c r="A135">
        <v>675</v>
      </c>
      <c r="B135" t="s">
        <v>99</v>
      </c>
      <c r="C135">
        <f t="shared" si="1"/>
        <v>188000</v>
      </c>
      <c r="F135">
        <v>188000</v>
      </c>
    </row>
    <row r="136" spans="1:6" x14ac:dyDescent="0.3">
      <c r="A136">
        <v>1107</v>
      </c>
      <c r="B136" t="s">
        <v>105</v>
      </c>
      <c r="C136">
        <f t="shared" si="1"/>
        <v>182119</v>
      </c>
      <c r="F136">
        <v>182119</v>
      </c>
    </row>
    <row r="137" spans="1:6" x14ac:dyDescent="0.3">
      <c r="A137">
        <v>859</v>
      </c>
      <c r="B137" t="s">
        <v>220</v>
      </c>
      <c r="C137">
        <f t="shared" si="1"/>
        <v>114699</v>
      </c>
      <c r="F137">
        <v>114699</v>
      </c>
    </row>
    <row r="138" spans="1:6" x14ac:dyDescent="0.3">
      <c r="A138">
        <v>858</v>
      </c>
      <c r="B138" t="s">
        <v>89</v>
      </c>
      <c r="C138">
        <f t="shared" si="1"/>
        <v>1237717.3600000001</v>
      </c>
      <c r="F138">
        <v>1237717.3600000001</v>
      </c>
    </row>
    <row r="139" spans="1:6" x14ac:dyDescent="0.3">
      <c r="A139">
        <v>870</v>
      </c>
      <c r="B139" t="s">
        <v>221</v>
      </c>
      <c r="C139">
        <f t="shared" si="1"/>
        <v>279416.12</v>
      </c>
      <c r="F139">
        <v>279416.12</v>
      </c>
    </row>
    <row r="140" spans="1:6" x14ac:dyDescent="0.3">
      <c r="A140">
        <v>981</v>
      </c>
      <c r="B140" t="s">
        <v>109</v>
      </c>
      <c r="C140">
        <f t="shared" si="1"/>
        <v>322695.65000000002</v>
      </c>
      <c r="F140">
        <v>322695.65000000002</v>
      </c>
    </row>
    <row r="141" spans="1:6" x14ac:dyDescent="0.3">
      <c r="A141">
        <v>974</v>
      </c>
      <c r="B141" t="s">
        <v>94</v>
      </c>
      <c r="C141">
        <f t="shared" si="1"/>
        <v>699</v>
      </c>
      <c r="F141">
        <v>699</v>
      </c>
    </row>
    <row r="142" spans="1:6" x14ac:dyDescent="0.3">
      <c r="A142">
        <v>1214</v>
      </c>
      <c r="B142" t="s">
        <v>106</v>
      </c>
      <c r="C142">
        <f t="shared" si="1"/>
        <v>12000</v>
      </c>
      <c r="F142">
        <v>12000</v>
      </c>
    </row>
    <row r="143" spans="1:6" x14ac:dyDescent="0.3">
      <c r="A143">
        <v>25273</v>
      </c>
      <c r="B143" t="s">
        <v>112</v>
      </c>
      <c r="C143">
        <f t="shared" si="1"/>
        <v>1510730.66</v>
      </c>
      <c r="F143">
        <v>1510730.66</v>
      </c>
    </row>
    <row r="144" spans="1:6" x14ac:dyDescent="0.3">
      <c r="A144">
        <v>986</v>
      </c>
      <c r="B144" t="s">
        <v>114</v>
      </c>
      <c r="C144">
        <f t="shared" si="1"/>
        <v>1577</v>
      </c>
      <c r="F144">
        <v>1577</v>
      </c>
    </row>
    <row r="145" spans="1:5" x14ac:dyDescent="0.3">
      <c r="A145" t="s">
        <v>162</v>
      </c>
      <c r="B145" t="s">
        <v>246</v>
      </c>
      <c r="C145">
        <f>SUM(C26:C144)</f>
        <v>862423801.82000029</v>
      </c>
      <c r="D145" t="s">
        <v>255</v>
      </c>
      <c r="E145" t="s">
        <v>256</v>
      </c>
    </row>
    <row r="146" spans="1:5" x14ac:dyDescent="0.3">
      <c r="A146" t="s">
        <v>167</v>
      </c>
      <c r="B146" t="s">
        <v>168</v>
      </c>
      <c r="C146">
        <v>862423801.82000005</v>
      </c>
    </row>
    <row r="147" spans="1:5" x14ac:dyDescent="0.3">
      <c r="A147" t="s">
        <v>162</v>
      </c>
      <c r="B147" t="s">
        <v>246</v>
      </c>
      <c r="C147">
        <f>+C25-C145</f>
        <v>-255833548.74000025</v>
      </c>
      <c r="D147" t="s">
        <v>255</v>
      </c>
      <c r="E147" t="s">
        <v>256</v>
      </c>
    </row>
    <row r="148" spans="1:5" x14ac:dyDescent="0.3">
      <c r="A148" t="s">
        <v>169</v>
      </c>
      <c r="B148" t="s">
        <v>403</v>
      </c>
      <c r="C148">
        <v>48.74</v>
      </c>
    </row>
    <row r="149" spans="1:5" x14ac:dyDescent="0.3">
      <c r="A149" t="s">
        <v>171</v>
      </c>
      <c r="B149" t="s">
        <v>249</v>
      </c>
      <c r="C149" t="s">
        <v>242</v>
      </c>
      <c r="D149" t="s">
        <v>259</v>
      </c>
      <c r="E149" t="s">
        <v>242</v>
      </c>
    </row>
    <row r="150" spans="1:5" x14ac:dyDescent="0.3">
      <c r="A150" t="s">
        <v>156</v>
      </c>
      <c r="B150" t="s">
        <v>404</v>
      </c>
      <c r="D150" t="s">
        <v>261</v>
      </c>
      <c r="E150" t="s">
        <v>405</v>
      </c>
    </row>
    <row r="151" spans="1:5" x14ac:dyDescent="0.3">
      <c r="A151" t="s">
        <v>157</v>
      </c>
    </row>
  </sheetData>
  <autoFilter ref="A7:C151" xr:uid="{7038307E-016E-42AF-AF53-6FB7F001805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7E68-59CC-4519-A1F2-62C71A81DE86}">
  <dimension ref="A1:E83"/>
  <sheetViews>
    <sheetView topLeftCell="A7" workbookViewId="0">
      <selection activeCell="B11" sqref="B11"/>
    </sheetView>
  </sheetViews>
  <sheetFormatPr defaultRowHeight="14.4" x14ac:dyDescent="0.3"/>
  <cols>
    <col min="2" max="2" width="25.10937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244</v>
      </c>
      <c r="C3" t="s">
        <v>401</v>
      </c>
      <c r="D3" t="s">
        <v>143</v>
      </c>
    </row>
    <row r="4" spans="1:5" x14ac:dyDescent="0.3">
      <c r="A4" t="s">
        <v>317</v>
      </c>
      <c r="B4" t="s">
        <v>290</v>
      </c>
      <c r="C4" t="s">
        <v>241</v>
      </c>
      <c r="D4" t="s">
        <v>144</v>
      </c>
      <c r="E4" t="s">
        <v>144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317</v>
      </c>
      <c r="B7" t="s">
        <v>290</v>
      </c>
      <c r="C7" t="s">
        <v>241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f>+E9</f>
        <v>18524580.02</v>
      </c>
      <c r="E9">
        <v>18524580.02</v>
      </c>
    </row>
    <row r="10" spans="1:5" x14ac:dyDescent="0.3">
      <c r="B10" t="s">
        <v>174</v>
      </c>
      <c r="C10">
        <f>SUM(C9)</f>
        <v>18524580.02</v>
      </c>
      <c r="E10">
        <v>18524580.02</v>
      </c>
    </row>
    <row r="11" spans="1:5" x14ac:dyDescent="0.3">
      <c r="A11">
        <v>36604</v>
      </c>
      <c r="B11" t="s">
        <v>188</v>
      </c>
      <c r="C11">
        <f t="shared" ref="C11:C58" si="0">+E11</f>
        <v>13070</v>
      </c>
      <c r="E11">
        <v>13070</v>
      </c>
    </row>
    <row r="12" spans="1:5" x14ac:dyDescent="0.3">
      <c r="A12">
        <v>20335</v>
      </c>
      <c r="B12" t="s">
        <v>39</v>
      </c>
      <c r="C12">
        <f t="shared" si="0"/>
        <v>120</v>
      </c>
      <c r="E12">
        <v>120</v>
      </c>
    </row>
    <row r="13" spans="1:5" x14ac:dyDescent="0.3">
      <c r="A13">
        <v>36583</v>
      </c>
      <c r="B13" t="s">
        <v>200</v>
      </c>
      <c r="C13">
        <f t="shared" si="0"/>
        <v>107043.72</v>
      </c>
      <c r="E13">
        <v>107043.72</v>
      </c>
    </row>
    <row r="14" spans="1:5" x14ac:dyDescent="0.3">
      <c r="A14">
        <v>815</v>
      </c>
      <c r="B14" t="s">
        <v>40</v>
      </c>
      <c r="C14">
        <f t="shared" si="0"/>
        <v>46563</v>
      </c>
      <c r="E14">
        <v>46563</v>
      </c>
    </row>
    <row r="15" spans="1:5" x14ac:dyDescent="0.3">
      <c r="A15">
        <v>25339</v>
      </c>
      <c r="B15" t="s">
        <v>192</v>
      </c>
      <c r="C15">
        <f t="shared" si="0"/>
        <v>631653.67000000004</v>
      </c>
      <c r="E15">
        <v>631653.67000000004</v>
      </c>
    </row>
    <row r="16" spans="1:5" x14ac:dyDescent="0.3">
      <c r="A16">
        <v>810</v>
      </c>
      <c r="B16" t="s">
        <v>48</v>
      </c>
      <c r="C16">
        <f t="shared" si="0"/>
        <v>6700</v>
      </c>
      <c r="E16">
        <v>6700</v>
      </c>
    </row>
    <row r="17" spans="1:5" x14ac:dyDescent="0.3">
      <c r="A17">
        <v>937</v>
      </c>
      <c r="B17" t="s">
        <v>58</v>
      </c>
      <c r="C17">
        <f t="shared" si="0"/>
        <v>21360</v>
      </c>
      <c r="E17">
        <v>21360</v>
      </c>
    </row>
    <row r="18" spans="1:5" x14ac:dyDescent="0.3">
      <c r="A18">
        <v>809</v>
      </c>
      <c r="B18" t="s">
        <v>46</v>
      </c>
      <c r="C18">
        <f t="shared" si="0"/>
        <v>1135660</v>
      </c>
      <c r="E18">
        <v>1135660</v>
      </c>
    </row>
    <row r="19" spans="1:5" x14ac:dyDescent="0.3">
      <c r="A19">
        <v>36614</v>
      </c>
      <c r="B19" t="s">
        <v>11</v>
      </c>
      <c r="C19">
        <f t="shared" si="0"/>
        <v>6000</v>
      </c>
      <c r="E19">
        <v>6000</v>
      </c>
    </row>
    <row r="20" spans="1:5" x14ac:dyDescent="0.3">
      <c r="A20">
        <v>20336</v>
      </c>
      <c r="B20" t="s">
        <v>12</v>
      </c>
      <c r="C20">
        <f t="shared" si="0"/>
        <v>12500</v>
      </c>
      <c r="E20">
        <v>12500</v>
      </c>
    </row>
    <row r="21" spans="1:5" x14ac:dyDescent="0.3">
      <c r="A21">
        <v>961</v>
      </c>
      <c r="B21" t="s">
        <v>91</v>
      </c>
      <c r="C21">
        <f t="shared" si="0"/>
        <v>18200</v>
      </c>
      <c r="E21">
        <v>18200</v>
      </c>
    </row>
    <row r="22" spans="1:5" x14ac:dyDescent="0.3">
      <c r="A22">
        <v>894</v>
      </c>
      <c r="B22" t="s">
        <v>70</v>
      </c>
      <c r="C22">
        <f t="shared" si="0"/>
        <v>104517</v>
      </c>
      <c r="E22">
        <v>104517</v>
      </c>
    </row>
    <row r="23" spans="1:5" x14ac:dyDescent="0.3">
      <c r="A23">
        <v>963</v>
      </c>
      <c r="B23" t="s">
        <v>92</v>
      </c>
      <c r="C23">
        <f t="shared" si="0"/>
        <v>122670</v>
      </c>
      <c r="E23">
        <v>122670</v>
      </c>
    </row>
    <row r="24" spans="1:5" x14ac:dyDescent="0.3">
      <c r="A24">
        <v>29063</v>
      </c>
      <c r="B24" t="s">
        <v>206</v>
      </c>
      <c r="C24">
        <f t="shared" si="0"/>
        <v>445</v>
      </c>
      <c r="E24">
        <v>445</v>
      </c>
    </row>
    <row r="25" spans="1:5" x14ac:dyDescent="0.3">
      <c r="A25">
        <v>821</v>
      </c>
      <c r="B25" t="s">
        <v>113</v>
      </c>
      <c r="C25">
        <f t="shared" si="0"/>
        <v>1758600</v>
      </c>
      <c r="E25">
        <v>1758600</v>
      </c>
    </row>
    <row r="26" spans="1:5" x14ac:dyDescent="0.3">
      <c r="A26">
        <v>904</v>
      </c>
      <c r="B26" t="s">
        <v>67</v>
      </c>
      <c r="C26">
        <f t="shared" si="0"/>
        <v>12117</v>
      </c>
      <c r="E26">
        <v>12117</v>
      </c>
    </row>
    <row r="27" spans="1:5" x14ac:dyDescent="0.3">
      <c r="A27">
        <v>932</v>
      </c>
      <c r="B27" t="s">
        <v>54</v>
      </c>
      <c r="C27">
        <f t="shared" si="0"/>
        <v>57750.26</v>
      </c>
      <c r="E27">
        <v>57750.26</v>
      </c>
    </row>
    <row r="28" spans="1:5" x14ac:dyDescent="0.3">
      <c r="A28">
        <v>20113</v>
      </c>
      <c r="B28" t="s">
        <v>223</v>
      </c>
      <c r="C28">
        <f t="shared" si="0"/>
        <v>6000</v>
      </c>
      <c r="E28">
        <v>6000</v>
      </c>
    </row>
    <row r="29" spans="1:5" x14ac:dyDescent="0.3">
      <c r="A29">
        <v>1101</v>
      </c>
      <c r="B29" t="s">
        <v>229</v>
      </c>
      <c r="C29">
        <f t="shared" si="0"/>
        <v>20000</v>
      </c>
      <c r="E29">
        <v>20000</v>
      </c>
    </row>
    <row r="30" spans="1:5" x14ac:dyDescent="0.3">
      <c r="A30">
        <v>854</v>
      </c>
      <c r="B30" t="s">
        <v>205</v>
      </c>
      <c r="C30">
        <f t="shared" si="0"/>
        <v>30917</v>
      </c>
      <c r="E30">
        <v>30917</v>
      </c>
    </row>
    <row r="31" spans="1:5" x14ac:dyDescent="0.3">
      <c r="A31">
        <v>983</v>
      </c>
      <c r="B31" t="s">
        <v>95</v>
      </c>
      <c r="C31">
        <f t="shared" si="0"/>
        <v>73064</v>
      </c>
      <c r="E31">
        <v>73064</v>
      </c>
    </row>
    <row r="32" spans="1:5" x14ac:dyDescent="0.3">
      <c r="A32">
        <v>1074</v>
      </c>
      <c r="B32" t="s">
        <v>202</v>
      </c>
      <c r="C32">
        <f t="shared" si="0"/>
        <v>46150</v>
      </c>
      <c r="E32">
        <v>46150</v>
      </c>
    </row>
    <row r="33" spans="1:5" x14ac:dyDescent="0.3">
      <c r="A33">
        <v>926</v>
      </c>
      <c r="B33" t="s">
        <v>207</v>
      </c>
      <c r="C33">
        <f t="shared" si="0"/>
        <v>47810</v>
      </c>
      <c r="E33">
        <v>47810</v>
      </c>
    </row>
    <row r="34" spans="1:5" x14ac:dyDescent="0.3">
      <c r="A34">
        <v>934</v>
      </c>
      <c r="B34" t="s">
        <v>103</v>
      </c>
      <c r="C34">
        <f t="shared" si="0"/>
        <v>4950</v>
      </c>
      <c r="E34">
        <v>4950</v>
      </c>
    </row>
    <row r="35" spans="1:5" x14ac:dyDescent="0.3">
      <c r="A35">
        <v>685</v>
      </c>
      <c r="B35" t="s">
        <v>97</v>
      </c>
      <c r="C35">
        <f t="shared" si="0"/>
        <v>37820</v>
      </c>
      <c r="E35">
        <v>37820</v>
      </c>
    </row>
    <row r="36" spans="1:5" x14ac:dyDescent="0.3">
      <c r="A36">
        <v>920</v>
      </c>
      <c r="B36" t="s">
        <v>153</v>
      </c>
      <c r="C36">
        <f t="shared" si="0"/>
        <v>21789.96</v>
      </c>
      <c r="E36">
        <v>21789.96</v>
      </c>
    </row>
    <row r="37" spans="1:5" x14ac:dyDescent="0.3">
      <c r="A37">
        <v>936</v>
      </c>
      <c r="B37" t="s">
        <v>225</v>
      </c>
      <c r="C37">
        <f t="shared" si="0"/>
        <v>16928.78</v>
      </c>
      <c r="E37">
        <v>16928.78</v>
      </c>
    </row>
    <row r="38" spans="1:5" x14ac:dyDescent="0.3">
      <c r="A38">
        <v>812</v>
      </c>
      <c r="B38" t="s">
        <v>90</v>
      </c>
      <c r="C38">
        <f t="shared" si="0"/>
        <v>85306.79</v>
      </c>
      <c r="E38">
        <v>85306.79</v>
      </c>
    </row>
    <row r="39" spans="1:5" x14ac:dyDescent="0.3">
      <c r="A39">
        <v>1021</v>
      </c>
      <c r="B39" t="s">
        <v>57</v>
      </c>
      <c r="C39">
        <f t="shared" si="0"/>
        <v>-11.31</v>
      </c>
      <c r="E39">
        <v>-11.31</v>
      </c>
    </row>
    <row r="40" spans="1:5" x14ac:dyDescent="0.3">
      <c r="A40">
        <v>10000</v>
      </c>
      <c r="B40" t="s">
        <v>68</v>
      </c>
      <c r="C40">
        <f t="shared" si="0"/>
        <v>4900</v>
      </c>
      <c r="E40">
        <v>4900</v>
      </c>
    </row>
    <row r="41" spans="1:5" x14ac:dyDescent="0.3">
      <c r="A41">
        <v>935</v>
      </c>
      <c r="B41" t="s">
        <v>228</v>
      </c>
      <c r="C41">
        <f t="shared" si="0"/>
        <v>3971</v>
      </c>
      <c r="E41">
        <v>3971</v>
      </c>
    </row>
    <row r="42" spans="1:5" x14ac:dyDescent="0.3">
      <c r="A42">
        <v>948</v>
      </c>
      <c r="B42" t="s">
        <v>72</v>
      </c>
      <c r="C42">
        <f t="shared" si="0"/>
        <v>271419</v>
      </c>
      <c r="E42">
        <v>271419</v>
      </c>
    </row>
    <row r="43" spans="1:5" x14ac:dyDescent="0.3">
      <c r="A43">
        <v>855</v>
      </c>
      <c r="B43" t="s">
        <v>73</v>
      </c>
      <c r="C43">
        <f t="shared" si="0"/>
        <v>288410</v>
      </c>
      <c r="E43">
        <v>288410</v>
      </c>
    </row>
    <row r="44" spans="1:5" x14ac:dyDescent="0.3">
      <c r="A44">
        <v>853</v>
      </c>
      <c r="B44" t="s">
        <v>74</v>
      </c>
      <c r="C44">
        <f t="shared" si="0"/>
        <v>404004</v>
      </c>
      <c r="E44">
        <v>404004</v>
      </c>
    </row>
    <row r="45" spans="1:5" x14ac:dyDescent="0.3">
      <c r="A45">
        <v>10208</v>
      </c>
      <c r="B45" t="s">
        <v>78</v>
      </c>
      <c r="C45">
        <f t="shared" si="0"/>
        <v>82010</v>
      </c>
      <c r="E45">
        <v>82010</v>
      </c>
    </row>
    <row r="46" spans="1:5" x14ac:dyDescent="0.3">
      <c r="A46">
        <v>851</v>
      </c>
      <c r="B46" t="s">
        <v>81</v>
      </c>
      <c r="C46">
        <f t="shared" si="0"/>
        <v>3967232</v>
      </c>
      <c r="E46">
        <v>3967232</v>
      </c>
    </row>
    <row r="47" spans="1:5" x14ac:dyDescent="0.3">
      <c r="A47">
        <v>1325</v>
      </c>
      <c r="B47" t="s">
        <v>98</v>
      </c>
      <c r="C47">
        <f t="shared" si="0"/>
        <v>17161563</v>
      </c>
      <c r="E47">
        <v>17161563</v>
      </c>
    </row>
    <row r="48" spans="1:5" x14ac:dyDescent="0.3">
      <c r="A48">
        <v>39011</v>
      </c>
      <c r="B48" t="s">
        <v>83</v>
      </c>
      <c r="C48">
        <f t="shared" si="0"/>
        <v>79439</v>
      </c>
      <c r="E48">
        <v>79439</v>
      </c>
    </row>
    <row r="49" spans="1:5" x14ac:dyDescent="0.3">
      <c r="A49">
        <v>38580</v>
      </c>
      <c r="B49" t="s">
        <v>82</v>
      </c>
      <c r="C49">
        <f t="shared" si="0"/>
        <v>275561</v>
      </c>
      <c r="E49">
        <v>275561</v>
      </c>
    </row>
    <row r="50" spans="1:5" x14ac:dyDescent="0.3">
      <c r="A50">
        <v>39010</v>
      </c>
      <c r="B50" t="s">
        <v>85</v>
      </c>
      <c r="C50">
        <f t="shared" si="0"/>
        <v>-2294</v>
      </c>
      <c r="E50">
        <v>-2294</v>
      </c>
    </row>
    <row r="51" spans="1:5" x14ac:dyDescent="0.3">
      <c r="A51">
        <v>38579</v>
      </c>
      <c r="B51" t="s">
        <v>86</v>
      </c>
      <c r="C51">
        <f t="shared" si="0"/>
        <v>-36225</v>
      </c>
      <c r="E51">
        <v>-36225</v>
      </c>
    </row>
    <row r="52" spans="1:5" x14ac:dyDescent="0.3">
      <c r="A52">
        <v>872</v>
      </c>
      <c r="B52" t="s">
        <v>87</v>
      </c>
      <c r="C52">
        <f t="shared" si="0"/>
        <v>24500</v>
      </c>
      <c r="E52">
        <v>24500</v>
      </c>
    </row>
    <row r="53" spans="1:5" x14ac:dyDescent="0.3">
      <c r="A53">
        <v>868</v>
      </c>
      <c r="B53" t="s">
        <v>88</v>
      </c>
      <c r="C53">
        <f t="shared" si="0"/>
        <v>22817</v>
      </c>
      <c r="E53">
        <v>22817</v>
      </c>
    </row>
    <row r="54" spans="1:5" x14ac:dyDescent="0.3">
      <c r="A54">
        <v>675</v>
      </c>
      <c r="B54" t="s">
        <v>99</v>
      </c>
      <c r="C54">
        <f t="shared" si="0"/>
        <v>16000</v>
      </c>
      <c r="E54">
        <v>16000</v>
      </c>
    </row>
    <row r="55" spans="1:5" x14ac:dyDescent="0.3">
      <c r="A55">
        <v>1107</v>
      </c>
      <c r="B55" t="s">
        <v>105</v>
      </c>
      <c r="C55">
        <f t="shared" si="0"/>
        <v>3781</v>
      </c>
      <c r="E55">
        <v>3781</v>
      </c>
    </row>
    <row r="56" spans="1:5" x14ac:dyDescent="0.3">
      <c r="A56">
        <v>859</v>
      </c>
      <c r="B56" t="s">
        <v>220</v>
      </c>
      <c r="C56">
        <f t="shared" si="0"/>
        <v>1632</v>
      </c>
      <c r="E56">
        <v>1632</v>
      </c>
    </row>
    <row r="57" spans="1:5" x14ac:dyDescent="0.3">
      <c r="A57">
        <v>858</v>
      </c>
      <c r="B57" t="s">
        <v>89</v>
      </c>
      <c r="C57">
        <f t="shared" si="0"/>
        <v>323462</v>
      </c>
      <c r="E57">
        <v>323462</v>
      </c>
    </row>
    <row r="58" spans="1:5" x14ac:dyDescent="0.3">
      <c r="A58">
        <v>981</v>
      </c>
      <c r="B58" t="s">
        <v>109</v>
      </c>
      <c r="C58">
        <f t="shared" si="0"/>
        <v>13927.54</v>
      </c>
      <c r="E58">
        <v>13927.54</v>
      </c>
    </row>
    <row r="59" spans="1:5" x14ac:dyDescent="0.3">
      <c r="A59" t="s">
        <v>317</v>
      </c>
      <c r="B59" t="s">
        <v>290</v>
      </c>
      <c r="C59">
        <f>SUM(C11:C58)</f>
        <v>27351804.41</v>
      </c>
      <c r="D59" t="s">
        <v>144</v>
      </c>
      <c r="E59">
        <f>SUM(E11:E58)</f>
        <v>27351804.41</v>
      </c>
    </row>
    <row r="60" spans="1:5" x14ac:dyDescent="0.3">
      <c r="A60" t="s">
        <v>325</v>
      </c>
      <c r="B60" t="s">
        <v>326</v>
      </c>
      <c r="C60">
        <f>+C10-C59</f>
        <v>-8827224.3900000006</v>
      </c>
    </row>
    <row r="61" spans="1:5" x14ac:dyDescent="0.3">
      <c r="A61" t="s">
        <v>317</v>
      </c>
      <c r="B61" t="s">
        <v>290</v>
      </c>
      <c r="C61" t="s">
        <v>241</v>
      </c>
      <c r="D61" t="s">
        <v>144</v>
      </c>
      <c r="E61" t="s">
        <v>144</v>
      </c>
    </row>
    <row r="63" spans="1:5" x14ac:dyDescent="0.3">
      <c r="A63" t="s">
        <v>327</v>
      </c>
      <c r="B63" t="s">
        <v>409</v>
      </c>
      <c r="C63">
        <v>0.39</v>
      </c>
    </row>
    <row r="81" spans="1:5" x14ac:dyDescent="0.3">
      <c r="A81" t="s">
        <v>329</v>
      </c>
      <c r="B81" t="s">
        <v>294</v>
      </c>
      <c r="C81" t="s">
        <v>242</v>
      </c>
      <c r="D81" t="s">
        <v>154</v>
      </c>
      <c r="E81" t="s">
        <v>250</v>
      </c>
    </row>
    <row r="82" spans="1:5" x14ac:dyDescent="0.3">
      <c r="A82" t="s">
        <v>156</v>
      </c>
      <c r="B82" t="s">
        <v>408</v>
      </c>
      <c r="D82" t="s">
        <v>252</v>
      </c>
      <c r="E82" t="s">
        <v>348</v>
      </c>
    </row>
    <row r="83" spans="1:5" x14ac:dyDescent="0.3">
      <c r="A83" t="s">
        <v>157</v>
      </c>
    </row>
  </sheetData>
  <autoFilter ref="A7:C61" xr:uid="{591B7E68-59CC-4519-A1F2-62C71A81DE86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7313-B129-4F41-96DB-DBFA5E1693A9}">
  <dimension ref="A1:E59"/>
  <sheetViews>
    <sheetView topLeftCell="A32" workbookViewId="0">
      <selection activeCell="C57" sqref="C57"/>
    </sheetView>
  </sheetViews>
  <sheetFormatPr defaultRowHeight="14.4" x14ac:dyDescent="0.3"/>
  <cols>
    <col min="2" max="5" width="34.4414062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160</v>
      </c>
      <c r="C3" t="s">
        <v>383</v>
      </c>
      <c r="D3" t="s">
        <v>143</v>
      </c>
    </row>
    <row r="4" spans="1:5" x14ac:dyDescent="0.3">
      <c r="A4" t="s">
        <v>272</v>
      </c>
      <c r="B4" t="s">
        <v>246</v>
      </c>
      <c r="C4" t="s">
        <v>255</v>
      </c>
      <c r="D4" t="s">
        <v>144</v>
      </c>
      <c r="E4" t="s">
        <v>144</v>
      </c>
    </row>
    <row r="5" spans="1:5" x14ac:dyDescent="0.3">
      <c r="A5" t="s">
        <v>274</v>
      </c>
      <c r="B5" t="s">
        <v>275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272</v>
      </c>
      <c r="B7" t="s">
        <v>246</v>
      </c>
      <c r="C7" t="s">
        <v>255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v>15382914.01</v>
      </c>
    </row>
    <row r="10" spans="1:5" x14ac:dyDescent="0.3">
      <c r="A10">
        <v>706</v>
      </c>
      <c r="B10" t="s">
        <v>384</v>
      </c>
      <c r="C10">
        <v>0.01</v>
      </c>
    </row>
    <row r="11" spans="1:5" x14ac:dyDescent="0.3">
      <c r="A11" t="s">
        <v>277</v>
      </c>
      <c r="B11" t="s">
        <v>174</v>
      </c>
      <c r="C11">
        <f>SUM(C9:C10)</f>
        <v>15382914.02</v>
      </c>
    </row>
    <row r="12" spans="1:5" x14ac:dyDescent="0.3">
      <c r="A12">
        <v>20335</v>
      </c>
      <c r="B12" t="s">
        <v>39</v>
      </c>
      <c r="C12">
        <v>400</v>
      </c>
    </row>
    <row r="13" spans="1:5" x14ac:dyDescent="0.3">
      <c r="A13">
        <v>36583</v>
      </c>
      <c r="B13" t="s">
        <v>200</v>
      </c>
      <c r="C13">
        <v>96043.72</v>
      </c>
    </row>
    <row r="14" spans="1:5" x14ac:dyDescent="0.3">
      <c r="A14">
        <v>815</v>
      </c>
      <c r="B14" t="s">
        <v>40</v>
      </c>
      <c r="C14">
        <v>11917</v>
      </c>
    </row>
    <row r="15" spans="1:5" x14ac:dyDescent="0.3">
      <c r="A15">
        <v>25339</v>
      </c>
      <c r="B15" t="s">
        <v>192</v>
      </c>
      <c r="C15">
        <v>470860.28</v>
      </c>
    </row>
    <row r="16" spans="1:5" x14ac:dyDescent="0.3">
      <c r="A16">
        <v>810</v>
      </c>
      <c r="B16" t="s">
        <v>48</v>
      </c>
      <c r="C16">
        <v>6700</v>
      </c>
    </row>
    <row r="17" spans="1:3" x14ac:dyDescent="0.3">
      <c r="A17">
        <v>937</v>
      </c>
      <c r="B17" t="s">
        <v>58</v>
      </c>
      <c r="C17">
        <v>11400</v>
      </c>
    </row>
    <row r="18" spans="1:3" x14ac:dyDescent="0.3">
      <c r="A18">
        <v>809</v>
      </c>
      <c r="B18" t="s">
        <v>46</v>
      </c>
      <c r="C18">
        <v>835942</v>
      </c>
    </row>
    <row r="19" spans="1:3" x14ac:dyDescent="0.3">
      <c r="A19">
        <v>20336</v>
      </c>
      <c r="B19" t="s">
        <v>12</v>
      </c>
      <c r="C19">
        <v>12500</v>
      </c>
    </row>
    <row r="20" spans="1:3" x14ac:dyDescent="0.3">
      <c r="A20">
        <v>961</v>
      </c>
      <c r="B20" t="s">
        <v>91</v>
      </c>
      <c r="C20">
        <v>18200</v>
      </c>
    </row>
    <row r="21" spans="1:3" x14ac:dyDescent="0.3">
      <c r="A21">
        <v>894</v>
      </c>
      <c r="B21" t="s">
        <v>70</v>
      </c>
      <c r="C21">
        <v>41376</v>
      </c>
    </row>
    <row r="22" spans="1:3" x14ac:dyDescent="0.3">
      <c r="A22">
        <v>963</v>
      </c>
      <c r="B22" t="s">
        <v>92</v>
      </c>
      <c r="C22">
        <v>93670</v>
      </c>
    </row>
    <row r="23" spans="1:3" x14ac:dyDescent="0.3">
      <c r="A23">
        <v>29063</v>
      </c>
      <c r="B23" t="s">
        <v>206</v>
      </c>
      <c r="C23">
        <v>263</v>
      </c>
    </row>
    <row r="24" spans="1:3" x14ac:dyDescent="0.3">
      <c r="A24">
        <v>821</v>
      </c>
      <c r="B24" t="s">
        <v>113</v>
      </c>
      <c r="C24">
        <v>957200</v>
      </c>
    </row>
    <row r="25" spans="1:3" x14ac:dyDescent="0.3">
      <c r="A25">
        <v>904</v>
      </c>
      <c r="B25" t="s">
        <v>67</v>
      </c>
      <c r="C25">
        <v>12117</v>
      </c>
    </row>
    <row r="26" spans="1:3" x14ac:dyDescent="0.3">
      <c r="A26">
        <v>932</v>
      </c>
      <c r="B26" t="s">
        <v>54</v>
      </c>
      <c r="C26">
        <v>46777.86</v>
      </c>
    </row>
    <row r="27" spans="1:3" x14ac:dyDescent="0.3">
      <c r="A27">
        <v>1101</v>
      </c>
      <c r="B27" t="s">
        <v>229</v>
      </c>
      <c r="C27">
        <v>20000</v>
      </c>
    </row>
    <row r="28" spans="1:3" x14ac:dyDescent="0.3">
      <c r="A28">
        <v>854</v>
      </c>
      <c r="B28" t="s">
        <v>205</v>
      </c>
      <c r="C28">
        <v>22277</v>
      </c>
    </row>
    <row r="29" spans="1:3" x14ac:dyDescent="0.3">
      <c r="A29">
        <v>983</v>
      </c>
      <c r="B29" t="s">
        <v>95</v>
      </c>
      <c r="C29">
        <v>43696</v>
      </c>
    </row>
    <row r="30" spans="1:3" x14ac:dyDescent="0.3">
      <c r="A30">
        <v>1074</v>
      </c>
      <c r="B30" t="s">
        <v>202</v>
      </c>
      <c r="C30">
        <v>43400</v>
      </c>
    </row>
    <row r="31" spans="1:3" x14ac:dyDescent="0.3">
      <c r="A31">
        <v>926</v>
      </c>
      <c r="B31" t="s">
        <v>207</v>
      </c>
      <c r="C31">
        <v>46810</v>
      </c>
    </row>
    <row r="32" spans="1:3" x14ac:dyDescent="0.3">
      <c r="A32">
        <v>934</v>
      </c>
      <c r="B32" t="s">
        <v>103</v>
      </c>
      <c r="C32">
        <v>4125</v>
      </c>
    </row>
    <row r="33" spans="1:3" x14ac:dyDescent="0.3">
      <c r="A33">
        <v>685</v>
      </c>
      <c r="B33" t="s">
        <v>97</v>
      </c>
      <c r="C33">
        <v>21920</v>
      </c>
    </row>
    <row r="34" spans="1:3" x14ac:dyDescent="0.3">
      <c r="A34">
        <v>920</v>
      </c>
      <c r="B34" t="s">
        <v>153</v>
      </c>
      <c r="C34">
        <v>11577.4</v>
      </c>
    </row>
    <row r="35" spans="1:3" x14ac:dyDescent="0.3">
      <c r="A35">
        <v>936</v>
      </c>
      <c r="B35" t="s">
        <v>225</v>
      </c>
      <c r="C35">
        <v>16928.78</v>
      </c>
    </row>
    <row r="36" spans="1:3" x14ac:dyDescent="0.3">
      <c r="A36">
        <v>812</v>
      </c>
      <c r="B36" t="s">
        <v>90</v>
      </c>
      <c r="C36">
        <v>72873.789999999994</v>
      </c>
    </row>
    <row r="37" spans="1:3" x14ac:dyDescent="0.3">
      <c r="A37">
        <v>1021</v>
      </c>
      <c r="B37" t="s">
        <v>57</v>
      </c>
      <c r="C37">
        <v>-8.85</v>
      </c>
    </row>
    <row r="38" spans="1:3" x14ac:dyDescent="0.3">
      <c r="A38">
        <v>10000</v>
      </c>
      <c r="B38" t="s">
        <v>68</v>
      </c>
      <c r="C38">
        <v>4900</v>
      </c>
    </row>
    <row r="39" spans="1:3" x14ac:dyDescent="0.3">
      <c r="A39">
        <v>948</v>
      </c>
      <c r="B39" t="s">
        <v>72</v>
      </c>
      <c r="C39">
        <v>196555</v>
      </c>
    </row>
    <row r="40" spans="1:3" x14ac:dyDescent="0.3">
      <c r="A40">
        <v>855</v>
      </c>
      <c r="B40" t="s">
        <v>73</v>
      </c>
      <c r="C40">
        <v>201908</v>
      </c>
    </row>
    <row r="41" spans="1:3" x14ac:dyDescent="0.3">
      <c r="A41">
        <v>853</v>
      </c>
      <c r="B41" t="s">
        <v>74</v>
      </c>
      <c r="C41">
        <v>293272</v>
      </c>
    </row>
    <row r="42" spans="1:3" x14ac:dyDescent="0.3">
      <c r="A42">
        <v>10208</v>
      </c>
      <c r="B42" t="s">
        <v>78</v>
      </c>
      <c r="C42">
        <v>61712</v>
      </c>
    </row>
    <row r="43" spans="1:3" x14ac:dyDescent="0.3">
      <c r="A43">
        <v>851</v>
      </c>
      <c r="B43" t="s">
        <v>81</v>
      </c>
      <c r="C43">
        <v>3019319</v>
      </c>
    </row>
    <row r="44" spans="1:3" x14ac:dyDescent="0.3">
      <c r="A44">
        <v>1325</v>
      </c>
      <c r="B44" t="s">
        <v>98</v>
      </c>
      <c r="C44">
        <v>12569092</v>
      </c>
    </row>
    <row r="45" spans="1:3" x14ac:dyDescent="0.3">
      <c r="A45">
        <v>39011</v>
      </c>
      <c r="B45" t="s">
        <v>83</v>
      </c>
      <c r="C45">
        <v>57947</v>
      </c>
    </row>
    <row r="46" spans="1:3" x14ac:dyDescent="0.3">
      <c r="A46">
        <v>38580</v>
      </c>
      <c r="B46" t="s">
        <v>82</v>
      </c>
      <c r="C46">
        <v>199033</v>
      </c>
    </row>
    <row r="47" spans="1:3" x14ac:dyDescent="0.3">
      <c r="A47">
        <v>39010</v>
      </c>
      <c r="B47" t="s">
        <v>85</v>
      </c>
      <c r="C47">
        <v>-2698</v>
      </c>
    </row>
    <row r="48" spans="1:3" x14ac:dyDescent="0.3">
      <c r="A48">
        <v>38579</v>
      </c>
      <c r="B48" t="s">
        <v>86</v>
      </c>
      <c r="C48">
        <v>-39275</v>
      </c>
    </row>
    <row r="49" spans="1:5" x14ac:dyDescent="0.3">
      <c r="A49">
        <v>872</v>
      </c>
      <c r="B49" t="s">
        <v>87</v>
      </c>
      <c r="C49">
        <v>24500</v>
      </c>
    </row>
    <row r="50" spans="1:5" x14ac:dyDescent="0.3">
      <c r="A50">
        <v>868</v>
      </c>
      <c r="B50" t="s">
        <v>88</v>
      </c>
      <c r="C50">
        <v>16475</v>
      </c>
    </row>
    <row r="51" spans="1:5" x14ac:dyDescent="0.3">
      <c r="A51">
        <v>859</v>
      </c>
      <c r="B51" t="s">
        <v>220</v>
      </c>
      <c r="C51">
        <v>1632</v>
      </c>
    </row>
    <row r="52" spans="1:5" x14ac:dyDescent="0.3">
      <c r="A52">
        <v>858</v>
      </c>
      <c r="B52" t="s">
        <v>89</v>
      </c>
      <c r="C52">
        <v>230778</v>
      </c>
    </row>
    <row r="53" spans="1:5" x14ac:dyDescent="0.3">
      <c r="A53">
        <v>981</v>
      </c>
      <c r="B53" t="s">
        <v>109</v>
      </c>
      <c r="C53">
        <v>10472.5</v>
      </c>
    </row>
    <row r="54" spans="1:5" x14ac:dyDescent="0.3">
      <c r="A54" t="s">
        <v>277</v>
      </c>
      <c r="B54" t="s">
        <v>279</v>
      </c>
      <c r="C54">
        <f>SUM(C12:C53)</f>
        <v>19764588.48</v>
      </c>
      <c r="D54">
        <v>19764588.48</v>
      </c>
    </row>
    <row r="55" spans="1:5" x14ac:dyDescent="0.3">
      <c r="C55">
        <f>+C11-C54</f>
        <v>-4381674.4600000009</v>
      </c>
    </row>
    <row r="56" spans="1:5" x14ac:dyDescent="0.3">
      <c r="A56" t="s">
        <v>280</v>
      </c>
      <c r="B56" t="s">
        <v>385</v>
      </c>
      <c r="C56">
        <v>4.46</v>
      </c>
    </row>
    <row r="57" spans="1:5" x14ac:dyDescent="0.3">
      <c r="A57" t="s">
        <v>282</v>
      </c>
      <c r="B57" t="s">
        <v>249</v>
      </c>
      <c r="C57" t="s">
        <v>259</v>
      </c>
      <c r="D57" t="s">
        <v>154</v>
      </c>
      <c r="E57" t="s">
        <v>250</v>
      </c>
    </row>
    <row r="58" spans="1:5" x14ac:dyDescent="0.3">
      <c r="A58" t="s">
        <v>284</v>
      </c>
      <c r="B58" t="s">
        <v>386</v>
      </c>
      <c r="D58" t="s">
        <v>252</v>
      </c>
      <c r="E58" t="s">
        <v>348</v>
      </c>
    </row>
    <row r="59" spans="1:5" x14ac:dyDescent="0.3">
      <c r="A59" t="s">
        <v>157</v>
      </c>
    </row>
  </sheetData>
  <autoFilter ref="A7:C59" xr:uid="{24657313-B129-4F41-96DB-DBFA5E1693A9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07E7-7A2F-4C39-9AAB-DE2ECD2F6F7F}">
  <dimension ref="A1:G141"/>
  <sheetViews>
    <sheetView topLeftCell="A112" workbookViewId="0">
      <selection activeCell="C136" sqref="C136"/>
    </sheetView>
  </sheetViews>
  <sheetFormatPr defaultRowHeight="14.4" x14ac:dyDescent="0.3"/>
  <cols>
    <col min="2" max="2" width="36.6640625" customWidth="1"/>
    <col min="3" max="6" width="23" customWidth="1"/>
    <col min="7" max="7" width="14.10937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240</v>
      </c>
      <c r="D2" t="s">
        <v>143</v>
      </c>
    </row>
    <row r="3" spans="1:5" x14ac:dyDescent="0.3">
      <c r="A3" t="s">
        <v>141</v>
      </c>
      <c r="B3" t="s">
        <v>244</v>
      </c>
      <c r="C3" t="s">
        <v>374</v>
      </c>
      <c r="D3" t="s">
        <v>143</v>
      </c>
    </row>
    <row r="4" spans="1:5" x14ac:dyDescent="0.3">
      <c r="A4" t="s">
        <v>317</v>
      </c>
      <c r="B4" t="s">
        <v>290</v>
      </c>
      <c r="C4" t="s">
        <v>241</v>
      </c>
      <c r="D4" t="s">
        <v>256</v>
      </c>
      <c r="E4" t="s">
        <v>255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ht="14.25" customHeight="1" x14ac:dyDescent="0.3">
      <c r="A7" t="s">
        <v>317</v>
      </c>
      <c r="B7" t="s">
        <v>290</v>
      </c>
      <c r="C7" t="s">
        <v>241</v>
      </c>
      <c r="D7" t="s">
        <v>256</v>
      </c>
      <c r="E7" t="s">
        <v>255</v>
      </c>
    </row>
    <row r="8" spans="1:5" x14ac:dyDescent="0.3">
      <c r="A8" t="s">
        <v>3</v>
      </c>
      <c r="C8" s="2"/>
    </row>
    <row r="9" spans="1:5" x14ac:dyDescent="0.3">
      <c r="A9">
        <v>21686</v>
      </c>
      <c r="B9" t="s">
        <v>176</v>
      </c>
      <c r="C9">
        <f t="shared" ref="C9:C20" si="0">+E9</f>
        <v>31936237</v>
      </c>
      <c r="E9">
        <v>31936237</v>
      </c>
    </row>
    <row r="10" spans="1:5" x14ac:dyDescent="0.3">
      <c r="A10">
        <v>701</v>
      </c>
      <c r="B10" t="s">
        <v>178</v>
      </c>
      <c r="C10">
        <f t="shared" si="0"/>
        <v>439540</v>
      </c>
      <c r="E10">
        <v>439540</v>
      </c>
    </row>
    <row r="11" spans="1:5" x14ac:dyDescent="0.3">
      <c r="A11">
        <v>16905</v>
      </c>
      <c r="B11" t="s">
        <v>177</v>
      </c>
      <c r="C11">
        <f t="shared" si="0"/>
        <v>360413964.33999997</v>
      </c>
      <c r="E11">
        <v>360413964.33999997</v>
      </c>
    </row>
    <row r="12" spans="1:5" x14ac:dyDescent="0.3">
      <c r="A12">
        <v>26282</v>
      </c>
      <c r="B12" t="s">
        <v>247</v>
      </c>
      <c r="C12">
        <f t="shared" si="0"/>
        <v>21860</v>
      </c>
      <c r="E12">
        <v>21860</v>
      </c>
    </row>
    <row r="13" spans="1:5" x14ac:dyDescent="0.3">
      <c r="A13">
        <v>35115</v>
      </c>
      <c r="B13" t="s">
        <v>179</v>
      </c>
      <c r="C13">
        <f t="shared" si="0"/>
        <v>5699323</v>
      </c>
      <c r="E13">
        <v>5699323</v>
      </c>
    </row>
    <row r="14" spans="1:5" x14ac:dyDescent="0.3">
      <c r="A14">
        <v>35116</v>
      </c>
      <c r="B14" t="s">
        <v>345</v>
      </c>
      <c r="C14">
        <f t="shared" si="0"/>
        <v>2001211</v>
      </c>
      <c r="E14">
        <v>2001211</v>
      </c>
    </row>
    <row r="15" spans="1:5" x14ac:dyDescent="0.3">
      <c r="A15">
        <v>1015</v>
      </c>
      <c r="B15" t="s">
        <v>120</v>
      </c>
      <c r="C15">
        <f t="shared" si="0"/>
        <v>754028.88</v>
      </c>
      <c r="E15">
        <v>754028.88</v>
      </c>
    </row>
    <row r="16" spans="1:5" x14ac:dyDescent="0.3">
      <c r="A16">
        <v>1002</v>
      </c>
      <c r="B16" t="s">
        <v>28</v>
      </c>
      <c r="C16">
        <f t="shared" si="0"/>
        <v>6259301</v>
      </c>
      <c r="E16">
        <v>6259301</v>
      </c>
    </row>
    <row r="17" spans="1:5" x14ac:dyDescent="0.3">
      <c r="A17">
        <v>1201</v>
      </c>
      <c r="B17" t="s">
        <v>30</v>
      </c>
      <c r="C17">
        <f t="shared" si="0"/>
        <v>875926</v>
      </c>
      <c r="E17">
        <v>875926</v>
      </c>
    </row>
    <row r="18" spans="1:5" x14ac:dyDescent="0.3">
      <c r="A18">
        <v>1227</v>
      </c>
      <c r="B18" t="s">
        <v>182</v>
      </c>
      <c r="C18">
        <f t="shared" si="0"/>
        <v>3196865</v>
      </c>
      <c r="E18">
        <v>3196865</v>
      </c>
    </row>
    <row r="19" spans="1:5" x14ac:dyDescent="0.3">
      <c r="A19">
        <v>703</v>
      </c>
      <c r="B19" t="s">
        <v>181</v>
      </c>
      <c r="C19">
        <f t="shared" si="0"/>
        <v>533514</v>
      </c>
      <c r="E19">
        <v>533514</v>
      </c>
    </row>
    <row r="20" spans="1:5" x14ac:dyDescent="0.3">
      <c r="A20">
        <v>1011</v>
      </c>
      <c r="B20" t="s">
        <v>119</v>
      </c>
      <c r="C20">
        <f t="shared" si="0"/>
        <v>640</v>
      </c>
      <c r="E20">
        <v>640</v>
      </c>
    </row>
    <row r="21" spans="1:5" x14ac:dyDescent="0.3">
      <c r="A21">
        <v>1022</v>
      </c>
      <c r="B21" t="s">
        <v>276</v>
      </c>
      <c r="E21">
        <v>2</v>
      </c>
    </row>
    <row r="22" spans="1:5" x14ac:dyDescent="0.3">
      <c r="A22">
        <v>1016</v>
      </c>
      <c r="B22" t="s">
        <v>124</v>
      </c>
      <c r="C22">
        <f>+E22</f>
        <v>1280</v>
      </c>
      <c r="E22">
        <v>1280</v>
      </c>
    </row>
    <row r="23" spans="1:5" x14ac:dyDescent="0.3">
      <c r="B23" t="s">
        <v>174</v>
      </c>
      <c r="C23">
        <f>SUM(C9:C22)</f>
        <v>412133690.21999997</v>
      </c>
      <c r="D23">
        <v>412133692.22000003</v>
      </c>
    </row>
    <row r="24" spans="1:5" x14ac:dyDescent="0.3">
      <c r="A24">
        <v>1054</v>
      </c>
      <c r="B24" t="s">
        <v>305</v>
      </c>
      <c r="C24">
        <f t="shared" ref="C24:C71" si="1">+E24</f>
        <v>3508237.17</v>
      </c>
      <c r="E24">
        <v>3508237.17</v>
      </c>
    </row>
    <row r="25" spans="1:5" x14ac:dyDescent="0.3">
      <c r="A25">
        <v>1508</v>
      </c>
      <c r="B25" t="s">
        <v>306</v>
      </c>
      <c r="C25">
        <f t="shared" si="1"/>
        <v>9983215.9800000004</v>
      </c>
      <c r="E25">
        <v>9983215.9800000004</v>
      </c>
    </row>
    <row r="26" spans="1:5" x14ac:dyDescent="0.3">
      <c r="A26">
        <v>726</v>
      </c>
      <c r="B26" t="s">
        <v>307</v>
      </c>
      <c r="C26">
        <f t="shared" si="1"/>
        <v>57001475.630000003</v>
      </c>
      <c r="E26">
        <v>57001475.630000003</v>
      </c>
    </row>
    <row r="27" spans="1:5" x14ac:dyDescent="0.3">
      <c r="A27">
        <v>31383</v>
      </c>
      <c r="B27" t="s">
        <v>308</v>
      </c>
      <c r="C27">
        <f t="shared" si="1"/>
        <v>81361572.290000007</v>
      </c>
      <c r="E27">
        <v>81361572.290000007</v>
      </c>
    </row>
    <row r="28" spans="1:5" x14ac:dyDescent="0.3">
      <c r="A28">
        <v>35552</v>
      </c>
      <c r="B28" t="s">
        <v>309</v>
      </c>
      <c r="C28">
        <f t="shared" si="1"/>
        <v>10045740.779999999</v>
      </c>
      <c r="E28">
        <v>10045740.779999999</v>
      </c>
    </row>
    <row r="29" spans="1:5" x14ac:dyDescent="0.3">
      <c r="A29">
        <v>36461</v>
      </c>
      <c r="B29" t="s">
        <v>310</v>
      </c>
      <c r="C29">
        <f t="shared" si="1"/>
        <v>155547</v>
      </c>
      <c r="E29">
        <v>155547</v>
      </c>
    </row>
    <row r="30" spans="1:5" x14ac:dyDescent="0.3">
      <c r="A30">
        <v>18670</v>
      </c>
      <c r="B30" t="s">
        <v>195</v>
      </c>
      <c r="C30">
        <f t="shared" si="1"/>
        <v>15382914</v>
      </c>
      <c r="E30">
        <v>15382914</v>
      </c>
    </row>
    <row r="31" spans="1:5" x14ac:dyDescent="0.3">
      <c r="A31">
        <v>772</v>
      </c>
      <c r="B31" t="s">
        <v>198</v>
      </c>
      <c r="C31">
        <f t="shared" si="1"/>
        <v>445689.98</v>
      </c>
      <c r="E31">
        <v>445689.98</v>
      </c>
    </row>
    <row r="32" spans="1:5" x14ac:dyDescent="0.3">
      <c r="A32">
        <v>820</v>
      </c>
      <c r="B32" t="s">
        <v>69</v>
      </c>
      <c r="C32">
        <f t="shared" si="1"/>
        <v>141130</v>
      </c>
      <c r="E32">
        <v>141130</v>
      </c>
    </row>
    <row r="33" spans="1:7" x14ac:dyDescent="0.3">
      <c r="A33">
        <v>917</v>
      </c>
      <c r="B33" t="s">
        <v>44</v>
      </c>
      <c r="C33">
        <f t="shared" si="1"/>
        <v>112239</v>
      </c>
      <c r="E33">
        <v>112239</v>
      </c>
    </row>
    <row r="34" spans="1:7" x14ac:dyDescent="0.3">
      <c r="A34">
        <v>36603</v>
      </c>
      <c r="B34" t="s">
        <v>187</v>
      </c>
      <c r="C34">
        <f t="shared" si="1"/>
        <v>2217544.6800000002</v>
      </c>
      <c r="E34">
        <v>2217544.6800000002</v>
      </c>
    </row>
    <row r="35" spans="1:7" x14ac:dyDescent="0.3">
      <c r="A35">
        <v>36604</v>
      </c>
      <c r="B35" t="s">
        <v>188</v>
      </c>
      <c r="C35">
        <f t="shared" si="1"/>
        <v>1712619.4</v>
      </c>
      <c r="E35">
        <v>1712619.4</v>
      </c>
    </row>
    <row r="36" spans="1:7" x14ac:dyDescent="0.3">
      <c r="A36">
        <v>20335</v>
      </c>
      <c r="B36" t="s">
        <v>39</v>
      </c>
      <c r="C36">
        <f t="shared" si="1"/>
        <v>333003</v>
      </c>
      <c r="E36">
        <v>333003</v>
      </c>
    </row>
    <row r="37" spans="1:7" x14ac:dyDescent="0.3">
      <c r="A37">
        <v>1400</v>
      </c>
      <c r="B37" t="s">
        <v>186</v>
      </c>
      <c r="C37">
        <f t="shared" si="1"/>
        <v>220664862.44999999</v>
      </c>
      <c r="E37">
        <v>220664862.44999999</v>
      </c>
    </row>
    <row r="38" spans="1:7" x14ac:dyDescent="0.3">
      <c r="A38">
        <v>875</v>
      </c>
      <c r="B38" t="s">
        <v>38</v>
      </c>
      <c r="C38">
        <f t="shared" si="1"/>
        <v>21505900.390000001</v>
      </c>
      <c r="E38">
        <v>21505900.390000001</v>
      </c>
    </row>
    <row r="39" spans="1:7" x14ac:dyDescent="0.3">
      <c r="A39">
        <v>35306</v>
      </c>
      <c r="B39" t="s">
        <v>346</v>
      </c>
      <c r="C39">
        <f t="shared" si="1"/>
        <v>20170</v>
      </c>
      <c r="E39">
        <v>20170</v>
      </c>
    </row>
    <row r="40" spans="1:7" x14ac:dyDescent="0.3">
      <c r="A40">
        <v>35921</v>
      </c>
      <c r="B40" t="s">
        <v>278</v>
      </c>
      <c r="C40">
        <f t="shared" si="1"/>
        <v>8460079</v>
      </c>
      <c r="E40">
        <v>8460079</v>
      </c>
    </row>
    <row r="41" spans="1:7" x14ac:dyDescent="0.3">
      <c r="A41">
        <v>25338</v>
      </c>
      <c r="B41" t="s">
        <v>193</v>
      </c>
      <c r="C41">
        <f t="shared" si="1"/>
        <v>21784.799999999999</v>
      </c>
      <c r="E41">
        <v>21784.799999999999</v>
      </c>
      <c r="G41" s="2"/>
    </row>
    <row r="42" spans="1:7" x14ac:dyDescent="0.3">
      <c r="A42">
        <v>36583</v>
      </c>
      <c r="B42" t="s">
        <v>200</v>
      </c>
      <c r="C42">
        <f t="shared" si="1"/>
        <v>518256.82</v>
      </c>
      <c r="E42">
        <v>518256.82</v>
      </c>
    </row>
    <row r="43" spans="1:7" x14ac:dyDescent="0.3">
      <c r="A43">
        <v>818</v>
      </c>
      <c r="B43" t="s">
        <v>47</v>
      </c>
      <c r="C43">
        <f t="shared" si="1"/>
        <v>13011.88</v>
      </c>
      <c r="E43">
        <v>13011.88</v>
      </c>
    </row>
    <row r="44" spans="1:7" x14ac:dyDescent="0.3">
      <c r="A44">
        <v>1612</v>
      </c>
      <c r="B44" t="s">
        <v>189</v>
      </c>
      <c r="C44">
        <f t="shared" si="1"/>
        <v>32405852.370000001</v>
      </c>
      <c r="E44">
        <v>32405852.370000001</v>
      </c>
    </row>
    <row r="45" spans="1:7" x14ac:dyDescent="0.3">
      <c r="A45">
        <v>17864</v>
      </c>
      <c r="B45" t="s">
        <v>190</v>
      </c>
      <c r="C45">
        <f t="shared" si="1"/>
        <v>865612.81</v>
      </c>
      <c r="E45">
        <v>865612.81</v>
      </c>
    </row>
    <row r="46" spans="1:7" x14ac:dyDescent="0.3">
      <c r="A46">
        <v>815</v>
      </c>
      <c r="B46" t="s">
        <v>40</v>
      </c>
      <c r="C46">
        <f t="shared" si="1"/>
        <v>112236.22</v>
      </c>
      <c r="E46">
        <v>112236.22</v>
      </c>
    </row>
    <row r="47" spans="1:7" x14ac:dyDescent="0.3">
      <c r="A47">
        <v>25339</v>
      </c>
      <c r="B47" t="s">
        <v>192</v>
      </c>
      <c r="C47">
        <f t="shared" si="1"/>
        <v>2863912.14</v>
      </c>
      <c r="E47">
        <v>2863912.14</v>
      </c>
    </row>
    <row r="48" spans="1:7" x14ac:dyDescent="0.3">
      <c r="A48">
        <v>810</v>
      </c>
      <c r="B48" t="s">
        <v>48</v>
      </c>
      <c r="C48">
        <f t="shared" si="1"/>
        <v>5075</v>
      </c>
      <c r="E48">
        <v>5075</v>
      </c>
    </row>
    <row r="49" spans="1:5" x14ac:dyDescent="0.3">
      <c r="A49">
        <v>16844</v>
      </c>
      <c r="B49" t="s">
        <v>43</v>
      </c>
      <c r="C49" s="25">
        <f t="shared" si="1"/>
        <v>40306.78</v>
      </c>
      <c r="E49">
        <v>40306.78</v>
      </c>
    </row>
    <row r="50" spans="1:5" x14ac:dyDescent="0.3">
      <c r="A50">
        <v>25337</v>
      </c>
      <c r="B50" t="s">
        <v>42</v>
      </c>
      <c r="C50" s="25">
        <f t="shared" si="1"/>
        <v>29183319.809999999</v>
      </c>
      <c r="E50">
        <v>29183319.809999999</v>
      </c>
    </row>
    <row r="51" spans="1:5" x14ac:dyDescent="0.3">
      <c r="A51">
        <v>30653</v>
      </c>
      <c r="B51" t="s">
        <v>191</v>
      </c>
      <c r="C51" s="25">
        <f t="shared" si="1"/>
        <v>1183834.8700000001</v>
      </c>
      <c r="E51">
        <v>1183834.8700000001</v>
      </c>
    </row>
    <row r="52" spans="1:5" x14ac:dyDescent="0.3">
      <c r="A52">
        <v>937</v>
      </c>
      <c r="B52" t="s">
        <v>58</v>
      </c>
      <c r="C52" s="25">
        <f t="shared" si="1"/>
        <v>4930</v>
      </c>
      <c r="E52">
        <v>4930</v>
      </c>
    </row>
    <row r="53" spans="1:5" x14ac:dyDescent="0.3">
      <c r="A53">
        <v>809</v>
      </c>
      <c r="B53" t="s">
        <v>46</v>
      </c>
      <c r="C53" s="25">
        <f t="shared" si="1"/>
        <v>-5020</v>
      </c>
      <c r="E53">
        <v>-5020</v>
      </c>
    </row>
    <row r="54" spans="1:5" x14ac:dyDescent="0.3">
      <c r="A54">
        <v>849</v>
      </c>
      <c r="B54" t="s">
        <v>201</v>
      </c>
      <c r="C54" s="25">
        <f t="shared" si="1"/>
        <v>709950.46</v>
      </c>
      <c r="E54">
        <v>709950.46</v>
      </c>
    </row>
    <row r="55" spans="1:5" x14ac:dyDescent="0.3">
      <c r="A55">
        <v>28769</v>
      </c>
      <c r="B55" t="s">
        <v>60</v>
      </c>
      <c r="C55" s="25">
        <f t="shared" si="1"/>
        <v>5775</v>
      </c>
      <c r="E55">
        <v>5775</v>
      </c>
    </row>
    <row r="56" spans="1:5" x14ac:dyDescent="0.3">
      <c r="A56">
        <v>970</v>
      </c>
      <c r="B56" t="s">
        <v>55</v>
      </c>
      <c r="C56" s="25">
        <f t="shared" si="1"/>
        <v>1208645.73</v>
      </c>
      <c r="E56">
        <v>1208645.73</v>
      </c>
    </row>
    <row r="57" spans="1:5" x14ac:dyDescent="0.3">
      <c r="A57">
        <v>801</v>
      </c>
      <c r="B57" t="s">
        <v>199</v>
      </c>
      <c r="C57" s="25">
        <f t="shared" si="1"/>
        <v>11358842.98</v>
      </c>
      <c r="E57">
        <v>11358842.98</v>
      </c>
    </row>
    <row r="58" spans="1:5" x14ac:dyDescent="0.3">
      <c r="A58">
        <v>23336</v>
      </c>
      <c r="B58" t="s">
        <v>100</v>
      </c>
      <c r="C58" s="25">
        <f t="shared" si="1"/>
        <v>33513.839999999997</v>
      </c>
      <c r="E58">
        <v>33513.839999999997</v>
      </c>
    </row>
    <row r="59" spans="1:5" x14ac:dyDescent="0.3">
      <c r="A59">
        <v>781</v>
      </c>
      <c r="B59" t="s">
        <v>62</v>
      </c>
      <c r="C59" s="25">
        <f t="shared" si="1"/>
        <v>35883.599999999999</v>
      </c>
      <c r="E59">
        <v>35883.599999999999</v>
      </c>
    </row>
    <row r="60" spans="1:5" x14ac:dyDescent="0.3">
      <c r="A60">
        <v>902</v>
      </c>
      <c r="B60" t="s">
        <v>45</v>
      </c>
      <c r="C60" s="25">
        <f t="shared" si="1"/>
        <v>1198</v>
      </c>
      <c r="E60">
        <v>1198</v>
      </c>
    </row>
    <row r="61" spans="1:5" x14ac:dyDescent="0.3">
      <c r="A61">
        <v>909</v>
      </c>
      <c r="B61" t="s">
        <v>16</v>
      </c>
      <c r="C61" s="25">
        <f t="shared" si="1"/>
        <v>87558</v>
      </c>
      <c r="E61">
        <v>87558</v>
      </c>
    </row>
    <row r="62" spans="1:5" x14ac:dyDescent="0.3">
      <c r="A62">
        <v>918</v>
      </c>
      <c r="B62" t="s">
        <v>13</v>
      </c>
      <c r="C62" s="25">
        <f t="shared" si="1"/>
        <v>18950</v>
      </c>
      <c r="E62">
        <v>18950</v>
      </c>
    </row>
    <row r="63" spans="1:5" x14ac:dyDescent="0.3">
      <c r="A63">
        <v>1086</v>
      </c>
      <c r="B63" t="s">
        <v>20</v>
      </c>
      <c r="C63" s="25">
        <f t="shared" si="1"/>
        <v>2520</v>
      </c>
      <c r="E63">
        <v>2520</v>
      </c>
    </row>
    <row r="64" spans="1:5" x14ac:dyDescent="0.3">
      <c r="A64">
        <v>907</v>
      </c>
      <c r="B64" t="s">
        <v>14</v>
      </c>
      <c r="C64" s="25">
        <f t="shared" si="1"/>
        <v>-2832213</v>
      </c>
      <c r="E64">
        <v>-2832213</v>
      </c>
    </row>
    <row r="65" spans="1:7" x14ac:dyDescent="0.3">
      <c r="A65">
        <v>27281</v>
      </c>
      <c r="B65" t="s">
        <v>180</v>
      </c>
      <c r="C65" s="25">
        <f t="shared" si="1"/>
        <v>146565.22</v>
      </c>
      <c r="E65">
        <v>146565.22</v>
      </c>
    </row>
    <row r="66" spans="1:7" x14ac:dyDescent="0.3">
      <c r="A66">
        <v>908</v>
      </c>
      <c r="B66" t="s">
        <v>15</v>
      </c>
      <c r="C66" s="25">
        <f t="shared" si="1"/>
        <v>82254</v>
      </c>
      <c r="E66">
        <v>82254</v>
      </c>
    </row>
    <row r="67" spans="1:7" x14ac:dyDescent="0.3">
      <c r="A67">
        <v>41940</v>
      </c>
      <c r="B67" t="s">
        <v>365</v>
      </c>
      <c r="C67" s="30">
        <f t="shared" si="1"/>
        <v>2317078</v>
      </c>
      <c r="E67">
        <v>2317078</v>
      </c>
    </row>
    <row r="68" spans="1:7" x14ac:dyDescent="0.3">
      <c r="A68">
        <v>21757</v>
      </c>
      <c r="B68" t="s">
        <v>375</v>
      </c>
      <c r="C68" s="30">
        <f t="shared" si="1"/>
        <v>4820</v>
      </c>
      <c r="E68">
        <v>4820</v>
      </c>
    </row>
    <row r="69" spans="1:7" x14ac:dyDescent="0.3">
      <c r="A69">
        <v>36614</v>
      </c>
      <c r="B69" t="s">
        <v>11</v>
      </c>
      <c r="C69" s="25">
        <f t="shared" si="1"/>
        <v>1679651.67</v>
      </c>
      <c r="E69">
        <v>1679651.67</v>
      </c>
    </row>
    <row r="70" spans="1:7" x14ac:dyDescent="0.3">
      <c r="A70">
        <v>20336</v>
      </c>
      <c r="B70" t="s">
        <v>12</v>
      </c>
      <c r="C70" s="25">
        <f t="shared" si="1"/>
        <v>3139356.74</v>
      </c>
      <c r="E70">
        <v>3139356.74</v>
      </c>
    </row>
    <row r="71" spans="1:7" x14ac:dyDescent="0.3">
      <c r="A71">
        <v>817</v>
      </c>
      <c r="B71" t="s">
        <v>21</v>
      </c>
      <c r="C71" s="25">
        <f t="shared" si="1"/>
        <v>1170</v>
      </c>
      <c r="E71">
        <v>1170</v>
      </c>
    </row>
    <row r="72" spans="1:7" x14ac:dyDescent="0.3">
      <c r="A72">
        <v>931</v>
      </c>
      <c r="B72" t="s">
        <v>196</v>
      </c>
      <c r="C72" s="25">
        <f t="shared" ref="C72:C136" si="2">+E72</f>
        <v>1145</v>
      </c>
      <c r="E72">
        <v>1145</v>
      </c>
      <c r="G72" s="93"/>
    </row>
    <row r="73" spans="1:7" x14ac:dyDescent="0.3">
      <c r="A73">
        <v>1076</v>
      </c>
      <c r="B73" t="s">
        <v>376</v>
      </c>
      <c r="C73" s="25">
        <f t="shared" si="2"/>
        <v>88549</v>
      </c>
      <c r="E73">
        <v>88549</v>
      </c>
    </row>
    <row r="74" spans="1:7" x14ac:dyDescent="0.3">
      <c r="A74">
        <v>933</v>
      </c>
      <c r="B74" t="s">
        <v>231</v>
      </c>
      <c r="C74" s="25">
        <f t="shared" si="2"/>
        <v>576</v>
      </c>
      <c r="E74">
        <v>576</v>
      </c>
    </row>
    <row r="75" spans="1:7" x14ac:dyDescent="0.3">
      <c r="A75">
        <v>962</v>
      </c>
      <c r="B75" t="s">
        <v>61</v>
      </c>
      <c r="C75" s="25">
        <f t="shared" si="2"/>
        <v>1890847</v>
      </c>
      <c r="E75">
        <v>1890847</v>
      </c>
    </row>
    <row r="76" spans="1:7" x14ac:dyDescent="0.3">
      <c r="A76">
        <v>961</v>
      </c>
      <c r="B76" t="s">
        <v>91</v>
      </c>
      <c r="C76" s="25">
        <f t="shared" si="2"/>
        <v>2047322.48</v>
      </c>
      <c r="E76">
        <v>2047322.48</v>
      </c>
    </row>
    <row r="77" spans="1:7" x14ac:dyDescent="0.3">
      <c r="A77">
        <v>964</v>
      </c>
      <c r="B77" t="s">
        <v>63</v>
      </c>
      <c r="C77" s="25">
        <f t="shared" si="2"/>
        <v>21500</v>
      </c>
      <c r="E77">
        <v>21500</v>
      </c>
    </row>
    <row r="78" spans="1:7" x14ac:dyDescent="0.3">
      <c r="A78">
        <v>894</v>
      </c>
      <c r="B78" t="s">
        <v>70</v>
      </c>
      <c r="C78" s="25">
        <f t="shared" si="2"/>
        <v>78756</v>
      </c>
      <c r="E78">
        <v>78756</v>
      </c>
    </row>
    <row r="79" spans="1:7" x14ac:dyDescent="0.3">
      <c r="A79">
        <v>969</v>
      </c>
      <c r="B79" t="s">
        <v>64</v>
      </c>
      <c r="C79" s="25">
        <f t="shared" si="2"/>
        <v>1824.78</v>
      </c>
      <c r="E79">
        <v>1824.78</v>
      </c>
    </row>
    <row r="80" spans="1:7" x14ac:dyDescent="0.3">
      <c r="A80">
        <v>963</v>
      </c>
      <c r="B80" t="s">
        <v>92</v>
      </c>
      <c r="C80" s="25">
        <f t="shared" si="2"/>
        <v>10674.2</v>
      </c>
      <c r="E80">
        <v>10674.2</v>
      </c>
    </row>
    <row r="81" spans="1:5" x14ac:dyDescent="0.3">
      <c r="A81">
        <v>29063</v>
      </c>
      <c r="B81" t="s">
        <v>206</v>
      </c>
      <c r="C81" s="25">
        <f t="shared" si="2"/>
        <v>137299.04</v>
      </c>
      <c r="E81">
        <v>137299.04</v>
      </c>
    </row>
    <row r="82" spans="1:5" x14ac:dyDescent="0.3">
      <c r="A82">
        <v>915</v>
      </c>
      <c r="B82" t="s">
        <v>65</v>
      </c>
      <c r="C82" s="25">
        <f t="shared" si="2"/>
        <v>2500</v>
      </c>
      <c r="E82">
        <v>2500</v>
      </c>
    </row>
    <row r="83" spans="1:5" x14ac:dyDescent="0.3">
      <c r="A83">
        <v>821</v>
      </c>
      <c r="B83" t="s">
        <v>113</v>
      </c>
      <c r="C83" s="25">
        <f t="shared" si="2"/>
        <v>1098234</v>
      </c>
      <c r="E83">
        <v>1098234</v>
      </c>
    </row>
    <row r="84" spans="1:5" x14ac:dyDescent="0.3">
      <c r="A84">
        <v>904</v>
      </c>
      <c r="B84" t="s">
        <v>67</v>
      </c>
      <c r="C84" s="25">
        <f t="shared" si="2"/>
        <v>338236</v>
      </c>
      <c r="E84">
        <v>338236</v>
      </c>
    </row>
    <row r="85" spans="1:5" x14ac:dyDescent="0.3">
      <c r="A85">
        <v>932</v>
      </c>
      <c r="B85" t="s">
        <v>54</v>
      </c>
      <c r="C85" s="25">
        <f t="shared" si="2"/>
        <v>373268.26</v>
      </c>
      <c r="E85">
        <v>373268.26</v>
      </c>
    </row>
    <row r="86" spans="1:5" x14ac:dyDescent="0.3">
      <c r="A86">
        <v>20113</v>
      </c>
      <c r="B86" t="s">
        <v>223</v>
      </c>
      <c r="C86" s="25">
        <f t="shared" si="2"/>
        <v>290349</v>
      </c>
      <c r="E86">
        <v>290349</v>
      </c>
    </row>
    <row r="87" spans="1:5" x14ac:dyDescent="0.3">
      <c r="A87">
        <v>854</v>
      </c>
      <c r="B87" t="s">
        <v>205</v>
      </c>
      <c r="C87" s="25">
        <f t="shared" si="2"/>
        <v>912109</v>
      </c>
      <c r="E87">
        <v>912109</v>
      </c>
    </row>
    <row r="88" spans="1:5" x14ac:dyDescent="0.3">
      <c r="A88">
        <v>984</v>
      </c>
      <c r="B88" t="s">
        <v>234</v>
      </c>
      <c r="C88" s="25">
        <f t="shared" si="2"/>
        <v>581631</v>
      </c>
      <c r="E88">
        <v>581631</v>
      </c>
    </row>
    <row r="89" spans="1:5" x14ac:dyDescent="0.3">
      <c r="A89">
        <v>983</v>
      </c>
      <c r="B89" t="s">
        <v>95</v>
      </c>
      <c r="C89" s="25">
        <f t="shared" si="2"/>
        <v>2152430.09</v>
      </c>
      <c r="E89">
        <v>2152430.09</v>
      </c>
    </row>
    <row r="90" spans="1:5" x14ac:dyDescent="0.3">
      <c r="A90">
        <v>35339</v>
      </c>
      <c r="B90" t="s">
        <v>224</v>
      </c>
      <c r="C90" s="25">
        <f t="shared" si="2"/>
        <v>4520</v>
      </c>
      <c r="E90">
        <v>4520</v>
      </c>
    </row>
    <row r="91" spans="1:5" x14ac:dyDescent="0.3">
      <c r="A91">
        <v>1074</v>
      </c>
      <c r="B91" t="s">
        <v>202</v>
      </c>
      <c r="C91" s="25">
        <f t="shared" si="2"/>
        <v>460433</v>
      </c>
      <c r="E91">
        <v>460433</v>
      </c>
    </row>
    <row r="92" spans="1:5" x14ac:dyDescent="0.3">
      <c r="A92">
        <v>951</v>
      </c>
      <c r="B92" t="s">
        <v>311</v>
      </c>
      <c r="C92" s="25">
        <f t="shared" si="2"/>
        <v>132000</v>
      </c>
      <c r="E92">
        <v>132000</v>
      </c>
    </row>
    <row r="93" spans="1:5" x14ac:dyDescent="0.3">
      <c r="A93">
        <v>926</v>
      </c>
      <c r="B93" t="s">
        <v>207</v>
      </c>
      <c r="C93" s="25">
        <f t="shared" si="2"/>
        <v>1754270.42</v>
      </c>
      <c r="E93">
        <v>1754270.42</v>
      </c>
    </row>
    <row r="94" spans="1:5" x14ac:dyDescent="0.3">
      <c r="A94">
        <v>934</v>
      </c>
      <c r="B94" t="s">
        <v>103</v>
      </c>
      <c r="C94" s="25">
        <f t="shared" si="2"/>
        <v>-49680.88</v>
      </c>
      <c r="E94">
        <v>-49680.88</v>
      </c>
    </row>
    <row r="95" spans="1:5" x14ac:dyDescent="0.3">
      <c r="A95">
        <v>685</v>
      </c>
      <c r="B95" t="s">
        <v>97</v>
      </c>
      <c r="C95" s="25">
        <f t="shared" si="2"/>
        <v>66270.399999999994</v>
      </c>
      <c r="E95">
        <v>66270.399999999994</v>
      </c>
    </row>
    <row r="96" spans="1:5" x14ac:dyDescent="0.3">
      <c r="A96">
        <v>920</v>
      </c>
      <c r="B96" t="s">
        <v>153</v>
      </c>
      <c r="C96" s="25">
        <f t="shared" si="2"/>
        <v>221331.08</v>
      </c>
      <c r="E96">
        <v>221331.08</v>
      </c>
    </row>
    <row r="97" spans="1:7" x14ac:dyDescent="0.3">
      <c r="A97">
        <v>936</v>
      </c>
      <c r="B97" t="s">
        <v>225</v>
      </c>
      <c r="C97" s="25">
        <f t="shared" si="2"/>
        <v>34038.1</v>
      </c>
      <c r="E97">
        <v>34038.1</v>
      </c>
    </row>
    <row r="98" spans="1:7" x14ac:dyDescent="0.3">
      <c r="A98">
        <v>812</v>
      </c>
      <c r="B98" t="s">
        <v>90</v>
      </c>
      <c r="C98" s="25">
        <f t="shared" si="2"/>
        <v>877681.36</v>
      </c>
      <c r="E98">
        <v>877681.36</v>
      </c>
    </row>
    <row r="99" spans="1:7" x14ac:dyDescent="0.3">
      <c r="A99">
        <v>1110</v>
      </c>
      <c r="B99" t="s">
        <v>102</v>
      </c>
      <c r="C99" s="25">
        <f t="shared" si="2"/>
        <v>121336</v>
      </c>
      <c r="E99">
        <v>121336</v>
      </c>
    </row>
    <row r="100" spans="1:7" x14ac:dyDescent="0.3">
      <c r="A100">
        <v>930</v>
      </c>
      <c r="B100" t="s">
        <v>96</v>
      </c>
      <c r="C100" s="25">
        <f t="shared" si="2"/>
        <v>5550</v>
      </c>
      <c r="E100">
        <v>5550</v>
      </c>
    </row>
    <row r="101" spans="1:7" x14ac:dyDescent="0.3">
      <c r="A101">
        <v>1021</v>
      </c>
      <c r="B101" t="s">
        <v>57</v>
      </c>
      <c r="C101" s="25">
        <f t="shared" si="2"/>
        <v>9.99</v>
      </c>
      <c r="E101">
        <v>9.99</v>
      </c>
    </row>
    <row r="102" spans="1:7" x14ac:dyDescent="0.3">
      <c r="A102">
        <v>935</v>
      </c>
      <c r="B102" t="s">
        <v>228</v>
      </c>
      <c r="C102" s="25">
        <f t="shared" si="2"/>
        <v>12822</v>
      </c>
      <c r="E102">
        <v>12822</v>
      </c>
    </row>
    <row r="103" spans="1:7" x14ac:dyDescent="0.3">
      <c r="A103">
        <v>882</v>
      </c>
      <c r="B103" t="s">
        <v>216</v>
      </c>
      <c r="C103" s="25">
        <f t="shared" si="2"/>
        <v>475202</v>
      </c>
      <c r="E103">
        <v>475202</v>
      </c>
    </row>
    <row r="104" spans="1:7" x14ac:dyDescent="0.3">
      <c r="A104">
        <v>862</v>
      </c>
      <c r="B104" t="s">
        <v>79</v>
      </c>
      <c r="C104" s="25">
        <f t="shared" si="2"/>
        <v>13040</v>
      </c>
      <c r="E104">
        <v>13040</v>
      </c>
      <c r="G104">
        <f>+SUM(C9:C22)-SUM(C24:C136)-'Profit Loss-Amravati-25-26'!K190</f>
        <v>-116225363.87000006</v>
      </c>
    </row>
    <row r="105" spans="1:7" x14ac:dyDescent="0.3">
      <c r="A105">
        <v>948</v>
      </c>
      <c r="B105" t="s">
        <v>72</v>
      </c>
      <c r="C105" s="25">
        <f t="shared" si="2"/>
        <v>4969483</v>
      </c>
      <c r="E105">
        <v>4969483</v>
      </c>
    </row>
    <row r="106" spans="1:7" x14ac:dyDescent="0.3">
      <c r="A106">
        <v>855</v>
      </c>
      <c r="B106" t="s">
        <v>73</v>
      </c>
      <c r="C106" s="25">
        <f t="shared" si="2"/>
        <v>1898042</v>
      </c>
      <c r="E106">
        <v>1898042</v>
      </c>
    </row>
    <row r="107" spans="1:7" x14ac:dyDescent="0.3">
      <c r="A107">
        <v>853</v>
      </c>
      <c r="B107" t="s">
        <v>74</v>
      </c>
      <c r="C107" s="25">
        <f t="shared" si="2"/>
        <v>6272506</v>
      </c>
      <c r="E107">
        <v>6272506</v>
      </c>
    </row>
    <row r="108" spans="1:7" x14ac:dyDescent="0.3">
      <c r="A108">
        <v>848</v>
      </c>
      <c r="B108" t="s">
        <v>235</v>
      </c>
      <c r="C108" s="25">
        <f t="shared" si="2"/>
        <v>57725</v>
      </c>
      <c r="E108">
        <v>57725</v>
      </c>
    </row>
    <row r="109" spans="1:7" x14ac:dyDescent="0.3">
      <c r="A109">
        <v>856</v>
      </c>
      <c r="B109" t="s">
        <v>80</v>
      </c>
      <c r="C109" s="25">
        <f t="shared" si="2"/>
        <v>68168</v>
      </c>
      <c r="E109">
        <v>68168</v>
      </c>
    </row>
    <row r="110" spans="1:7" x14ac:dyDescent="0.3">
      <c r="A110">
        <v>857</v>
      </c>
      <c r="B110" t="s">
        <v>76</v>
      </c>
      <c r="C110" s="25">
        <f t="shared" si="2"/>
        <v>24290</v>
      </c>
      <c r="E110">
        <v>24290</v>
      </c>
    </row>
    <row r="111" spans="1:7" x14ac:dyDescent="0.3">
      <c r="A111">
        <v>975</v>
      </c>
      <c r="B111" t="s">
        <v>77</v>
      </c>
      <c r="C111" s="25">
        <f t="shared" si="2"/>
        <v>30168</v>
      </c>
      <c r="E111">
        <v>30168</v>
      </c>
    </row>
    <row r="112" spans="1:7" x14ac:dyDescent="0.3">
      <c r="A112">
        <v>10208</v>
      </c>
      <c r="B112" t="s">
        <v>78</v>
      </c>
      <c r="C112" s="25">
        <f t="shared" si="2"/>
        <v>551713</v>
      </c>
      <c r="E112">
        <v>551713</v>
      </c>
    </row>
    <row r="113" spans="1:5" x14ac:dyDescent="0.3">
      <c r="A113">
        <v>863</v>
      </c>
      <c r="B113" t="s">
        <v>218</v>
      </c>
      <c r="C113" s="25">
        <f t="shared" si="2"/>
        <v>-1371</v>
      </c>
      <c r="E113">
        <v>-1371</v>
      </c>
    </row>
    <row r="114" spans="1:5" x14ac:dyDescent="0.3">
      <c r="A114">
        <v>31408</v>
      </c>
      <c r="B114" t="s">
        <v>227</v>
      </c>
      <c r="C114" s="25">
        <f t="shared" si="2"/>
        <v>-2590</v>
      </c>
      <c r="E114">
        <v>-2590</v>
      </c>
    </row>
    <row r="115" spans="1:5" x14ac:dyDescent="0.3">
      <c r="A115">
        <v>718</v>
      </c>
      <c r="B115" t="s">
        <v>217</v>
      </c>
      <c r="C115" s="25">
        <f t="shared" si="2"/>
        <v>789465</v>
      </c>
      <c r="E115">
        <v>789465</v>
      </c>
    </row>
    <row r="116" spans="1:5" x14ac:dyDescent="0.3">
      <c r="A116">
        <v>851</v>
      </c>
      <c r="B116" t="s">
        <v>81</v>
      </c>
      <c r="C116" s="25">
        <f t="shared" si="2"/>
        <v>53031408</v>
      </c>
      <c r="E116">
        <v>53031408</v>
      </c>
    </row>
    <row r="117" spans="1:5" x14ac:dyDescent="0.3">
      <c r="A117">
        <v>852</v>
      </c>
      <c r="B117" t="s">
        <v>215</v>
      </c>
      <c r="C117" s="25">
        <f t="shared" si="2"/>
        <v>312704</v>
      </c>
      <c r="E117">
        <v>312704</v>
      </c>
    </row>
    <row r="118" spans="1:5" x14ac:dyDescent="0.3">
      <c r="A118">
        <v>881</v>
      </c>
      <c r="B118" t="s">
        <v>210</v>
      </c>
      <c r="C118" s="25">
        <f t="shared" si="2"/>
        <v>1272</v>
      </c>
      <c r="E118">
        <v>1272</v>
      </c>
    </row>
    <row r="119" spans="1:5" x14ac:dyDescent="0.3">
      <c r="A119">
        <v>689</v>
      </c>
      <c r="B119" t="s">
        <v>75</v>
      </c>
      <c r="C119" s="25">
        <f t="shared" si="2"/>
        <v>1218902</v>
      </c>
      <c r="E119">
        <v>1218902</v>
      </c>
    </row>
    <row r="120" spans="1:5" x14ac:dyDescent="0.3">
      <c r="A120">
        <v>1325</v>
      </c>
      <c r="B120" t="s">
        <v>98</v>
      </c>
      <c r="C120" s="25">
        <f t="shared" si="2"/>
        <v>20349312</v>
      </c>
      <c r="E120">
        <v>20349312</v>
      </c>
    </row>
    <row r="121" spans="1:5" x14ac:dyDescent="0.3">
      <c r="A121">
        <v>11722</v>
      </c>
      <c r="B121" t="s">
        <v>211</v>
      </c>
      <c r="C121" s="25">
        <f t="shared" si="2"/>
        <v>1289</v>
      </c>
      <c r="E121">
        <v>1289</v>
      </c>
    </row>
    <row r="122" spans="1:5" x14ac:dyDescent="0.3">
      <c r="A122">
        <v>39011</v>
      </c>
      <c r="B122" t="s">
        <v>83</v>
      </c>
      <c r="C122" s="25">
        <f t="shared" si="2"/>
        <v>1139854</v>
      </c>
      <c r="E122">
        <v>1139854</v>
      </c>
    </row>
    <row r="123" spans="1:5" x14ac:dyDescent="0.3">
      <c r="A123">
        <v>38580</v>
      </c>
      <c r="B123" t="s">
        <v>82</v>
      </c>
      <c r="C123" s="25">
        <f t="shared" si="2"/>
        <v>4375276</v>
      </c>
      <c r="E123">
        <v>4375276</v>
      </c>
    </row>
    <row r="124" spans="1:5" x14ac:dyDescent="0.3">
      <c r="A124">
        <v>39010</v>
      </c>
      <c r="B124" t="s">
        <v>85</v>
      </c>
      <c r="C124" s="25">
        <f t="shared" si="2"/>
        <v>-60783</v>
      </c>
      <c r="E124">
        <v>-60783</v>
      </c>
    </row>
    <row r="125" spans="1:5" x14ac:dyDescent="0.3">
      <c r="A125">
        <v>38579</v>
      </c>
      <c r="B125" t="s">
        <v>86</v>
      </c>
      <c r="C125" s="25">
        <f t="shared" si="2"/>
        <v>-922612</v>
      </c>
      <c r="E125">
        <v>-922612</v>
      </c>
    </row>
    <row r="126" spans="1:5" x14ac:dyDescent="0.3">
      <c r="A126">
        <v>872</v>
      </c>
      <c r="B126" t="s">
        <v>87</v>
      </c>
      <c r="C126" s="25">
        <f t="shared" si="2"/>
        <v>69675</v>
      </c>
      <c r="E126">
        <v>69675</v>
      </c>
    </row>
    <row r="127" spans="1:5" x14ac:dyDescent="0.3">
      <c r="A127">
        <v>868</v>
      </c>
      <c r="B127" t="s">
        <v>88</v>
      </c>
      <c r="C127" s="25">
        <f t="shared" si="2"/>
        <v>351963</v>
      </c>
      <c r="E127">
        <v>351963</v>
      </c>
    </row>
    <row r="128" spans="1:5" x14ac:dyDescent="0.3">
      <c r="A128">
        <v>1107</v>
      </c>
      <c r="B128" t="s">
        <v>105</v>
      </c>
      <c r="C128" s="25">
        <f t="shared" si="2"/>
        <v>145272</v>
      </c>
      <c r="E128">
        <v>145272</v>
      </c>
    </row>
    <row r="129" spans="1:5" x14ac:dyDescent="0.3">
      <c r="A129">
        <v>859</v>
      </c>
      <c r="B129" t="s">
        <v>220</v>
      </c>
      <c r="C129" s="25">
        <f t="shared" si="2"/>
        <v>65377</v>
      </c>
      <c r="E129">
        <v>65377</v>
      </c>
    </row>
    <row r="130" spans="1:5" x14ac:dyDescent="0.3">
      <c r="A130">
        <v>858</v>
      </c>
      <c r="B130" t="s">
        <v>89</v>
      </c>
      <c r="C130" s="25">
        <f t="shared" si="2"/>
        <v>612511.36</v>
      </c>
      <c r="E130">
        <v>612511.36</v>
      </c>
    </row>
    <row r="131" spans="1:5" x14ac:dyDescent="0.3">
      <c r="A131">
        <v>870</v>
      </c>
      <c r="B131" t="s">
        <v>221</v>
      </c>
      <c r="C131" s="25">
        <f t="shared" si="2"/>
        <v>279416.12</v>
      </c>
      <c r="E131">
        <v>279416.12</v>
      </c>
    </row>
    <row r="132" spans="1:5" x14ac:dyDescent="0.3">
      <c r="A132">
        <v>981</v>
      </c>
      <c r="B132" t="s">
        <v>109</v>
      </c>
      <c r="C132" s="25">
        <f t="shared" si="2"/>
        <v>236988.89</v>
      </c>
      <c r="E132">
        <v>236988.89</v>
      </c>
    </row>
    <row r="133" spans="1:5" x14ac:dyDescent="0.3">
      <c r="A133">
        <v>974</v>
      </c>
      <c r="B133" t="s">
        <v>94</v>
      </c>
      <c r="C133" s="25">
        <f t="shared" si="2"/>
        <v>699</v>
      </c>
      <c r="E133">
        <v>699</v>
      </c>
    </row>
    <row r="134" spans="1:5" x14ac:dyDescent="0.3">
      <c r="A134">
        <v>1214</v>
      </c>
      <c r="B134" t="s">
        <v>106</v>
      </c>
      <c r="C134" s="25">
        <f t="shared" si="2"/>
        <v>8000</v>
      </c>
      <c r="E134">
        <v>8000</v>
      </c>
    </row>
    <row r="135" spans="1:5" x14ac:dyDescent="0.3">
      <c r="A135">
        <v>25273</v>
      </c>
      <c r="B135" t="s">
        <v>112</v>
      </c>
      <c r="C135" s="25">
        <f t="shared" si="2"/>
        <v>1195018.75</v>
      </c>
      <c r="E135">
        <v>1195018.75</v>
      </c>
    </row>
    <row r="136" spans="1:5" x14ac:dyDescent="0.3">
      <c r="A136">
        <v>986</v>
      </c>
      <c r="B136" t="s">
        <v>114</v>
      </c>
      <c r="C136" s="25">
        <f t="shared" si="2"/>
        <v>1577</v>
      </c>
      <c r="E136">
        <v>1577</v>
      </c>
    </row>
    <row r="137" spans="1:5" x14ac:dyDescent="0.3">
      <c r="C137">
        <f>SUM(C24:C136)</f>
        <v>629493367.93000007</v>
      </c>
    </row>
    <row r="138" spans="1:5" x14ac:dyDescent="0.3">
      <c r="A138" t="s">
        <v>325</v>
      </c>
      <c r="B138" t="s">
        <v>326</v>
      </c>
      <c r="C138">
        <f>+C23-C137</f>
        <v>-217359677.7100001</v>
      </c>
    </row>
    <row r="139" spans="1:5" x14ac:dyDescent="0.3">
      <c r="A139" t="s">
        <v>327</v>
      </c>
      <c r="B139" t="s">
        <v>377</v>
      </c>
      <c r="C139">
        <v>75.709999999999994</v>
      </c>
    </row>
    <row r="140" spans="1:5" x14ac:dyDescent="0.3">
      <c r="A140" t="s">
        <v>156</v>
      </c>
      <c r="B140" t="s">
        <v>378</v>
      </c>
      <c r="D140" t="s">
        <v>379</v>
      </c>
      <c r="E140" t="s">
        <v>380</v>
      </c>
    </row>
    <row r="141" spans="1:5" x14ac:dyDescent="0.3">
      <c r="A141" t="s">
        <v>157</v>
      </c>
    </row>
  </sheetData>
  <autoFilter ref="A7:C141" xr:uid="{2D1607E7-7A2F-4C39-9AAB-DE2ECD2F6F7F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3544-49E3-4AFD-B2B5-4CC4C58AE65C}">
  <dimension ref="A1:G139"/>
  <sheetViews>
    <sheetView topLeftCell="A49" workbookViewId="0">
      <selection activeCell="B57" sqref="B57"/>
    </sheetView>
  </sheetViews>
  <sheetFormatPr defaultRowHeight="14.4" x14ac:dyDescent="0.3"/>
  <cols>
    <col min="1" max="1" width="11.33203125" customWidth="1"/>
    <col min="2" max="2" width="38.109375" customWidth="1"/>
    <col min="3" max="8" width="25.554687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240</v>
      </c>
      <c r="D2" t="s">
        <v>143</v>
      </c>
    </row>
    <row r="3" spans="1:5" x14ac:dyDescent="0.3">
      <c r="A3" t="s">
        <v>141</v>
      </c>
      <c r="B3" t="s">
        <v>244</v>
      </c>
      <c r="C3" t="s">
        <v>364</v>
      </c>
      <c r="D3" t="s">
        <v>143</v>
      </c>
    </row>
    <row r="4" spans="1:5" x14ac:dyDescent="0.3">
      <c r="A4" t="s">
        <v>272</v>
      </c>
      <c r="B4" t="s">
        <v>273</v>
      </c>
      <c r="C4" t="s">
        <v>241</v>
      </c>
      <c r="D4" t="s">
        <v>145</v>
      </c>
    </row>
    <row r="5" spans="1:5" x14ac:dyDescent="0.3">
      <c r="A5" t="s">
        <v>274</v>
      </c>
      <c r="B5" t="s">
        <v>275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272</v>
      </c>
      <c r="B7" t="s">
        <v>273</v>
      </c>
      <c r="C7" t="s">
        <v>241</v>
      </c>
      <c r="D7" t="s">
        <v>145</v>
      </c>
    </row>
    <row r="8" spans="1:5" x14ac:dyDescent="0.3">
      <c r="A8" t="s">
        <v>3</v>
      </c>
      <c r="C8" s="91">
        <f>+'Profit Loss-Amravati-25-26'!I190+SUM(C25:C132)-SUM(C10:C23)</f>
        <v>116151299.75066662</v>
      </c>
    </row>
    <row r="9" spans="1:5" x14ac:dyDescent="0.3">
      <c r="A9" t="s">
        <v>4</v>
      </c>
    </row>
    <row r="10" spans="1:5" x14ac:dyDescent="0.3">
      <c r="A10">
        <v>21686</v>
      </c>
      <c r="B10" t="s">
        <v>176</v>
      </c>
      <c r="C10">
        <f t="shared" ref="C10:C23" si="0">+E10</f>
        <v>38932993</v>
      </c>
      <c r="E10">
        <v>38932993</v>
      </c>
    </row>
    <row r="11" spans="1:5" x14ac:dyDescent="0.3">
      <c r="A11">
        <v>701</v>
      </c>
      <c r="B11" t="s">
        <v>178</v>
      </c>
      <c r="C11">
        <f t="shared" si="0"/>
        <v>205290</v>
      </c>
      <c r="E11">
        <v>205290</v>
      </c>
    </row>
    <row r="12" spans="1:5" x14ac:dyDescent="0.3">
      <c r="A12">
        <v>16905</v>
      </c>
      <c r="B12" t="s">
        <v>177</v>
      </c>
      <c r="C12">
        <f t="shared" si="0"/>
        <v>276763705.29000002</v>
      </c>
      <c r="E12">
        <v>276763705.29000002</v>
      </c>
    </row>
    <row r="13" spans="1:5" x14ac:dyDescent="0.3">
      <c r="A13">
        <v>26282</v>
      </c>
      <c r="B13" t="s">
        <v>247</v>
      </c>
      <c r="C13">
        <f t="shared" si="0"/>
        <v>21860</v>
      </c>
      <c r="E13">
        <v>21860</v>
      </c>
    </row>
    <row r="14" spans="1:5" x14ac:dyDescent="0.3">
      <c r="A14">
        <v>35115</v>
      </c>
      <c r="B14" t="s">
        <v>179</v>
      </c>
      <c r="C14">
        <f t="shared" si="0"/>
        <v>4930093</v>
      </c>
      <c r="E14">
        <v>4930093</v>
      </c>
    </row>
    <row r="15" spans="1:5" x14ac:dyDescent="0.3">
      <c r="A15">
        <v>35116</v>
      </c>
      <c r="B15" t="s">
        <v>345</v>
      </c>
      <c r="C15">
        <f t="shared" si="0"/>
        <v>2001211</v>
      </c>
      <c r="E15">
        <v>2001211</v>
      </c>
    </row>
    <row r="16" spans="1:5" x14ac:dyDescent="0.3">
      <c r="A16">
        <v>1015</v>
      </c>
      <c r="B16" t="s">
        <v>120</v>
      </c>
      <c r="C16">
        <f t="shared" si="0"/>
        <v>423262.5</v>
      </c>
      <c r="E16">
        <v>423262.5</v>
      </c>
    </row>
    <row r="17" spans="1:5" x14ac:dyDescent="0.3">
      <c r="A17">
        <v>1002</v>
      </c>
      <c r="B17" t="s">
        <v>28</v>
      </c>
      <c r="C17">
        <f t="shared" si="0"/>
        <v>316074</v>
      </c>
      <c r="E17">
        <v>316074</v>
      </c>
    </row>
    <row r="18" spans="1:5" x14ac:dyDescent="0.3">
      <c r="A18">
        <v>1201</v>
      </c>
      <c r="B18" t="s">
        <v>30</v>
      </c>
      <c r="C18">
        <f t="shared" si="0"/>
        <v>834181</v>
      </c>
      <c r="E18">
        <v>834181</v>
      </c>
    </row>
    <row r="19" spans="1:5" x14ac:dyDescent="0.3">
      <c r="A19">
        <v>1227</v>
      </c>
      <c r="B19" t="s">
        <v>182</v>
      </c>
      <c r="C19">
        <f t="shared" si="0"/>
        <v>2839665</v>
      </c>
      <c r="E19">
        <v>2839665</v>
      </c>
    </row>
    <row r="20" spans="1:5" x14ac:dyDescent="0.3">
      <c r="A20">
        <v>703</v>
      </c>
      <c r="B20" t="s">
        <v>181</v>
      </c>
      <c r="C20">
        <f t="shared" si="0"/>
        <v>510434</v>
      </c>
      <c r="E20">
        <v>510434</v>
      </c>
    </row>
    <row r="21" spans="1:5" x14ac:dyDescent="0.3">
      <c r="A21">
        <v>1011</v>
      </c>
      <c r="B21" t="s">
        <v>119</v>
      </c>
      <c r="C21">
        <f t="shared" si="0"/>
        <v>640</v>
      </c>
      <c r="E21">
        <v>640</v>
      </c>
    </row>
    <row r="22" spans="1:5" x14ac:dyDescent="0.3">
      <c r="A22">
        <v>1022</v>
      </c>
      <c r="B22" t="s">
        <v>276</v>
      </c>
      <c r="C22">
        <f t="shared" si="0"/>
        <v>1</v>
      </c>
      <c r="E22">
        <v>1</v>
      </c>
    </row>
    <row r="23" spans="1:5" x14ac:dyDescent="0.3">
      <c r="A23">
        <v>1016</v>
      </c>
      <c r="B23" t="s">
        <v>124</v>
      </c>
      <c r="C23">
        <f t="shared" si="0"/>
        <v>1280</v>
      </c>
      <c r="E23">
        <v>1280</v>
      </c>
    </row>
    <row r="24" spans="1:5" x14ac:dyDescent="0.3">
      <c r="A24" t="s">
        <v>277</v>
      </c>
      <c r="B24" t="s">
        <v>3</v>
      </c>
      <c r="D24">
        <v>327780689.79000002</v>
      </c>
      <c r="E24">
        <f>SUM(E10:E23)</f>
        <v>327780689.79000002</v>
      </c>
    </row>
    <row r="25" spans="1:5" x14ac:dyDescent="0.3">
      <c r="A25">
        <v>1054</v>
      </c>
      <c r="B25" t="s">
        <v>305</v>
      </c>
      <c r="C25">
        <f>+E25</f>
        <v>3508237.17</v>
      </c>
      <c r="E25">
        <v>3508237.17</v>
      </c>
    </row>
    <row r="26" spans="1:5" x14ac:dyDescent="0.3">
      <c r="A26">
        <v>1508</v>
      </c>
      <c r="B26" t="s">
        <v>306</v>
      </c>
      <c r="C26">
        <f t="shared" ref="C26:C30" si="1">+E26</f>
        <v>9983215.9800000004</v>
      </c>
      <c r="E26">
        <v>9983215.9800000004</v>
      </c>
    </row>
    <row r="27" spans="1:5" x14ac:dyDescent="0.3">
      <c r="A27">
        <v>726</v>
      </c>
      <c r="B27" t="s">
        <v>307</v>
      </c>
      <c r="C27">
        <f t="shared" si="1"/>
        <v>57001475.630000003</v>
      </c>
      <c r="E27">
        <v>57001475.630000003</v>
      </c>
    </row>
    <row r="28" spans="1:5" x14ac:dyDescent="0.3">
      <c r="A28">
        <v>31383</v>
      </c>
      <c r="B28" t="s">
        <v>308</v>
      </c>
      <c r="C28">
        <f t="shared" si="1"/>
        <v>81361572.290000007</v>
      </c>
      <c r="E28">
        <v>81361572.290000007</v>
      </c>
    </row>
    <row r="29" spans="1:5" x14ac:dyDescent="0.3">
      <c r="A29">
        <v>35552</v>
      </c>
      <c r="B29" t="s">
        <v>309</v>
      </c>
      <c r="C29">
        <f t="shared" si="1"/>
        <v>10045740.779999999</v>
      </c>
      <c r="E29">
        <v>10045740.779999999</v>
      </c>
    </row>
    <row r="30" spans="1:5" x14ac:dyDescent="0.3">
      <c r="A30">
        <v>36461</v>
      </c>
      <c r="B30" t="s">
        <v>310</v>
      </c>
      <c r="C30">
        <f t="shared" si="1"/>
        <v>155547</v>
      </c>
      <c r="E30">
        <v>155547</v>
      </c>
    </row>
    <row r="31" spans="1:5" x14ac:dyDescent="0.3">
      <c r="A31">
        <v>18670</v>
      </c>
      <c r="B31" s="30" t="s">
        <v>195</v>
      </c>
      <c r="C31" s="30">
        <f t="shared" ref="C31:C62" si="2">+E31</f>
        <v>12193532</v>
      </c>
      <c r="E31">
        <v>12193532</v>
      </c>
    </row>
    <row r="32" spans="1:5" x14ac:dyDescent="0.3">
      <c r="A32">
        <v>772</v>
      </c>
      <c r="B32" t="s">
        <v>198</v>
      </c>
      <c r="C32" s="30">
        <f t="shared" si="2"/>
        <v>432611.98</v>
      </c>
      <c r="E32">
        <v>432611.98</v>
      </c>
    </row>
    <row r="33" spans="1:5" x14ac:dyDescent="0.3">
      <c r="A33">
        <v>820</v>
      </c>
      <c r="B33" t="s">
        <v>69</v>
      </c>
      <c r="C33" s="30">
        <f t="shared" si="2"/>
        <v>139690</v>
      </c>
      <c r="E33">
        <v>139690</v>
      </c>
    </row>
    <row r="34" spans="1:5" x14ac:dyDescent="0.3">
      <c r="A34">
        <v>917</v>
      </c>
      <c r="B34" t="s">
        <v>44</v>
      </c>
      <c r="C34" s="30">
        <f t="shared" si="2"/>
        <v>110359</v>
      </c>
      <c r="E34">
        <v>110359</v>
      </c>
    </row>
    <row r="35" spans="1:5" x14ac:dyDescent="0.3">
      <c r="A35">
        <v>36603</v>
      </c>
      <c r="B35" t="s">
        <v>187</v>
      </c>
      <c r="C35" s="30">
        <f t="shared" si="2"/>
        <v>1545563.43</v>
      </c>
      <c r="E35">
        <v>1545563.43</v>
      </c>
    </row>
    <row r="36" spans="1:5" x14ac:dyDescent="0.3">
      <c r="A36">
        <v>36604</v>
      </c>
      <c r="B36" t="s">
        <v>188</v>
      </c>
      <c r="C36" s="30">
        <f t="shared" si="2"/>
        <v>1197237.49</v>
      </c>
      <c r="E36">
        <v>1197237.49</v>
      </c>
    </row>
    <row r="37" spans="1:5" x14ac:dyDescent="0.3">
      <c r="A37">
        <v>20335</v>
      </c>
      <c r="B37" t="s">
        <v>39</v>
      </c>
      <c r="C37" s="30">
        <f t="shared" si="2"/>
        <v>279664</v>
      </c>
      <c r="E37">
        <v>279664</v>
      </c>
    </row>
    <row r="38" spans="1:5" x14ac:dyDescent="0.3">
      <c r="A38">
        <v>1400</v>
      </c>
      <c r="B38" t="s">
        <v>186</v>
      </c>
      <c r="C38" s="30">
        <f t="shared" si="2"/>
        <v>169240691.16</v>
      </c>
      <c r="E38">
        <v>169240691.16</v>
      </c>
    </row>
    <row r="39" spans="1:5" x14ac:dyDescent="0.3">
      <c r="A39">
        <v>875</v>
      </c>
      <c r="B39" t="s">
        <v>38</v>
      </c>
      <c r="C39" s="30">
        <f t="shared" si="2"/>
        <v>16255569.41</v>
      </c>
      <c r="E39">
        <v>16255569.41</v>
      </c>
    </row>
    <row r="40" spans="1:5" x14ac:dyDescent="0.3">
      <c r="A40">
        <v>35306</v>
      </c>
      <c r="B40" t="s">
        <v>346</v>
      </c>
      <c r="C40" s="30">
        <f t="shared" si="2"/>
        <v>20170</v>
      </c>
      <c r="E40">
        <v>20170</v>
      </c>
    </row>
    <row r="41" spans="1:5" x14ac:dyDescent="0.3">
      <c r="A41">
        <v>35921</v>
      </c>
      <c r="B41" t="s">
        <v>278</v>
      </c>
      <c r="C41" s="30">
        <f t="shared" si="2"/>
        <v>8460079</v>
      </c>
      <c r="E41">
        <v>8460079</v>
      </c>
    </row>
    <row r="42" spans="1:5" x14ac:dyDescent="0.3">
      <c r="A42">
        <v>25338</v>
      </c>
      <c r="B42" t="s">
        <v>193</v>
      </c>
      <c r="C42" s="30">
        <f t="shared" si="2"/>
        <v>8825</v>
      </c>
      <c r="E42">
        <v>8825</v>
      </c>
    </row>
    <row r="43" spans="1:5" x14ac:dyDescent="0.3">
      <c r="A43">
        <v>36583</v>
      </c>
      <c r="B43" t="s">
        <v>200</v>
      </c>
      <c r="C43" s="30">
        <f t="shared" si="2"/>
        <v>500499.18</v>
      </c>
      <c r="E43">
        <v>500499.18</v>
      </c>
    </row>
    <row r="44" spans="1:5" x14ac:dyDescent="0.3">
      <c r="A44">
        <v>818</v>
      </c>
      <c r="B44" t="s">
        <v>47</v>
      </c>
      <c r="C44" s="30">
        <f t="shared" si="2"/>
        <v>10511.88</v>
      </c>
      <c r="E44">
        <v>10511.88</v>
      </c>
    </row>
    <row r="45" spans="1:5" x14ac:dyDescent="0.3">
      <c r="A45">
        <v>1612</v>
      </c>
      <c r="B45" t="s">
        <v>189</v>
      </c>
      <c r="C45" s="30">
        <f t="shared" si="2"/>
        <v>24726581.390000001</v>
      </c>
      <c r="E45">
        <v>24726581.390000001</v>
      </c>
    </row>
    <row r="46" spans="1:5" x14ac:dyDescent="0.3">
      <c r="A46">
        <v>17864</v>
      </c>
      <c r="B46" t="s">
        <v>190</v>
      </c>
      <c r="C46" s="30">
        <f t="shared" si="2"/>
        <v>601204.02</v>
      </c>
      <c r="E46">
        <v>601204.02</v>
      </c>
    </row>
    <row r="47" spans="1:5" x14ac:dyDescent="0.3">
      <c r="A47">
        <v>815</v>
      </c>
      <c r="B47" t="s">
        <v>40</v>
      </c>
      <c r="C47" s="30">
        <f t="shared" si="2"/>
        <v>91530</v>
      </c>
      <c r="E47">
        <v>91530</v>
      </c>
    </row>
    <row r="48" spans="1:5" x14ac:dyDescent="0.3">
      <c r="A48">
        <v>25339</v>
      </c>
      <c r="B48" t="s">
        <v>192</v>
      </c>
      <c r="C48" s="30">
        <f t="shared" si="2"/>
        <v>2217145.14</v>
      </c>
      <c r="E48">
        <v>2217145.14</v>
      </c>
    </row>
    <row r="49" spans="1:7" x14ac:dyDescent="0.3">
      <c r="A49">
        <v>25337</v>
      </c>
      <c r="B49" t="s">
        <v>42</v>
      </c>
      <c r="C49" s="30">
        <f t="shared" si="2"/>
        <v>23957818.379999999</v>
      </c>
      <c r="E49">
        <v>23957818.379999999</v>
      </c>
    </row>
    <row r="50" spans="1:7" x14ac:dyDescent="0.3">
      <c r="A50">
        <v>30653</v>
      </c>
      <c r="B50" t="s">
        <v>191</v>
      </c>
      <c r="C50" s="30">
        <f t="shared" si="2"/>
        <v>261205.55</v>
      </c>
      <c r="E50">
        <v>261205.55</v>
      </c>
    </row>
    <row r="51" spans="1:7" x14ac:dyDescent="0.3">
      <c r="A51">
        <v>937</v>
      </c>
      <c r="B51" t="s">
        <v>58</v>
      </c>
      <c r="C51" s="30">
        <f t="shared" si="2"/>
        <v>4930</v>
      </c>
      <c r="E51">
        <v>4930</v>
      </c>
    </row>
    <row r="52" spans="1:7" x14ac:dyDescent="0.3">
      <c r="A52">
        <v>809</v>
      </c>
      <c r="B52" t="s">
        <v>46</v>
      </c>
      <c r="C52" s="30">
        <f t="shared" si="2"/>
        <v>-4140</v>
      </c>
      <c r="E52">
        <v>-4140</v>
      </c>
    </row>
    <row r="53" spans="1:7" x14ac:dyDescent="0.3">
      <c r="A53">
        <v>849</v>
      </c>
      <c r="B53" t="s">
        <v>201</v>
      </c>
      <c r="C53" s="30">
        <f t="shared" si="2"/>
        <v>698750.46</v>
      </c>
      <c r="E53">
        <v>698750.46</v>
      </c>
      <c r="G53" s="2">
        <f>+'Profit Loss-Amravati-25-26'!I190+SUM(C25:C132)</f>
        <v>443931989.54066664</v>
      </c>
    </row>
    <row r="54" spans="1:7" x14ac:dyDescent="0.3">
      <c r="A54">
        <v>28769</v>
      </c>
      <c r="B54" t="s">
        <v>60</v>
      </c>
      <c r="C54" s="30">
        <f t="shared" si="2"/>
        <v>5775</v>
      </c>
      <c r="E54">
        <v>5775</v>
      </c>
    </row>
    <row r="55" spans="1:7" x14ac:dyDescent="0.3">
      <c r="A55">
        <v>970</v>
      </c>
      <c r="B55" t="s">
        <v>55</v>
      </c>
      <c r="C55" s="30">
        <f t="shared" si="2"/>
        <v>872484.7</v>
      </c>
      <c r="E55">
        <v>872484.7</v>
      </c>
    </row>
    <row r="56" spans="1:7" x14ac:dyDescent="0.3">
      <c r="A56">
        <v>801</v>
      </c>
      <c r="B56" t="s">
        <v>199</v>
      </c>
      <c r="C56" s="30">
        <f t="shared" si="2"/>
        <v>8752566.5</v>
      </c>
      <c r="E56">
        <v>8752566.5</v>
      </c>
    </row>
    <row r="57" spans="1:7" x14ac:dyDescent="0.3">
      <c r="A57">
        <v>23336</v>
      </c>
      <c r="B57" t="s">
        <v>100</v>
      </c>
      <c r="C57" s="38">
        <f t="shared" si="2"/>
        <v>13353.84</v>
      </c>
      <c r="E57">
        <v>13353.84</v>
      </c>
    </row>
    <row r="58" spans="1:7" x14ac:dyDescent="0.3">
      <c r="A58">
        <v>781</v>
      </c>
      <c r="B58" t="s">
        <v>62</v>
      </c>
      <c r="C58" s="30">
        <f t="shared" si="2"/>
        <v>35883.599999999999</v>
      </c>
      <c r="E58">
        <v>35883.599999999999</v>
      </c>
    </row>
    <row r="59" spans="1:7" x14ac:dyDescent="0.3">
      <c r="A59">
        <v>902</v>
      </c>
      <c r="B59" t="s">
        <v>45</v>
      </c>
      <c r="C59" s="30">
        <f t="shared" si="2"/>
        <v>1198</v>
      </c>
      <c r="E59">
        <v>1198</v>
      </c>
    </row>
    <row r="60" spans="1:7" x14ac:dyDescent="0.3">
      <c r="A60">
        <v>909</v>
      </c>
      <c r="B60" t="s">
        <v>16</v>
      </c>
      <c r="C60" s="30">
        <f t="shared" si="2"/>
        <v>20904</v>
      </c>
      <c r="E60">
        <v>20904</v>
      </c>
    </row>
    <row r="61" spans="1:7" x14ac:dyDescent="0.3">
      <c r="A61">
        <v>918</v>
      </c>
      <c r="B61" t="s">
        <v>13</v>
      </c>
      <c r="C61" s="30">
        <f t="shared" si="2"/>
        <v>18950</v>
      </c>
      <c r="E61">
        <v>18950</v>
      </c>
    </row>
    <row r="62" spans="1:7" x14ac:dyDescent="0.3">
      <c r="A62">
        <v>907</v>
      </c>
      <c r="B62" t="s">
        <v>14</v>
      </c>
      <c r="C62" s="38">
        <f t="shared" si="2"/>
        <v>-2832213</v>
      </c>
      <c r="E62">
        <v>-2832213</v>
      </c>
    </row>
    <row r="63" spans="1:7" x14ac:dyDescent="0.3">
      <c r="A63">
        <v>27281</v>
      </c>
      <c r="B63" t="s">
        <v>180</v>
      </c>
      <c r="C63" s="30">
        <f t="shared" ref="C63:C126" si="3">+E63</f>
        <v>146565.22</v>
      </c>
      <c r="E63">
        <v>146565.22</v>
      </c>
    </row>
    <row r="64" spans="1:7" x14ac:dyDescent="0.3">
      <c r="A64">
        <v>908</v>
      </c>
      <c r="B64" t="s">
        <v>15</v>
      </c>
      <c r="C64" s="30">
        <f t="shared" si="3"/>
        <v>82254</v>
      </c>
      <c r="E64">
        <v>82254</v>
      </c>
    </row>
    <row r="65" spans="1:5" x14ac:dyDescent="0.3">
      <c r="A65">
        <v>41940</v>
      </c>
      <c r="B65" t="s">
        <v>365</v>
      </c>
      <c r="C65" s="38">
        <f>+E65</f>
        <v>2317078</v>
      </c>
      <c r="E65">
        <v>2317078</v>
      </c>
    </row>
    <row r="66" spans="1:5" x14ac:dyDescent="0.3">
      <c r="A66">
        <v>36614</v>
      </c>
      <c r="B66" t="s">
        <v>11</v>
      </c>
      <c r="C66" s="30">
        <f t="shared" si="3"/>
        <v>1237167.44</v>
      </c>
      <c r="E66">
        <v>1237167.44</v>
      </c>
    </row>
    <row r="67" spans="1:5" x14ac:dyDescent="0.3">
      <c r="A67">
        <v>20336</v>
      </c>
      <c r="B67" t="s">
        <v>12</v>
      </c>
      <c r="C67" s="30">
        <f t="shared" si="3"/>
        <v>2726178.22</v>
      </c>
      <c r="E67">
        <v>2726178.22</v>
      </c>
    </row>
    <row r="68" spans="1:5" x14ac:dyDescent="0.3">
      <c r="A68">
        <v>817</v>
      </c>
      <c r="B68" t="s">
        <v>21</v>
      </c>
      <c r="C68" s="30">
        <f t="shared" si="3"/>
        <v>1170</v>
      </c>
      <c r="E68">
        <v>1170</v>
      </c>
    </row>
    <row r="69" spans="1:5" x14ac:dyDescent="0.3">
      <c r="A69">
        <v>931</v>
      </c>
      <c r="B69" t="s">
        <v>196</v>
      </c>
      <c r="C69" s="30">
        <f t="shared" si="3"/>
        <v>1145</v>
      </c>
      <c r="E69">
        <v>1145</v>
      </c>
    </row>
    <row r="70" spans="1:5" x14ac:dyDescent="0.3">
      <c r="A70">
        <v>933</v>
      </c>
      <c r="B70" t="s">
        <v>231</v>
      </c>
      <c r="C70" s="30">
        <f t="shared" si="3"/>
        <v>576</v>
      </c>
      <c r="E70">
        <v>576</v>
      </c>
    </row>
    <row r="71" spans="1:5" x14ac:dyDescent="0.3">
      <c r="A71">
        <v>962</v>
      </c>
      <c r="B71" t="s">
        <v>61</v>
      </c>
      <c r="C71" s="30">
        <f t="shared" si="3"/>
        <v>1448585</v>
      </c>
      <c r="E71">
        <v>1448585</v>
      </c>
    </row>
    <row r="72" spans="1:5" x14ac:dyDescent="0.3">
      <c r="A72">
        <v>961</v>
      </c>
      <c r="B72" t="s">
        <v>91</v>
      </c>
      <c r="C72" s="30">
        <f t="shared" si="3"/>
        <v>1817809.68</v>
      </c>
      <c r="E72">
        <v>1817809.68</v>
      </c>
    </row>
    <row r="73" spans="1:5" x14ac:dyDescent="0.3">
      <c r="A73">
        <v>964</v>
      </c>
      <c r="B73" t="s">
        <v>63</v>
      </c>
      <c r="C73" s="30">
        <f t="shared" si="3"/>
        <v>10500</v>
      </c>
      <c r="E73">
        <v>10500</v>
      </c>
    </row>
    <row r="74" spans="1:5" x14ac:dyDescent="0.3">
      <c r="A74">
        <v>894</v>
      </c>
      <c r="B74" t="s">
        <v>70</v>
      </c>
      <c r="C74" s="30">
        <f t="shared" si="3"/>
        <v>78756</v>
      </c>
      <c r="E74">
        <v>78756</v>
      </c>
    </row>
    <row r="75" spans="1:5" x14ac:dyDescent="0.3">
      <c r="A75">
        <v>969</v>
      </c>
      <c r="B75" t="s">
        <v>64</v>
      </c>
      <c r="C75" s="30">
        <f t="shared" si="3"/>
        <v>1824.78</v>
      </c>
      <c r="E75">
        <v>1824.78</v>
      </c>
    </row>
    <row r="76" spans="1:5" x14ac:dyDescent="0.3">
      <c r="A76">
        <v>963</v>
      </c>
      <c r="B76" t="s">
        <v>92</v>
      </c>
      <c r="C76" s="30">
        <f t="shared" si="3"/>
        <v>8250.2000000000007</v>
      </c>
      <c r="E76">
        <v>8250.2000000000007</v>
      </c>
    </row>
    <row r="77" spans="1:5" x14ac:dyDescent="0.3">
      <c r="A77">
        <v>29063</v>
      </c>
      <c r="B77" t="s">
        <v>206</v>
      </c>
      <c r="C77" s="30">
        <f t="shared" si="3"/>
        <v>105974.39999999999</v>
      </c>
      <c r="E77">
        <v>105974.39999999999</v>
      </c>
    </row>
    <row r="78" spans="1:5" x14ac:dyDescent="0.3">
      <c r="A78">
        <v>915</v>
      </c>
      <c r="B78" t="s">
        <v>65</v>
      </c>
      <c r="C78" s="30">
        <f t="shared" si="3"/>
        <v>2500</v>
      </c>
      <c r="E78">
        <v>2500</v>
      </c>
    </row>
    <row r="79" spans="1:5" x14ac:dyDescent="0.3">
      <c r="A79">
        <v>821</v>
      </c>
      <c r="B79" t="s">
        <v>113</v>
      </c>
      <c r="C79" s="30">
        <f t="shared" si="3"/>
        <v>761110</v>
      </c>
      <c r="E79">
        <v>761110</v>
      </c>
    </row>
    <row r="80" spans="1:5" x14ac:dyDescent="0.3">
      <c r="A80">
        <v>904</v>
      </c>
      <c r="B80" t="s">
        <v>67</v>
      </c>
      <c r="C80" s="30">
        <f t="shared" si="3"/>
        <v>338236</v>
      </c>
      <c r="E80">
        <v>338236</v>
      </c>
    </row>
    <row r="81" spans="1:5" x14ac:dyDescent="0.3">
      <c r="A81">
        <v>932</v>
      </c>
      <c r="B81" t="s">
        <v>54</v>
      </c>
      <c r="C81" s="30">
        <f t="shared" si="3"/>
        <v>315763.21999999997</v>
      </c>
      <c r="E81">
        <v>315763.21999999997</v>
      </c>
    </row>
    <row r="82" spans="1:5" x14ac:dyDescent="0.3">
      <c r="A82">
        <v>20113</v>
      </c>
      <c r="B82" t="s">
        <v>223</v>
      </c>
      <c r="C82" s="30">
        <f t="shared" si="3"/>
        <v>239965</v>
      </c>
      <c r="E82">
        <v>239965</v>
      </c>
    </row>
    <row r="83" spans="1:5" x14ac:dyDescent="0.3">
      <c r="A83">
        <v>854</v>
      </c>
      <c r="B83" t="s">
        <v>205</v>
      </c>
      <c r="C83" s="30">
        <f t="shared" si="3"/>
        <v>740747</v>
      </c>
      <c r="E83">
        <v>740747</v>
      </c>
    </row>
    <row r="84" spans="1:5" x14ac:dyDescent="0.3">
      <c r="A84">
        <v>984</v>
      </c>
      <c r="B84" t="s">
        <v>234</v>
      </c>
      <c r="C84" s="30">
        <f t="shared" si="3"/>
        <v>581631</v>
      </c>
      <c r="E84">
        <v>581631</v>
      </c>
    </row>
    <row r="85" spans="1:5" x14ac:dyDescent="0.3">
      <c r="A85">
        <v>983</v>
      </c>
      <c r="B85" t="s">
        <v>95</v>
      </c>
      <c r="C85" s="30">
        <f t="shared" si="3"/>
        <v>1793526.09</v>
      </c>
      <c r="E85">
        <v>1793526.09</v>
      </c>
    </row>
    <row r="86" spans="1:5" x14ac:dyDescent="0.3">
      <c r="A86">
        <v>35339</v>
      </c>
      <c r="B86" t="s">
        <v>224</v>
      </c>
      <c r="C86" s="30">
        <f t="shared" si="3"/>
        <v>4520</v>
      </c>
      <c r="E86">
        <v>4520</v>
      </c>
    </row>
    <row r="87" spans="1:5" x14ac:dyDescent="0.3">
      <c r="A87">
        <v>1074</v>
      </c>
      <c r="B87" t="s">
        <v>202</v>
      </c>
      <c r="C87" s="30">
        <f t="shared" si="3"/>
        <v>460433</v>
      </c>
      <c r="E87">
        <v>460433</v>
      </c>
    </row>
    <row r="88" spans="1:5" x14ac:dyDescent="0.3">
      <c r="A88">
        <v>951</v>
      </c>
      <c r="B88" t="s">
        <v>311</v>
      </c>
      <c r="C88" s="30">
        <f t="shared" si="3"/>
        <v>110000</v>
      </c>
      <c r="E88">
        <v>110000</v>
      </c>
    </row>
    <row r="89" spans="1:5" x14ac:dyDescent="0.3">
      <c r="A89">
        <v>926</v>
      </c>
      <c r="B89" t="s">
        <v>207</v>
      </c>
      <c r="C89" s="30">
        <f t="shared" si="3"/>
        <v>1191148.3500000001</v>
      </c>
      <c r="E89">
        <v>1191148.3500000001</v>
      </c>
    </row>
    <row r="90" spans="1:5" x14ac:dyDescent="0.3">
      <c r="A90">
        <v>934</v>
      </c>
      <c r="B90" t="s">
        <v>103</v>
      </c>
      <c r="C90" s="30">
        <f t="shared" si="3"/>
        <v>-41411.599999999999</v>
      </c>
      <c r="E90">
        <v>-41411.599999999999</v>
      </c>
    </row>
    <row r="91" spans="1:5" x14ac:dyDescent="0.3">
      <c r="A91">
        <v>685</v>
      </c>
      <c r="B91" t="s">
        <v>97</v>
      </c>
      <c r="C91" s="30">
        <f t="shared" si="3"/>
        <v>36670.400000000001</v>
      </c>
      <c r="E91">
        <v>36670.400000000001</v>
      </c>
    </row>
    <row r="92" spans="1:5" x14ac:dyDescent="0.3">
      <c r="A92">
        <v>920</v>
      </c>
      <c r="B92" t="s">
        <v>153</v>
      </c>
      <c r="C92" s="30">
        <f t="shared" si="3"/>
        <v>221331.08</v>
      </c>
      <c r="E92">
        <v>221331.08</v>
      </c>
    </row>
    <row r="93" spans="1:5" x14ac:dyDescent="0.3">
      <c r="A93">
        <v>936</v>
      </c>
      <c r="B93" t="s">
        <v>225</v>
      </c>
      <c r="C93" s="30">
        <f t="shared" si="3"/>
        <v>34038.1</v>
      </c>
      <c r="E93">
        <v>34038.1</v>
      </c>
    </row>
    <row r="94" spans="1:5" x14ac:dyDescent="0.3">
      <c r="A94">
        <v>812</v>
      </c>
      <c r="B94" t="s">
        <v>90</v>
      </c>
      <c r="C94" s="30">
        <f t="shared" si="3"/>
        <v>792010.04</v>
      </c>
      <c r="E94">
        <v>792010.04</v>
      </c>
    </row>
    <row r="95" spans="1:5" x14ac:dyDescent="0.3">
      <c r="A95">
        <v>1110</v>
      </c>
      <c r="B95" t="s">
        <v>102</v>
      </c>
      <c r="C95" s="30">
        <f t="shared" si="3"/>
        <v>121336</v>
      </c>
      <c r="E95">
        <v>121336</v>
      </c>
    </row>
    <row r="96" spans="1:5" x14ac:dyDescent="0.3">
      <c r="A96">
        <v>930</v>
      </c>
      <c r="B96" t="s">
        <v>96</v>
      </c>
      <c r="C96" s="30">
        <f t="shared" si="3"/>
        <v>5550</v>
      </c>
      <c r="E96">
        <v>5550</v>
      </c>
    </row>
    <row r="97" spans="1:5" x14ac:dyDescent="0.3">
      <c r="A97">
        <v>1021</v>
      </c>
      <c r="B97" t="s">
        <v>57</v>
      </c>
      <c r="C97" s="30">
        <f t="shared" si="3"/>
        <v>4.05</v>
      </c>
      <c r="E97">
        <v>4.05</v>
      </c>
    </row>
    <row r="98" spans="1:5" x14ac:dyDescent="0.3">
      <c r="A98">
        <v>935</v>
      </c>
      <c r="B98" t="s">
        <v>228</v>
      </c>
      <c r="C98" s="30">
        <f t="shared" si="3"/>
        <v>10097</v>
      </c>
      <c r="E98">
        <v>10097</v>
      </c>
    </row>
    <row r="99" spans="1:5" x14ac:dyDescent="0.3">
      <c r="A99">
        <v>882</v>
      </c>
      <c r="B99" t="s">
        <v>216</v>
      </c>
      <c r="C99" s="30">
        <f t="shared" si="3"/>
        <v>474990</v>
      </c>
      <c r="E99">
        <v>474990</v>
      </c>
    </row>
    <row r="100" spans="1:5" x14ac:dyDescent="0.3">
      <c r="A100">
        <v>862</v>
      </c>
      <c r="B100" t="s">
        <v>79</v>
      </c>
      <c r="C100" s="30">
        <f t="shared" si="3"/>
        <v>13040</v>
      </c>
      <c r="E100">
        <v>13040</v>
      </c>
    </row>
    <row r="101" spans="1:5" x14ac:dyDescent="0.3">
      <c r="A101">
        <v>948</v>
      </c>
      <c r="B101" t="s">
        <v>72</v>
      </c>
      <c r="C101" s="30">
        <f t="shared" si="3"/>
        <v>4264494</v>
      </c>
      <c r="E101">
        <v>4264494</v>
      </c>
    </row>
    <row r="102" spans="1:5" x14ac:dyDescent="0.3">
      <c r="A102">
        <v>855</v>
      </c>
      <c r="B102" t="s">
        <v>73</v>
      </c>
      <c r="C102" s="30">
        <f t="shared" si="3"/>
        <v>1564214</v>
      </c>
      <c r="E102">
        <v>1564214</v>
      </c>
    </row>
    <row r="103" spans="1:5" x14ac:dyDescent="0.3">
      <c r="A103">
        <v>853</v>
      </c>
      <c r="B103" t="s">
        <v>74</v>
      </c>
      <c r="C103" s="30">
        <f t="shared" si="3"/>
        <v>5269316</v>
      </c>
      <c r="E103">
        <v>5269316</v>
      </c>
    </row>
    <row r="104" spans="1:5" x14ac:dyDescent="0.3">
      <c r="A104">
        <v>848</v>
      </c>
      <c r="B104" t="s">
        <v>235</v>
      </c>
      <c r="C104" s="30">
        <f t="shared" si="3"/>
        <v>57725</v>
      </c>
      <c r="E104">
        <v>57725</v>
      </c>
    </row>
    <row r="105" spans="1:5" x14ac:dyDescent="0.3">
      <c r="A105">
        <v>856</v>
      </c>
      <c r="B105" t="s">
        <v>80</v>
      </c>
      <c r="C105" s="30">
        <f t="shared" si="3"/>
        <v>68168</v>
      </c>
      <c r="E105">
        <v>68168</v>
      </c>
    </row>
    <row r="106" spans="1:5" x14ac:dyDescent="0.3">
      <c r="A106">
        <v>857</v>
      </c>
      <c r="B106" t="s">
        <v>76</v>
      </c>
      <c r="C106" s="30">
        <f t="shared" si="3"/>
        <v>24290</v>
      </c>
      <c r="E106">
        <v>24290</v>
      </c>
    </row>
    <row r="107" spans="1:5" x14ac:dyDescent="0.3">
      <c r="A107">
        <v>975</v>
      </c>
      <c r="B107" t="s">
        <v>77</v>
      </c>
      <c r="C107" s="30">
        <f t="shared" si="3"/>
        <v>29196</v>
      </c>
      <c r="E107">
        <v>29196</v>
      </c>
    </row>
    <row r="108" spans="1:5" x14ac:dyDescent="0.3">
      <c r="A108">
        <v>10208</v>
      </c>
      <c r="B108" t="s">
        <v>78</v>
      </c>
      <c r="C108" s="30">
        <f t="shared" si="3"/>
        <v>444499</v>
      </c>
      <c r="E108">
        <v>444499</v>
      </c>
    </row>
    <row r="109" spans="1:5" x14ac:dyDescent="0.3">
      <c r="A109">
        <v>863</v>
      </c>
      <c r="B109" t="s">
        <v>218</v>
      </c>
      <c r="C109" s="30">
        <f t="shared" si="3"/>
        <v>-1371</v>
      </c>
      <c r="E109">
        <v>-1371</v>
      </c>
    </row>
    <row r="110" spans="1:5" x14ac:dyDescent="0.3">
      <c r="A110">
        <v>31408</v>
      </c>
      <c r="B110" t="s">
        <v>227</v>
      </c>
      <c r="C110" s="30">
        <f t="shared" si="3"/>
        <v>-550823</v>
      </c>
      <c r="E110">
        <v>-550823</v>
      </c>
    </row>
    <row r="111" spans="1:5" x14ac:dyDescent="0.3">
      <c r="A111">
        <v>718</v>
      </c>
      <c r="B111" t="s">
        <v>217</v>
      </c>
      <c r="C111" s="30">
        <f t="shared" si="3"/>
        <v>730378</v>
      </c>
      <c r="E111">
        <v>730378</v>
      </c>
    </row>
    <row r="112" spans="1:5" x14ac:dyDescent="0.3">
      <c r="A112">
        <v>851</v>
      </c>
      <c r="B112" t="s">
        <v>81</v>
      </c>
      <c r="C112" s="30">
        <f t="shared" si="3"/>
        <v>43384165</v>
      </c>
      <c r="E112">
        <v>43384165</v>
      </c>
    </row>
    <row r="113" spans="1:5" x14ac:dyDescent="0.3">
      <c r="A113">
        <v>852</v>
      </c>
      <c r="B113" t="s">
        <v>215</v>
      </c>
      <c r="C113" s="30">
        <f t="shared" si="3"/>
        <v>312704</v>
      </c>
      <c r="E113">
        <v>312704</v>
      </c>
    </row>
    <row r="114" spans="1:5" x14ac:dyDescent="0.3">
      <c r="A114">
        <v>881</v>
      </c>
      <c r="B114" t="s">
        <v>210</v>
      </c>
      <c r="C114" s="30">
        <f t="shared" si="3"/>
        <v>1060</v>
      </c>
      <c r="E114">
        <v>1060</v>
      </c>
    </row>
    <row r="115" spans="1:5" x14ac:dyDescent="0.3">
      <c r="A115">
        <v>689</v>
      </c>
      <c r="B115" t="s">
        <v>75</v>
      </c>
      <c r="C115" s="30">
        <f t="shared" si="3"/>
        <v>991252</v>
      </c>
      <c r="E115">
        <v>991252</v>
      </c>
    </row>
    <row r="116" spans="1:5" x14ac:dyDescent="0.3">
      <c r="A116">
        <v>1325</v>
      </c>
      <c r="B116" t="s">
        <v>98</v>
      </c>
      <c r="C116" s="30">
        <f t="shared" si="3"/>
        <v>15773965</v>
      </c>
      <c r="E116">
        <v>15773965</v>
      </c>
    </row>
    <row r="117" spans="1:5" x14ac:dyDescent="0.3">
      <c r="A117">
        <v>11722</v>
      </c>
      <c r="B117" t="s">
        <v>211</v>
      </c>
      <c r="C117" s="30">
        <f t="shared" si="3"/>
        <v>1289</v>
      </c>
      <c r="E117">
        <v>1289</v>
      </c>
    </row>
    <row r="118" spans="1:5" x14ac:dyDescent="0.3">
      <c r="A118">
        <v>39011</v>
      </c>
      <c r="B118" t="s">
        <v>83</v>
      </c>
      <c r="C118" s="30">
        <f t="shared" si="3"/>
        <v>900353</v>
      </c>
      <c r="E118">
        <v>900353</v>
      </c>
    </row>
    <row r="119" spans="1:5" x14ac:dyDescent="0.3">
      <c r="A119">
        <v>38580</v>
      </c>
      <c r="B119" t="s">
        <v>82</v>
      </c>
      <c r="C119" s="30">
        <f t="shared" si="3"/>
        <v>3483783</v>
      </c>
      <c r="E119">
        <v>3483783</v>
      </c>
    </row>
    <row r="120" spans="1:5" x14ac:dyDescent="0.3">
      <c r="A120">
        <v>39010</v>
      </c>
      <c r="B120" t="s">
        <v>85</v>
      </c>
      <c r="C120" s="30">
        <f t="shared" si="3"/>
        <v>-59480</v>
      </c>
      <c r="E120">
        <v>-59480</v>
      </c>
    </row>
    <row r="121" spans="1:5" x14ac:dyDescent="0.3">
      <c r="A121">
        <v>38579</v>
      </c>
      <c r="B121" t="s">
        <v>86</v>
      </c>
      <c r="C121" s="30">
        <f t="shared" si="3"/>
        <v>-920297</v>
      </c>
      <c r="E121">
        <v>-920297</v>
      </c>
    </row>
    <row r="122" spans="1:5" x14ac:dyDescent="0.3">
      <c r="A122">
        <v>872</v>
      </c>
      <c r="B122" t="s">
        <v>87</v>
      </c>
      <c r="C122" s="30">
        <f t="shared" si="3"/>
        <v>69675</v>
      </c>
      <c r="E122">
        <v>69675</v>
      </c>
    </row>
    <row r="123" spans="1:5" x14ac:dyDescent="0.3">
      <c r="A123">
        <v>868</v>
      </c>
      <c r="B123" t="s">
        <v>88</v>
      </c>
      <c r="C123" s="30">
        <f t="shared" si="3"/>
        <v>280149</v>
      </c>
      <c r="E123">
        <v>280149</v>
      </c>
    </row>
    <row r="124" spans="1:5" x14ac:dyDescent="0.3">
      <c r="A124">
        <v>1107</v>
      </c>
      <c r="B124" t="s">
        <v>105</v>
      </c>
      <c r="C124" s="30">
        <f t="shared" si="3"/>
        <v>130771</v>
      </c>
      <c r="E124">
        <v>130771</v>
      </c>
    </row>
    <row r="125" spans="1:5" x14ac:dyDescent="0.3">
      <c r="A125">
        <v>859</v>
      </c>
      <c r="B125" t="s">
        <v>220</v>
      </c>
      <c r="C125" s="30">
        <f t="shared" si="3"/>
        <v>60366</v>
      </c>
      <c r="E125">
        <v>60366</v>
      </c>
    </row>
    <row r="126" spans="1:5" x14ac:dyDescent="0.3">
      <c r="A126">
        <v>858</v>
      </c>
      <c r="B126" t="s">
        <v>89</v>
      </c>
      <c r="C126" s="30">
        <f t="shared" si="3"/>
        <v>475765.36</v>
      </c>
      <c r="E126">
        <v>475765.36</v>
      </c>
    </row>
    <row r="127" spans="1:5" x14ac:dyDescent="0.3">
      <c r="A127">
        <v>870</v>
      </c>
      <c r="B127" t="s">
        <v>221</v>
      </c>
      <c r="C127" s="30">
        <f t="shared" ref="C127:C132" si="4">+E127</f>
        <v>279416.12</v>
      </c>
      <c r="E127">
        <v>279416.12</v>
      </c>
    </row>
    <row r="128" spans="1:5" x14ac:dyDescent="0.3">
      <c r="A128">
        <v>981</v>
      </c>
      <c r="B128" t="s">
        <v>109</v>
      </c>
      <c r="C128" s="30">
        <f t="shared" si="4"/>
        <v>221540.57</v>
      </c>
      <c r="E128">
        <v>221540.57</v>
      </c>
    </row>
    <row r="129" spans="1:5" x14ac:dyDescent="0.3">
      <c r="A129">
        <v>974</v>
      </c>
      <c r="B129" t="s">
        <v>94</v>
      </c>
      <c r="C129" s="30">
        <f t="shared" si="4"/>
        <v>699</v>
      </c>
      <c r="E129">
        <v>699</v>
      </c>
    </row>
    <row r="130" spans="1:5" x14ac:dyDescent="0.3">
      <c r="A130">
        <v>1214</v>
      </c>
      <c r="B130" t="s">
        <v>106</v>
      </c>
      <c r="C130" s="30">
        <f t="shared" si="4"/>
        <v>8000</v>
      </c>
      <c r="E130">
        <v>8000</v>
      </c>
    </row>
    <row r="131" spans="1:5" x14ac:dyDescent="0.3">
      <c r="A131">
        <v>25273</v>
      </c>
      <c r="B131" t="s">
        <v>112</v>
      </c>
      <c r="C131" s="30">
        <f t="shared" si="4"/>
        <v>872560.36</v>
      </c>
      <c r="E131">
        <v>872560.36</v>
      </c>
    </row>
    <row r="132" spans="1:5" x14ac:dyDescent="0.3">
      <c r="A132">
        <v>986</v>
      </c>
      <c r="B132" t="s">
        <v>114</v>
      </c>
      <c r="C132" s="30">
        <f t="shared" si="4"/>
        <v>1577</v>
      </c>
      <c r="E132">
        <v>1577</v>
      </c>
    </row>
    <row r="133" spans="1:5" x14ac:dyDescent="0.3">
      <c r="A133" t="s">
        <v>272</v>
      </c>
      <c r="B133" t="s">
        <v>273</v>
      </c>
      <c r="C133">
        <f>SUM(C25:C132)</f>
        <v>528255188.03999996</v>
      </c>
      <c r="D133">
        <v>528255188.04000002</v>
      </c>
      <c r="E133">
        <f>SUM(E25:E132)</f>
        <v>528255188.03999996</v>
      </c>
    </row>
    <row r="134" spans="1:5" x14ac:dyDescent="0.3">
      <c r="A134" t="s">
        <v>277</v>
      </c>
      <c r="B134" t="s">
        <v>279</v>
      </c>
      <c r="C134">
        <f>+C24-C133</f>
        <v>-528255188.03999996</v>
      </c>
    </row>
    <row r="135" spans="1:5" x14ac:dyDescent="0.3">
      <c r="A135" t="s">
        <v>272</v>
      </c>
      <c r="B135" t="s">
        <v>273</v>
      </c>
      <c r="C135" t="s">
        <v>241</v>
      </c>
      <c r="D135" t="s">
        <v>145</v>
      </c>
    </row>
    <row r="136" spans="1:5" x14ac:dyDescent="0.3">
      <c r="A136" t="s">
        <v>280</v>
      </c>
      <c r="B136" t="s">
        <v>366</v>
      </c>
      <c r="C136">
        <v>98.25</v>
      </c>
    </row>
    <row r="137" spans="1:5" x14ac:dyDescent="0.3">
      <c r="A137" t="s">
        <v>282</v>
      </c>
      <c r="B137" t="s">
        <v>283</v>
      </c>
      <c r="C137" t="s">
        <v>242</v>
      </c>
      <c r="D137" t="s">
        <v>155</v>
      </c>
    </row>
    <row r="138" spans="1:5" x14ac:dyDescent="0.3">
      <c r="A138" t="s">
        <v>284</v>
      </c>
      <c r="B138" t="s">
        <v>367</v>
      </c>
      <c r="D138" t="s">
        <v>368</v>
      </c>
    </row>
    <row r="139" spans="1:5" x14ac:dyDescent="0.3">
      <c r="A139" t="s">
        <v>157</v>
      </c>
    </row>
  </sheetData>
  <autoFilter ref="A7:C139" xr:uid="{23DC3544-49E3-4AFD-B2B5-4CC4C58AE65C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BC39-E8F2-46B7-9766-35419C8923B7}">
  <dimension ref="A1:E59"/>
  <sheetViews>
    <sheetView topLeftCell="A29" workbookViewId="0">
      <selection activeCell="B37" sqref="B37"/>
    </sheetView>
  </sheetViews>
  <sheetFormatPr defaultRowHeight="14.4" x14ac:dyDescent="0.3"/>
  <cols>
    <col min="1" max="1" width="15.6640625" customWidth="1"/>
    <col min="2" max="2" width="42.109375" customWidth="1"/>
    <col min="3" max="7" width="15.664062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160</v>
      </c>
      <c r="C3" t="s">
        <v>369</v>
      </c>
      <c r="D3" t="s">
        <v>143</v>
      </c>
    </row>
    <row r="4" spans="1:5" x14ac:dyDescent="0.3">
      <c r="A4" t="s">
        <v>317</v>
      </c>
      <c r="B4" t="s">
        <v>163</v>
      </c>
      <c r="C4" t="s">
        <v>255</v>
      </c>
      <c r="D4" t="s">
        <v>255</v>
      </c>
      <c r="E4" t="s">
        <v>256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317</v>
      </c>
      <c r="B7" t="s">
        <v>163</v>
      </c>
      <c r="C7" t="s">
        <v>255</v>
      </c>
      <c r="D7" t="s">
        <v>255</v>
      </c>
      <c r="E7" t="s">
        <v>256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v>12193532.01</v>
      </c>
    </row>
    <row r="10" spans="1:5" x14ac:dyDescent="0.3">
      <c r="A10" t="s">
        <v>323</v>
      </c>
      <c r="B10" t="s">
        <v>174</v>
      </c>
      <c r="C10">
        <v>12193532.01</v>
      </c>
    </row>
    <row r="11" spans="1:5" x14ac:dyDescent="0.3">
      <c r="A11">
        <v>20335</v>
      </c>
      <c r="B11" t="s">
        <v>39</v>
      </c>
      <c r="C11">
        <v>400</v>
      </c>
    </row>
    <row r="12" spans="1:5" x14ac:dyDescent="0.3">
      <c r="A12">
        <v>36583</v>
      </c>
      <c r="B12" t="s">
        <v>200</v>
      </c>
      <c r="C12">
        <v>96043.72</v>
      </c>
    </row>
    <row r="13" spans="1:5" x14ac:dyDescent="0.3">
      <c r="A13">
        <v>815</v>
      </c>
      <c r="B13" t="s">
        <v>40</v>
      </c>
      <c r="C13">
        <v>11917</v>
      </c>
    </row>
    <row r="14" spans="1:5" x14ac:dyDescent="0.3">
      <c r="A14">
        <v>25339</v>
      </c>
      <c r="B14" t="s">
        <v>192</v>
      </c>
      <c r="C14">
        <v>452689.68</v>
      </c>
    </row>
    <row r="15" spans="1:5" x14ac:dyDescent="0.3">
      <c r="A15">
        <v>810</v>
      </c>
      <c r="B15" t="s">
        <v>48</v>
      </c>
      <c r="C15">
        <v>6700</v>
      </c>
    </row>
    <row r="16" spans="1:5" x14ac:dyDescent="0.3">
      <c r="A16">
        <v>937</v>
      </c>
      <c r="B16" t="s">
        <v>58</v>
      </c>
      <c r="C16">
        <v>11400</v>
      </c>
    </row>
    <row r="17" spans="1:3" x14ac:dyDescent="0.3">
      <c r="A17">
        <v>809</v>
      </c>
      <c r="B17" t="s">
        <v>46</v>
      </c>
      <c r="C17">
        <v>668010</v>
      </c>
    </row>
    <row r="18" spans="1:3" x14ac:dyDescent="0.3">
      <c r="A18">
        <v>20336</v>
      </c>
      <c r="B18" t="s">
        <v>12</v>
      </c>
      <c r="C18">
        <v>12500</v>
      </c>
    </row>
    <row r="19" spans="1:3" x14ac:dyDescent="0.3">
      <c r="A19">
        <v>961</v>
      </c>
      <c r="B19" t="s">
        <v>91</v>
      </c>
      <c r="C19">
        <v>8800</v>
      </c>
    </row>
    <row r="20" spans="1:3" x14ac:dyDescent="0.3">
      <c r="A20">
        <v>894</v>
      </c>
      <c r="B20" t="s">
        <v>70</v>
      </c>
      <c r="C20">
        <v>41376</v>
      </c>
    </row>
    <row r="21" spans="1:3" x14ac:dyDescent="0.3">
      <c r="A21">
        <v>963</v>
      </c>
      <c r="B21" t="s">
        <v>92</v>
      </c>
      <c r="C21">
        <v>93670</v>
      </c>
    </row>
    <row r="22" spans="1:3" x14ac:dyDescent="0.3">
      <c r="A22">
        <v>29063</v>
      </c>
      <c r="B22" t="s">
        <v>206</v>
      </c>
      <c r="C22">
        <v>263</v>
      </c>
    </row>
    <row r="23" spans="1:3" x14ac:dyDescent="0.3">
      <c r="A23">
        <v>821</v>
      </c>
      <c r="B23" t="s">
        <v>113</v>
      </c>
      <c r="C23">
        <v>809000</v>
      </c>
    </row>
    <row r="24" spans="1:3" x14ac:dyDescent="0.3">
      <c r="A24">
        <v>904</v>
      </c>
      <c r="B24" t="s">
        <v>67</v>
      </c>
      <c r="C24">
        <v>12117</v>
      </c>
    </row>
    <row r="25" spans="1:3" x14ac:dyDescent="0.3">
      <c r="A25">
        <v>932</v>
      </c>
      <c r="B25" t="s">
        <v>54</v>
      </c>
      <c r="C25">
        <v>30372</v>
      </c>
    </row>
    <row r="26" spans="1:3" x14ac:dyDescent="0.3">
      <c r="A26">
        <v>1101</v>
      </c>
      <c r="B26" t="s">
        <v>229</v>
      </c>
      <c r="C26">
        <v>20000</v>
      </c>
    </row>
    <row r="27" spans="1:3" x14ac:dyDescent="0.3">
      <c r="A27">
        <v>854</v>
      </c>
      <c r="B27" t="s">
        <v>205</v>
      </c>
      <c r="C27">
        <v>22277</v>
      </c>
    </row>
    <row r="28" spans="1:3" x14ac:dyDescent="0.3">
      <c r="A28">
        <v>983</v>
      </c>
      <c r="B28" t="s">
        <v>95</v>
      </c>
      <c r="C28">
        <v>43696</v>
      </c>
    </row>
    <row r="29" spans="1:3" x14ac:dyDescent="0.3">
      <c r="A29">
        <v>1074</v>
      </c>
      <c r="B29" t="s">
        <v>202</v>
      </c>
      <c r="C29">
        <v>43400</v>
      </c>
    </row>
    <row r="30" spans="1:3" x14ac:dyDescent="0.3">
      <c r="A30">
        <v>926</v>
      </c>
      <c r="B30" t="s">
        <v>207</v>
      </c>
      <c r="C30">
        <v>36725</v>
      </c>
    </row>
    <row r="31" spans="1:3" x14ac:dyDescent="0.3">
      <c r="A31">
        <v>934</v>
      </c>
      <c r="B31" t="s">
        <v>103</v>
      </c>
      <c r="C31">
        <v>4125</v>
      </c>
    </row>
    <row r="32" spans="1:3" x14ac:dyDescent="0.3">
      <c r="A32">
        <v>685</v>
      </c>
      <c r="B32" t="s">
        <v>97</v>
      </c>
      <c r="C32">
        <v>21920</v>
      </c>
    </row>
    <row r="33" spans="1:3" x14ac:dyDescent="0.3">
      <c r="A33">
        <v>920</v>
      </c>
      <c r="B33" t="s">
        <v>153</v>
      </c>
      <c r="C33">
        <v>11577.4</v>
      </c>
    </row>
    <row r="34" spans="1:3" x14ac:dyDescent="0.3">
      <c r="A34">
        <v>936</v>
      </c>
      <c r="B34" t="s">
        <v>225</v>
      </c>
      <c r="C34">
        <v>16928.78</v>
      </c>
    </row>
    <row r="35" spans="1:3" x14ac:dyDescent="0.3">
      <c r="A35">
        <v>812</v>
      </c>
      <c r="B35" t="s">
        <v>90</v>
      </c>
      <c r="C35">
        <v>72873.789999999994</v>
      </c>
    </row>
    <row r="36" spans="1:3" x14ac:dyDescent="0.3">
      <c r="A36">
        <v>1021</v>
      </c>
      <c r="B36" t="s">
        <v>57</v>
      </c>
      <c r="C36">
        <v>-7.97</v>
      </c>
    </row>
    <row r="37" spans="1:3" x14ac:dyDescent="0.3">
      <c r="A37">
        <v>10000</v>
      </c>
      <c r="B37" t="s">
        <v>68</v>
      </c>
      <c r="C37">
        <v>4900</v>
      </c>
    </row>
    <row r="38" spans="1:3" x14ac:dyDescent="0.3">
      <c r="A38">
        <v>948</v>
      </c>
      <c r="B38" t="s">
        <v>72</v>
      </c>
      <c r="C38">
        <v>159303</v>
      </c>
    </row>
    <row r="39" spans="1:3" x14ac:dyDescent="0.3">
      <c r="A39">
        <v>855</v>
      </c>
      <c r="B39" t="s">
        <v>73</v>
      </c>
      <c r="C39">
        <v>159304</v>
      </c>
    </row>
    <row r="40" spans="1:3" x14ac:dyDescent="0.3">
      <c r="A40">
        <v>853</v>
      </c>
      <c r="B40" t="s">
        <v>74</v>
      </c>
      <c r="C40">
        <v>238086</v>
      </c>
    </row>
    <row r="41" spans="1:3" x14ac:dyDescent="0.3">
      <c r="A41">
        <v>10208</v>
      </c>
      <c r="B41" t="s">
        <v>78</v>
      </c>
      <c r="C41">
        <v>51563</v>
      </c>
    </row>
    <row r="42" spans="1:3" x14ac:dyDescent="0.3">
      <c r="A42">
        <v>851</v>
      </c>
      <c r="B42" t="s">
        <v>81</v>
      </c>
      <c r="C42">
        <v>2515397</v>
      </c>
    </row>
    <row r="43" spans="1:3" x14ac:dyDescent="0.3">
      <c r="A43">
        <v>1325</v>
      </c>
      <c r="B43" t="s">
        <v>98</v>
      </c>
      <c r="C43">
        <v>10251653</v>
      </c>
    </row>
    <row r="44" spans="1:3" x14ac:dyDescent="0.3">
      <c r="A44">
        <v>39011</v>
      </c>
      <c r="B44" t="s">
        <v>83</v>
      </c>
      <c r="C44">
        <v>46616</v>
      </c>
    </row>
    <row r="45" spans="1:3" x14ac:dyDescent="0.3">
      <c r="A45">
        <v>38580</v>
      </c>
      <c r="B45" t="s">
        <v>82</v>
      </c>
      <c r="C45">
        <v>159602</v>
      </c>
    </row>
    <row r="46" spans="1:3" x14ac:dyDescent="0.3">
      <c r="A46">
        <v>39010</v>
      </c>
      <c r="B46" t="s">
        <v>85</v>
      </c>
      <c r="C46">
        <v>-2795</v>
      </c>
    </row>
    <row r="47" spans="1:3" x14ac:dyDescent="0.3">
      <c r="A47">
        <v>38579</v>
      </c>
      <c r="B47" t="s">
        <v>86</v>
      </c>
      <c r="C47">
        <v>-41057</v>
      </c>
    </row>
    <row r="48" spans="1:3" x14ac:dyDescent="0.3">
      <c r="A48">
        <v>872</v>
      </c>
      <c r="B48" t="s">
        <v>87</v>
      </c>
      <c r="C48">
        <v>10500</v>
      </c>
    </row>
    <row r="49" spans="1:5" x14ac:dyDescent="0.3">
      <c r="A49">
        <v>868</v>
      </c>
      <c r="B49" t="s">
        <v>88</v>
      </c>
      <c r="C49">
        <v>13207</v>
      </c>
    </row>
    <row r="50" spans="1:5" x14ac:dyDescent="0.3">
      <c r="A50">
        <v>859</v>
      </c>
      <c r="B50" t="s">
        <v>220</v>
      </c>
      <c r="C50">
        <v>1632</v>
      </c>
    </row>
    <row r="51" spans="1:5" x14ac:dyDescent="0.3">
      <c r="A51">
        <v>858</v>
      </c>
      <c r="B51" t="s">
        <v>89</v>
      </c>
      <c r="C51">
        <v>166574</v>
      </c>
    </row>
    <row r="52" spans="1:5" x14ac:dyDescent="0.3">
      <c r="A52">
        <v>981</v>
      </c>
      <c r="B52" t="s">
        <v>109</v>
      </c>
      <c r="C52">
        <v>9600.48</v>
      </c>
    </row>
    <row r="53" spans="1:5" x14ac:dyDescent="0.3">
      <c r="A53" t="s">
        <v>325</v>
      </c>
      <c r="B53" t="s">
        <v>326</v>
      </c>
      <c r="C53">
        <v>16292858.880000001</v>
      </c>
    </row>
    <row r="54" spans="1:5" x14ac:dyDescent="0.3">
      <c r="A54" t="s">
        <v>327</v>
      </c>
      <c r="B54" t="s">
        <v>372</v>
      </c>
      <c r="C54">
        <v>6.87</v>
      </c>
    </row>
    <row r="55" spans="1:5" x14ac:dyDescent="0.3">
      <c r="A55" t="s">
        <v>329</v>
      </c>
      <c r="B55" t="s">
        <v>172</v>
      </c>
      <c r="C55" t="s">
        <v>259</v>
      </c>
      <c r="D55" t="s">
        <v>259</v>
      </c>
      <c r="E55" t="s">
        <v>242</v>
      </c>
    </row>
    <row r="56" spans="1:5" x14ac:dyDescent="0.3">
      <c r="A56" t="s">
        <v>156</v>
      </c>
      <c r="B56" t="s">
        <v>373</v>
      </c>
      <c r="D56" t="s">
        <v>261</v>
      </c>
      <c r="E56" t="s">
        <v>332</v>
      </c>
    </row>
    <row r="57" spans="1:5" x14ac:dyDescent="0.3">
      <c r="A57" t="s">
        <v>157</v>
      </c>
    </row>
    <row r="59" spans="1:5" x14ac:dyDescent="0.3">
      <c r="C59">
        <f>+C10-C53</f>
        <v>-4099326.870000001</v>
      </c>
    </row>
  </sheetData>
  <autoFilter ref="A7:C58" xr:uid="{F619BC39-E8F2-46B7-9766-35419C8923B7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219B-3DF2-4D31-BEC7-B8ECD34A786F}">
  <dimension ref="A1:M169"/>
  <sheetViews>
    <sheetView topLeftCell="A22" workbookViewId="0">
      <selection activeCell="L46" sqref="L46"/>
    </sheetView>
  </sheetViews>
  <sheetFormatPr defaultRowHeight="14.4" x14ac:dyDescent="0.3"/>
  <cols>
    <col min="2" max="2" width="35.33203125" customWidth="1"/>
    <col min="3" max="3" width="16.109375" customWidth="1"/>
    <col min="4" max="4" width="11.5546875" customWidth="1"/>
    <col min="5" max="5" width="15" customWidth="1"/>
    <col min="13" max="13" width="10" bestFit="1" customWidth="1"/>
  </cols>
  <sheetData>
    <row r="1" spans="1:10" x14ac:dyDescent="0.3">
      <c r="A1" t="s">
        <v>141</v>
      </c>
      <c r="B1" t="s">
        <v>239</v>
      </c>
      <c r="D1" t="s">
        <v>143</v>
      </c>
    </row>
    <row r="2" spans="1:10" x14ac:dyDescent="0.3">
      <c r="A2" t="s">
        <v>141</v>
      </c>
      <c r="B2" t="s">
        <v>240</v>
      </c>
      <c r="D2" t="s">
        <v>143</v>
      </c>
    </row>
    <row r="3" spans="1:10" x14ac:dyDescent="0.3">
      <c r="A3" t="s">
        <v>141</v>
      </c>
      <c r="B3" t="s">
        <v>244</v>
      </c>
      <c r="C3" t="s">
        <v>344</v>
      </c>
      <c r="D3" t="s">
        <v>143</v>
      </c>
    </row>
    <row r="4" spans="1:10" x14ac:dyDescent="0.3">
      <c r="A4" t="s">
        <v>162</v>
      </c>
      <c r="B4" t="s">
        <v>246</v>
      </c>
      <c r="C4" t="s">
        <v>241</v>
      </c>
      <c r="D4" t="s">
        <v>144</v>
      </c>
      <c r="E4" t="s">
        <v>144</v>
      </c>
    </row>
    <row r="5" spans="1:10" x14ac:dyDescent="0.3">
      <c r="A5" t="s">
        <v>146</v>
      </c>
      <c r="B5" t="s">
        <v>146</v>
      </c>
      <c r="C5" t="s">
        <v>147</v>
      </c>
      <c r="D5" t="s">
        <v>148</v>
      </c>
    </row>
    <row r="6" spans="1:10" x14ac:dyDescent="0.3">
      <c r="A6" t="s">
        <v>149</v>
      </c>
      <c r="B6" t="s">
        <v>150</v>
      </c>
      <c r="C6" t="s">
        <v>151</v>
      </c>
      <c r="D6" t="s">
        <v>152</v>
      </c>
    </row>
    <row r="7" spans="1:10" x14ac:dyDescent="0.3">
      <c r="A7" t="s">
        <v>162</v>
      </c>
      <c r="B7" t="s">
        <v>246</v>
      </c>
      <c r="C7" t="s">
        <v>241</v>
      </c>
      <c r="D7" t="s">
        <v>144</v>
      </c>
      <c r="E7" t="s">
        <v>144</v>
      </c>
    </row>
    <row r="8" spans="1:10" x14ac:dyDescent="0.3">
      <c r="A8" t="s">
        <v>3</v>
      </c>
      <c r="E8" s="2">
        <f>+SUM(E9:E23)-SUM(E25:E129)</f>
        <v>-132450803.78333324</v>
      </c>
    </row>
    <row r="9" spans="1:10" x14ac:dyDescent="0.3">
      <c r="A9" t="s">
        <v>4</v>
      </c>
      <c r="E9">
        <f>-+'Profit Loss-Amravati-25-26'!G190</f>
        <v>57625101.016666718</v>
      </c>
    </row>
    <row r="10" spans="1:10" x14ac:dyDescent="0.3">
      <c r="A10">
        <v>21686</v>
      </c>
      <c r="B10" t="s">
        <v>176</v>
      </c>
      <c r="C10">
        <f t="shared" ref="C10:C23" si="0">+J10</f>
        <v>28044991</v>
      </c>
      <c r="E10">
        <f t="shared" ref="E10:E23" si="1">+C10</f>
        <v>28044991</v>
      </c>
      <c r="F10" t="str">
        <f>VLOOKUP(B10,'Profit Loss-Amravati-25-26'!$A$9:$H$187,1,0)</f>
        <v>SALE EXPORT (GARMENT))</v>
      </c>
      <c r="G10">
        <f>VLOOKUP(B10,'Profit Loss-Amravati-25-26'!$A$9:$H$187,7,0)</f>
        <v>28044991</v>
      </c>
      <c r="H10">
        <f t="shared" ref="H10:H41" si="2">+C10-G10</f>
        <v>0</v>
      </c>
      <c r="J10">
        <v>28044991</v>
      </c>
    </row>
    <row r="11" spans="1:10" x14ac:dyDescent="0.3">
      <c r="A11">
        <v>701</v>
      </c>
      <c r="B11" t="s">
        <v>178</v>
      </c>
      <c r="C11">
        <f t="shared" si="0"/>
        <v>185950</v>
      </c>
      <c r="E11">
        <f t="shared" si="1"/>
        <v>185950</v>
      </c>
      <c r="F11" t="str">
        <f>VLOOKUP(B11,'Profit Loss-Amravati-25-26'!$A$9:$H$187,1,0)</f>
        <v>SALE LOCAL</v>
      </c>
      <c r="G11">
        <f>VLOOKUP(B11,'Profit Loss-Amravati-25-26'!$A$9:$H$187,7,0)</f>
        <v>185950</v>
      </c>
      <c r="H11">
        <f t="shared" si="2"/>
        <v>0</v>
      </c>
      <c r="J11">
        <v>185950</v>
      </c>
    </row>
    <row r="12" spans="1:10" x14ac:dyDescent="0.3">
      <c r="A12">
        <v>16905</v>
      </c>
      <c r="B12" t="s">
        <v>177</v>
      </c>
      <c r="C12">
        <f t="shared" si="0"/>
        <v>226620149.49000001</v>
      </c>
      <c r="E12">
        <f t="shared" si="1"/>
        <v>226620149.49000001</v>
      </c>
      <c r="F12" t="str">
        <f>VLOOKUP(B12,'Profit Loss-Amravati-25-26'!$A$9:$H$187,1,0)</f>
        <v>SALE LOCAL (GARMENT)</v>
      </c>
      <c r="G12">
        <f>VLOOKUP(B12,'Profit Loss-Amravati-25-26'!$A$9:$H$187,7,0)</f>
        <v>226620149.49000001</v>
      </c>
      <c r="H12">
        <f t="shared" si="2"/>
        <v>0</v>
      </c>
      <c r="J12">
        <v>226620149.49000001</v>
      </c>
    </row>
    <row r="13" spans="1:10" x14ac:dyDescent="0.3">
      <c r="A13">
        <v>26282</v>
      </c>
      <c r="B13" t="s">
        <v>247</v>
      </c>
      <c r="C13">
        <f t="shared" si="0"/>
        <v>21860</v>
      </c>
      <c r="E13">
        <f t="shared" si="1"/>
        <v>21860</v>
      </c>
      <c r="F13" t="str">
        <f>VLOOKUP(B13,'Profit Loss-Amravati-25-26'!$A$9:$H$187,1,0)</f>
        <v>SALE LOCAL - MISCELLANEOUS ITEMS</v>
      </c>
      <c r="G13">
        <f>VLOOKUP(B13,'Profit Loss-Amravati-25-26'!$A$9:$H$187,7,0)</f>
        <v>21860</v>
      </c>
      <c r="H13">
        <f t="shared" si="2"/>
        <v>0</v>
      </c>
      <c r="J13">
        <v>21860</v>
      </c>
    </row>
    <row r="14" spans="1:10" x14ac:dyDescent="0.3">
      <c r="A14">
        <v>35115</v>
      </c>
      <c r="B14" t="s">
        <v>179</v>
      </c>
      <c r="C14">
        <f t="shared" si="0"/>
        <v>4008793</v>
      </c>
      <c r="E14">
        <f t="shared" si="1"/>
        <v>4008793</v>
      </c>
      <c r="F14" t="str">
        <f>VLOOKUP(B14,'Profit Loss-Amravati-25-26'!$A$9:$H$187,1,0)</f>
        <v>SALE TRADING - LOCAL - FABRIC</v>
      </c>
      <c r="G14">
        <f>VLOOKUP(B14,'Profit Loss-Amravati-25-26'!$A$9:$H$187,7,0)</f>
        <v>4008793</v>
      </c>
      <c r="H14">
        <f t="shared" si="2"/>
        <v>0</v>
      </c>
      <c r="J14">
        <v>4008793</v>
      </c>
    </row>
    <row r="15" spans="1:10" x14ac:dyDescent="0.3">
      <c r="A15">
        <v>35116</v>
      </c>
      <c r="B15" t="s">
        <v>345</v>
      </c>
      <c r="C15">
        <f t="shared" si="0"/>
        <v>1961392</v>
      </c>
      <c r="E15">
        <f t="shared" si="1"/>
        <v>1961392</v>
      </c>
      <c r="F15" t="str">
        <f>VLOOKUP(B15,'Profit Loss-Amravati-25-26'!$A$9:$H$187,1,0)</f>
        <v>SALE TRADING - LOCAL - GARMENT</v>
      </c>
      <c r="G15">
        <f>VLOOKUP(B15,'Profit Loss-Amravati-25-26'!$A$9:$H$187,7,0)</f>
        <v>1961392</v>
      </c>
      <c r="H15">
        <f t="shared" si="2"/>
        <v>0</v>
      </c>
      <c r="J15">
        <v>1961392</v>
      </c>
    </row>
    <row r="16" spans="1:10" x14ac:dyDescent="0.3">
      <c r="A16">
        <v>1015</v>
      </c>
      <c r="B16" t="s">
        <v>120</v>
      </c>
      <c r="C16">
        <f t="shared" si="0"/>
        <v>168256.52</v>
      </c>
      <c r="E16">
        <f t="shared" si="1"/>
        <v>168256.52</v>
      </c>
      <c r="F16" t="str">
        <f>VLOOKUP(B16,'Profit Loss-Amravati-25-26'!$A$9:$H$187,1,0)</f>
        <v>DIFF.IN FOREIGN CURR.</v>
      </c>
      <c r="G16">
        <f>VLOOKUP(B16,'Profit Loss-Amravati-25-26'!$A$9:$H$187,7,0)</f>
        <v>168256.52</v>
      </c>
      <c r="H16">
        <f t="shared" si="2"/>
        <v>0</v>
      </c>
      <c r="J16">
        <v>168256.52</v>
      </c>
    </row>
    <row r="17" spans="1:10" x14ac:dyDescent="0.3">
      <c r="A17">
        <v>1002</v>
      </c>
      <c r="B17" t="s">
        <v>28</v>
      </c>
      <c r="C17">
        <f t="shared" si="0"/>
        <v>316074</v>
      </c>
      <c r="E17">
        <f t="shared" si="1"/>
        <v>316074</v>
      </c>
      <c r="F17" t="str">
        <f>VLOOKUP(B17,'Profit Loss-Amravati-25-26'!$A$9:$H$187,1,0)</f>
        <v>DEPB LICENCE SALE</v>
      </c>
      <c r="G17">
        <f>VLOOKUP(B17,'Profit Loss-Amravati-25-26'!$A$9:$H$187,7,0)</f>
        <v>316074</v>
      </c>
      <c r="H17">
        <f t="shared" si="2"/>
        <v>0</v>
      </c>
      <c r="J17">
        <v>316074</v>
      </c>
    </row>
    <row r="18" spans="1:10" x14ac:dyDescent="0.3">
      <c r="A18">
        <v>1201</v>
      </c>
      <c r="B18" t="s">
        <v>30</v>
      </c>
      <c r="C18">
        <f t="shared" si="0"/>
        <v>790811</v>
      </c>
      <c r="E18">
        <f t="shared" si="1"/>
        <v>790811</v>
      </c>
      <c r="F18" t="str">
        <f>VLOOKUP(B18,'Profit Loss-Amravati-25-26'!$A$9:$H$187,1,0)</f>
        <v>DUTY DRAWBACK RECEIVED</v>
      </c>
      <c r="G18">
        <f>VLOOKUP(B18,'Profit Loss-Amravati-25-26'!$A$9:$H$187,7,0)</f>
        <v>836371</v>
      </c>
      <c r="H18">
        <f t="shared" si="2"/>
        <v>-45560</v>
      </c>
      <c r="J18">
        <v>790811</v>
      </c>
    </row>
    <row r="19" spans="1:10" x14ac:dyDescent="0.3">
      <c r="A19">
        <v>1227</v>
      </c>
      <c r="B19" t="s">
        <v>182</v>
      </c>
      <c r="C19">
        <f t="shared" si="0"/>
        <v>2117005</v>
      </c>
      <c r="E19">
        <f t="shared" si="1"/>
        <v>2117005</v>
      </c>
      <c r="F19" t="str">
        <f>VLOOKUP(B19,'Profit Loss-Amravati-25-26'!$A$9:$H$187,1,0)</f>
        <v>SALE FABRIC WASTE</v>
      </c>
      <c r="G19">
        <f>VLOOKUP(B19,'Profit Loss-Amravati-25-26'!$A$9:$H$187,7,0)</f>
        <v>2117005</v>
      </c>
      <c r="H19">
        <f t="shared" si="2"/>
        <v>0</v>
      </c>
      <c r="J19">
        <v>2117005</v>
      </c>
    </row>
    <row r="20" spans="1:10" x14ac:dyDescent="0.3">
      <c r="A20">
        <v>703</v>
      </c>
      <c r="B20" t="s">
        <v>181</v>
      </c>
      <c r="C20">
        <f t="shared" si="0"/>
        <v>155784</v>
      </c>
      <c r="E20">
        <f t="shared" si="1"/>
        <v>155784</v>
      </c>
      <c r="F20" t="str">
        <f>VLOOKUP(B20,'Profit Loss-Amravati-25-26'!$A$9:$H$187,1,0)</f>
        <v>SALE SCRAP</v>
      </c>
      <c r="G20">
        <f>VLOOKUP(B20,'Profit Loss-Amravati-25-26'!$A$9:$H$187,7,0)</f>
        <v>155784</v>
      </c>
      <c r="H20">
        <f t="shared" si="2"/>
        <v>0</v>
      </c>
      <c r="J20">
        <v>155784</v>
      </c>
    </row>
    <row r="21" spans="1:10" x14ac:dyDescent="0.3">
      <c r="A21">
        <v>1011</v>
      </c>
      <c r="B21" t="s">
        <v>119</v>
      </c>
      <c r="C21">
        <f t="shared" si="0"/>
        <v>640</v>
      </c>
      <c r="E21">
        <f t="shared" si="1"/>
        <v>640</v>
      </c>
      <c r="F21" t="str">
        <f>VLOOKUP(B21,'Profit Loss-Amravati-25-26'!$A$9:$H$187,1,0)</f>
        <v>DISCOUNT RECEIVED</v>
      </c>
      <c r="G21">
        <f>VLOOKUP(B21,'Profit Loss-Amravati-25-26'!$A$9:$H$187,7,0)</f>
        <v>640</v>
      </c>
      <c r="H21">
        <f t="shared" si="2"/>
        <v>0</v>
      </c>
      <c r="J21">
        <v>640</v>
      </c>
    </row>
    <row r="22" spans="1:10" x14ac:dyDescent="0.3">
      <c r="A22">
        <v>1022</v>
      </c>
      <c r="B22" t="s">
        <v>276</v>
      </c>
      <c r="C22">
        <f t="shared" si="0"/>
        <v>1</v>
      </c>
      <c r="E22">
        <f t="shared" si="1"/>
        <v>1</v>
      </c>
      <c r="F22" t="e">
        <f>VLOOKUP(B22,'Profit Loss-Amravati-25-26'!$A$9:$H$187,1,0)</f>
        <v>#N/A</v>
      </c>
      <c r="G22" t="e">
        <f>VLOOKUP(B22,'Profit Loss-Amravati-25-26'!$A$9:$H$187,7,0)</f>
        <v>#N/A</v>
      </c>
      <c r="H22" t="e">
        <f t="shared" si="2"/>
        <v>#N/A</v>
      </c>
      <c r="J22">
        <v>1</v>
      </c>
    </row>
    <row r="23" spans="1:10" x14ac:dyDescent="0.3">
      <c r="A23">
        <v>1016</v>
      </c>
      <c r="B23" t="s">
        <v>124</v>
      </c>
      <c r="C23">
        <f t="shared" si="0"/>
        <v>1280</v>
      </c>
      <c r="E23">
        <f t="shared" si="1"/>
        <v>1280</v>
      </c>
      <c r="F23" t="str">
        <f>VLOOKUP(B23,'Profit Loss-Amravati-25-26'!$A$9:$H$187,1,0)</f>
        <v>SUNDRY CREDITORS WRITTEN BACK</v>
      </c>
      <c r="G23">
        <f>VLOOKUP(B23,'Profit Loss-Amravati-25-26'!$A$9:$H$187,7,0)</f>
        <v>1280</v>
      </c>
      <c r="H23">
        <f t="shared" si="2"/>
        <v>0</v>
      </c>
      <c r="J23">
        <v>1280</v>
      </c>
    </row>
    <row r="24" spans="1:10" x14ac:dyDescent="0.3">
      <c r="A24" t="s">
        <v>165</v>
      </c>
      <c r="B24" t="s">
        <v>164</v>
      </c>
      <c r="C24">
        <f>SUM(C10:C23)</f>
        <v>264392987.01000002</v>
      </c>
      <c r="D24">
        <v>264392987.00999999</v>
      </c>
      <c r="F24" t="e">
        <f>VLOOKUP(B24,'Profit Loss-Amravati-25-26'!$A$9:$H$187,1,0)</f>
        <v>#N/A</v>
      </c>
      <c r="G24" t="e">
        <f>VLOOKUP(B24,'Profit Loss-Amravati-25-26'!$A$9:$H$187,7,0)</f>
        <v>#N/A</v>
      </c>
      <c r="H24" t="e">
        <f t="shared" si="2"/>
        <v>#N/A</v>
      </c>
    </row>
    <row r="25" spans="1:10" x14ac:dyDescent="0.3">
      <c r="A25">
        <v>1054</v>
      </c>
      <c r="B25" t="s">
        <v>305</v>
      </c>
      <c r="C25">
        <f t="shared" ref="C25:C56" si="3">+J25</f>
        <v>3508237.17</v>
      </c>
      <c r="E25">
        <f t="shared" ref="E25:E56" si="4">+C25</f>
        <v>3508237.17</v>
      </c>
      <c r="F25" t="e">
        <f>VLOOKUP(B25,'Profit Loss-Amravati-25-26'!$A$9:$H$187,1,0)</f>
        <v>#N/A</v>
      </c>
      <c r="G25" t="e">
        <f>VLOOKUP(B25,'Profit Loss-Amravati-25-26'!$A$9:$H$187,7,0)</f>
        <v>#N/A</v>
      </c>
      <c r="H25" t="e">
        <f t="shared" si="2"/>
        <v>#N/A</v>
      </c>
      <c r="J25">
        <v>3508237.17</v>
      </c>
    </row>
    <row r="26" spans="1:10" x14ac:dyDescent="0.3">
      <c r="A26">
        <v>1508</v>
      </c>
      <c r="B26" t="s">
        <v>306</v>
      </c>
      <c r="C26">
        <f t="shared" si="3"/>
        <v>9983215.9800000004</v>
      </c>
      <c r="E26">
        <f t="shared" si="4"/>
        <v>9983215.9800000004</v>
      </c>
      <c r="F26" t="e">
        <f>VLOOKUP(B26,'Profit Loss-Amravati-25-26'!$A$9:$H$187,1,0)</f>
        <v>#N/A</v>
      </c>
      <c r="G26" t="e">
        <f>VLOOKUP(B26,'Profit Loss-Amravati-25-26'!$A$9:$H$187,7,0)</f>
        <v>#N/A</v>
      </c>
      <c r="H26" t="e">
        <f t="shared" si="2"/>
        <v>#N/A</v>
      </c>
      <c r="J26">
        <v>9983215.9800000004</v>
      </c>
    </row>
    <row r="27" spans="1:10" x14ac:dyDescent="0.3">
      <c r="A27">
        <v>726</v>
      </c>
      <c r="B27" t="s">
        <v>307</v>
      </c>
      <c r="C27">
        <f t="shared" si="3"/>
        <v>57001475.630000003</v>
      </c>
      <c r="E27">
        <f t="shared" si="4"/>
        <v>57001475.630000003</v>
      </c>
      <c r="F27" t="e">
        <f>VLOOKUP(B27,'Profit Loss-Amravati-25-26'!$A$9:$H$187,1,0)</f>
        <v>#N/A</v>
      </c>
      <c r="G27" t="e">
        <f>VLOOKUP(B27,'Profit Loss-Amravati-25-26'!$A$9:$H$187,7,0)</f>
        <v>#N/A</v>
      </c>
      <c r="H27" t="e">
        <f t="shared" si="2"/>
        <v>#N/A</v>
      </c>
      <c r="J27">
        <v>57001475.630000003</v>
      </c>
    </row>
    <row r="28" spans="1:10" x14ac:dyDescent="0.3">
      <c r="A28">
        <v>31383</v>
      </c>
      <c r="B28" t="s">
        <v>308</v>
      </c>
      <c r="C28">
        <f t="shared" si="3"/>
        <v>81361572.290000007</v>
      </c>
      <c r="E28">
        <f t="shared" si="4"/>
        <v>81361572.290000007</v>
      </c>
      <c r="F28" t="e">
        <f>VLOOKUP(B28,'Profit Loss-Amravati-25-26'!$A$9:$H$187,1,0)</f>
        <v>#N/A</v>
      </c>
      <c r="G28" t="e">
        <f>VLOOKUP(B28,'Profit Loss-Amravati-25-26'!$A$9:$H$187,7,0)</f>
        <v>#N/A</v>
      </c>
      <c r="H28" t="e">
        <f t="shared" si="2"/>
        <v>#N/A</v>
      </c>
      <c r="J28">
        <v>81361572.290000007</v>
      </c>
    </row>
    <row r="29" spans="1:10" x14ac:dyDescent="0.3">
      <c r="A29">
        <v>35552</v>
      </c>
      <c r="B29" t="s">
        <v>309</v>
      </c>
      <c r="C29">
        <f t="shared" si="3"/>
        <v>10045740.779999999</v>
      </c>
      <c r="E29">
        <f t="shared" si="4"/>
        <v>10045740.779999999</v>
      </c>
      <c r="F29" t="e">
        <f>VLOOKUP(B29,'Profit Loss-Amravati-25-26'!$A$9:$H$187,1,0)</f>
        <v>#N/A</v>
      </c>
      <c r="G29" t="e">
        <f>VLOOKUP(B29,'Profit Loss-Amravati-25-26'!$A$9:$H$187,7,0)</f>
        <v>#N/A</v>
      </c>
      <c r="H29" t="e">
        <f t="shared" si="2"/>
        <v>#N/A</v>
      </c>
      <c r="J29">
        <v>10045740.779999999</v>
      </c>
    </row>
    <row r="30" spans="1:10" x14ac:dyDescent="0.3">
      <c r="A30">
        <v>36461</v>
      </c>
      <c r="B30" t="s">
        <v>310</v>
      </c>
      <c r="C30">
        <f t="shared" si="3"/>
        <v>155547</v>
      </c>
      <c r="E30">
        <f t="shared" si="4"/>
        <v>155547</v>
      </c>
      <c r="F30" t="e">
        <f>VLOOKUP(B30,'Profit Loss-Amravati-25-26'!$A$9:$H$187,1,0)</f>
        <v>#N/A</v>
      </c>
      <c r="G30" t="e">
        <f>VLOOKUP(B30,'Profit Loss-Amravati-25-26'!$A$9:$H$187,7,0)</f>
        <v>#N/A</v>
      </c>
      <c r="H30" t="e">
        <f t="shared" si="2"/>
        <v>#N/A</v>
      </c>
      <c r="J30">
        <v>155547</v>
      </c>
    </row>
    <row r="31" spans="1:10" x14ac:dyDescent="0.3">
      <c r="A31">
        <v>18670</v>
      </c>
      <c r="B31" t="s">
        <v>195</v>
      </c>
      <c r="C31">
        <f t="shared" si="3"/>
        <v>9026583</v>
      </c>
      <c r="E31">
        <f t="shared" si="4"/>
        <v>9026583</v>
      </c>
      <c r="F31" t="str">
        <f>VLOOKUP(B31,'Profit Loss-Amravati-25-26'!$A$9:$H$187,1,0)</f>
        <v>PURCHASE (JOB WORK) - INTER UNIT</v>
      </c>
      <c r="G31">
        <f>VLOOKUP(B31,'Profit Loss-Amravati-25-26'!$A$9:$H$187,7,0)</f>
        <v>9026583</v>
      </c>
      <c r="H31">
        <f t="shared" si="2"/>
        <v>0</v>
      </c>
      <c r="J31">
        <v>9026583</v>
      </c>
    </row>
    <row r="32" spans="1:10" x14ac:dyDescent="0.3">
      <c r="A32">
        <v>772</v>
      </c>
      <c r="B32" t="s">
        <v>198</v>
      </c>
      <c r="C32">
        <f t="shared" si="3"/>
        <v>324058.98</v>
      </c>
      <c r="E32">
        <f t="shared" si="4"/>
        <v>324058.98</v>
      </c>
      <c r="F32" t="str">
        <f>VLOOKUP(B32,'Profit Loss-Amravati-25-26'!$A$9:$H$187,1,0)</f>
        <v>CLEARING CHARGES ON IMPORT</v>
      </c>
      <c r="G32">
        <f>VLOOKUP(B32,'Profit Loss-Amravati-25-26'!$A$9:$H$187,7,0)</f>
        <v>324058.98</v>
      </c>
      <c r="H32">
        <f t="shared" si="2"/>
        <v>0</v>
      </c>
      <c r="J32">
        <v>324058.98</v>
      </c>
    </row>
    <row r="33" spans="1:13" x14ac:dyDescent="0.3">
      <c r="A33">
        <v>820</v>
      </c>
      <c r="B33" t="s">
        <v>69</v>
      </c>
      <c r="C33">
        <f t="shared" si="3"/>
        <v>109690</v>
      </c>
      <c r="E33">
        <f t="shared" si="4"/>
        <v>109690</v>
      </c>
      <c r="F33" t="str">
        <f>VLOOKUP(B33,'Profit Loss-Amravati-25-26'!$A$9:$H$187,1,0)</f>
        <v>COOLIE &amp; CARTAGE ON PURCHASE</v>
      </c>
      <c r="G33">
        <f>VLOOKUP(B33,'Profit Loss-Amravati-25-26'!$A$9:$H$187,7,0)</f>
        <v>109690</v>
      </c>
      <c r="H33">
        <f t="shared" si="2"/>
        <v>0</v>
      </c>
      <c r="J33">
        <v>109690</v>
      </c>
    </row>
    <row r="34" spans="1:13" x14ac:dyDescent="0.3">
      <c r="A34">
        <v>917</v>
      </c>
      <c r="B34" t="s">
        <v>44</v>
      </c>
      <c r="C34">
        <f t="shared" si="3"/>
        <v>28237</v>
      </c>
      <c r="E34">
        <f t="shared" si="4"/>
        <v>28237</v>
      </c>
      <c r="F34" t="str">
        <f>VLOOKUP(B34,'Profit Loss-Amravati-25-26'!$A$9:$H$187,1,0)</f>
        <v>CUSTOM DUTY ON IMPORT</v>
      </c>
      <c r="G34">
        <f>VLOOKUP(B34,'Profit Loss-Amravati-25-26'!$A$9:$H$187,7,0)</f>
        <v>28237</v>
      </c>
      <c r="H34">
        <f t="shared" si="2"/>
        <v>0</v>
      </c>
      <c r="J34">
        <v>28237</v>
      </c>
    </row>
    <row r="35" spans="1:13" x14ac:dyDescent="0.3">
      <c r="A35">
        <v>36603</v>
      </c>
      <c r="B35" t="s">
        <v>187</v>
      </c>
      <c r="C35">
        <v>396484.41</v>
      </c>
      <c r="E35">
        <f t="shared" si="4"/>
        <v>396484.41</v>
      </c>
      <c r="F35" t="str">
        <f>VLOOKUP(B35,'Profit Loss-Amravati-25-26'!$A$9:$H$187,1,0)</f>
        <v>DELIVERY CHARGES - PURCHASE- FABRIC</v>
      </c>
      <c r="G35">
        <f>VLOOKUP(B35,'Profit Loss-Amravati-25-26'!$A$9:$H$187,7,0)</f>
        <v>1060184.4099999999</v>
      </c>
      <c r="H35">
        <f t="shared" si="2"/>
        <v>-663700</v>
      </c>
      <c r="J35">
        <v>389002.41</v>
      </c>
    </row>
    <row r="36" spans="1:13" x14ac:dyDescent="0.3">
      <c r="A36">
        <v>36604</v>
      </c>
      <c r="B36" t="s">
        <v>188</v>
      </c>
      <c r="C36">
        <f t="shared" si="3"/>
        <v>1003214.07</v>
      </c>
      <c r="E36">
        <f t="shared" si="4"/>
        <v>1003214.07</v>
      </c>
      <c r="F36" t="str">
        <f>VLOOKUP(B36,'Profit Loss-Amravati-25-26'!$A$9:$H$187,1,0)</f>
        <v>DELIVERY CHARGES - PURCHASE-GARMENT</v>
      </c>
      <c r="G36">
        <f>VLOOKUP(B36,'Profit Loss-Amravati-25-26'!$A$9:$H$187,7,0)</f>
        <v>1291929.0699999998</v>
      </c>
      <c r="H36">
        <f t="shared" si="2"/>
        <v>-288714.99999999988</v>
      </c>
      <c r="J36">
        <v>1003214.07</v>
      </c>
    </row>
    <row r="37" spans="1:13" x14ac:dyDescent="0.3">
      <c r="A37">
        <v>20335</v>
      </c>
      <c r="B37" t="s">
        <v>39</v>
      </c>
      <c r="C37">
        <f t="shared" si="3"/>
        <v>246584</v>
      </c>
      <c r="E37">
        <f t="shared" si="4"/>
        <v>246584</v>
      </c>
      <c r="F37" t="str">
        <f>VLOOKUP(B37,'Profit Loss-Amravati-25-26'!$A$9:$H$187,1,0)</f>
        <v>DELIVERY CHARGES ON PURCHASES</v>
      </c>
      <c r="G37">
        <f>VLOOKUP(B37,'Profit Loss-Amravati-25-26'!$A$9:$H$187,7,0)</f>
        <v>246584</v>
      </c>
      <c r="H37">
        <f t="shared" si="2"/>
        <v>0</v>
      </c>
      <c r="J37">
        <v>246584</v>
      </c>
    </row>
    <row r="38" spans="1:13" x14ac:dyDescent="0.3">
      <c r="A38">
        <v>1400</v>
      </c>
      <c r="B38" t="s">
        <v>186</v>
      </c>
      <c r="C38">
        <f t="shared" si="3"/>
        <v>133738945.42</v>
      </c>
      <c r="E38">
        <f t="shared" si="4"/>
        <v>133738945.42</v>
      </c>
      <c r="F38" t="str">
        <f>VLOOKUP(B38,'Profit Loss-Amravati-25-26'!$A$9:$H$187,1,0)</f>
        <v>PURCHASE FABRICS &amp; HOSIERY LOCAL</v>
      </c>
      <c r="G38">
        <f>VLOOKUP(B38,'Profit Loss-Amravati-25-26'!$A$9:$H$187,7,0)</f>
        <v>134044395.42</v>
      </c>
      <c r="H38">
        <f t="shared" si="2"/>
        <v>-305450</v>
      </c>
      <c r="J38">
        <v>133738945.42</v>
      </c>
      <c r="M38" s="55"/>
    </row>
    <row r="39" spans="1:13" x14ac:dyDescent="0.3">
      <c r="A39">
        <v>875</v>
      </c>
      <c r="B39" t="s">
        <v>38</v>
      </c>
      <c r="C39">
        <f t="shared" si="3"/>
        <v>16255569.41</v>
      </c>
      <c r="E39">
        <f t="shared" si="4"/>
        <v>16255569.41</v>
      </c>
      <c r="F39" t="str">
        <f>VLOOKUP(B39,'Profit Loss-Amravati-25-26'!$A$9:$H$187,1,0)</f>
        <v>PURCHASE YARN - LOCAL</v>
      </c>
      <c r="G39">
        <f>VLOOKUP(B39,'Profit Loss-Amravati-25-26'!$A$9:$H$187,7,0)</f>
        <v>16255569.41</v>
      </c>
      <c r="H39">
        <f t="shared" si="2"/>
        <v>0</v>
      </c>
      <c r="J39">
        <v>16255569.41</v>
      </c>
    </row>
    <row r="40" spans="1:13" x14ac:dyDescent="0.3">
      <c r="A40">
        <v>35306</v>
      </c>
      <c r="B40" t="s">
        <v>346</v>
      </c>
      <c r="C40">
        <f t="shared" si="3"/>
        <v>20170</v>
      </c>
      <c r="E40">
        <f t="shared" si="4"/>
        <v>20170</v>
      </c>
      <c r="F40" t="str">
        <f>VLOOKUP(B40,'Profit Loss-Amravati-25-26'!$A$9:$H$187,1,0)</f>
        <v>PURCHASE FOR TRADING - (SCRAP)</v>
      </c>
      <c r="G40">
        <f>VLOOKUP(B40,'Profit Loss-Amravati-25-26'!$A$9:$H$187,7,0)</f>
        <v>0</v>
      </c>
      <c r="H40">
        <f t="shared" si="2"/>
        <v>20170</v>
      </c>
      <c r="J40">
        <v>20170</v>
      </c>
    </row>
    <row r="41" spans="1:13" x14ac:dyDescent="0.3">
      <c r="A41">
        <v>35921</v>
      </c>
      <c r="B41" t="s">
        <v>278</v>
      </c>
      <c r="C41">
        <f t="shared" si="3"/>
        <v>8460079</v>
      </c>
      <c r="E41">
        <f t="shared" si="4"/>
        <v>8460079</v>
      </c>
      <c r="F41" t="str">
        <f>VLOOKUP(B41,'Profit Loss-Amravati-25-26'!$A$9:$H$187,1,0)</f>
        <v>PURCHASE FOR TRADING - GARMENT</v>
      </c>
      <c r="G41">
        <f>VLOOKUP(B41,'Profit Loss-Amravati-25-26'!$A$9:$H$187,7,0)</f>
        <v>8460079</v>
      </c>
      <c r="H41">
        <f t="shared" si="2"/>
        <v>0</v>
      </c>
      <c r="J41">
        <v>8460079</v>
      </c>
    </row>
    <row r="42" spans="1:13" x14ac:dyDescent="0.3">
      <c r="A42">
        <v>25338</v>
      </c>
      <c r="B42" t="s">
        <v>193</v>
      </c>
      <c r="C42">
        <f t="shared" si="3"/>
        <v>8825</v>
      </c>
      <c r="E42">
        <f t="shared" si="4"/>
        <v>8825</v>
      </c>
      <c r="F42" t="str">
        <f>VLOOKUP(B42,'Profit Loss-Amravati-25-26'!$A$9:$H$187,1,0)</f>
        <v>PURCHASE STORE &amp; SPARES (FABRIC)</v>
      </c>
      <c r="G42">
        <f>VLOOKUP(B42,'Profit Loss-Amravati-25-26'!$A$9:$H$187,7,0)</f>
        <v>8825</v>
      </c>
      <c r="H42">
        <f t="shared" ref="H42:H73" si="5">+C42-G42</f>
        <v>0</v>
      </c>
      <c r="J42">
        <v>8825</v>
      </c>
    </row>
    <row r="43" spans="1:13" x14ac:dyDescent="0.3">
      <c r="A43">
        <v>36583</v>
      </c>
      <c r="B43" t="s">
        <v>200</v>
      </c>
      <c r="C43">
        <f t="shared" si="3"/>
        <v>470977.14</v>
      </c>
      <c r="E43">
        <f t="shared" si="4"/>
        <v>470977.14</v>
      </c>
      <c r="F43" t="str">
        <f>VLOOKUP(B43,'Profit Loss-Amravati-25-26'!$A$9:$H$187,1,0)</f>
        <v>ELECTRICAL ITEM - GARMENT</v>
      </c>
      <c r="G43">
        <f>VLOOKUP(B43,'Profit Loss-Amravati-25-26'!$A$9:$H$187,7,0)</f>
        <v>470977.14</v>
      </c>
      <c r="H43">
        <f t="shared" si="5"/>
        <v>0</v>
      </c>
      <c r="J43">
        <v>470977.14</v>
      </c>
    </row>
    <row r="44" spans="1:13" x14ac:dyDescent="0.3">
      <c r="A44">
        <v>818</v>
      </c>
      <c r="B44" t="s">
        <v>47</v>
      </c>
      <c r="C44">
        <f t="shared" si="3"/>
        <v>10511.88</v>
      </c>
      <c r="E44">
        <f t="shared" si="4"/>
        <v>10511.88</v>
      </c>
      <c r="F44" t="str">
        <f>VLOOKUP(B44,'Profit Loss-Amravati-25-26'!$A$9:$H$187,1,0)</f>
        <v>ELECTRICAL ITEMS</v>
      </c>
      <c r="G44">
        <f>VLOOKUP(B44,'Profit Loss-Amravati-25-26'!$A$9:$H$187,7,0)</f>
        <v>36893.879999999997</v>
      </c>
      <c r="H44">
        <f t="shared" si="5"/>
        <v>-26382</v>
      </c>
      <c r="J44">
        <v>10511.88</v>
      </c>
    </row>
    <row r="45" spans="1:13" x14ac:dyDescent="0.3">
      <c r="A45">
        <v>1612</v>
      </c>
      <c r="B45" t="s">
        <v>189</v>
      </c>
      <c r="C45">
        <f t="shared" si="3"/>
        <v>21620498.52</v>
      </c>
      <c r="E45">
        <f t="shared" si="4"/>
        <v>21620498.52</v>
      </c>
      <c r="F45" t="str">
        <f>VLOOKUP(B45,'Profit Loss-Amravati-25-26'!$A$9:$H$187,1,0)</f>
        <v>PUR. THREAD &amp; TRIM ITEMS</v>
      </c>
      <c r="G45">
        <f>VLOOKUP(B45,'Profit Loss-Amravati-25-26'!$A$9:$H$187,7,0)</f>
        <v>23264219.52</v>
      </c>
      <c r="H45">
        <f t="shared" si="5"/>
        <v>-1643721</v>
      </c>
      <c r="J45">
        <v>21620498.52</v>
      </c>
    </row>
    <row r="46" spans="1:13" x14ac:dyDescent="0.3">
      <c r="A46">
        <v>17864</v>
      </c>
      <c r="B46" t="s">
        <v>190</v>
      </c>
      <c r="C46">
        <f t="shared" si="3"/>
        <v>601204.02</v>
      </c>
      <c r="E46">
        <f t="shared" si="4"/>
        <v>601204.02</v>
      </c>
      <c r="F46" t="str">
        <f>VLOOKUP(B46,'Profit Loss-Amravati-25-26'!$A$9:$H$187,1,0)</f>
        <v>PUR. THREAD &amp; TRIM ITEMS- IMPORT</v>
      </c>
      <c r="G46">
        <f>VLOOKUP(B46,'Profit Loss-Amravati-25-26'!$A$9:$H$187,7,0)</f>
        <v>601204.02</v>
      </c>
      <c r="H46">
        <f t="shared" si="5"/>
        <v>0</v>
      </c>
      <c r="J46">
        <v>601204.02</v>
      </c>
    </row>
    <row r="47" spans="1:13" x14ac:dyDescent="0.3">
      <c r="A47">
        <v>815</v>
      </c>
      <c r="B47" t="s">
        <v>40</v>
      </c>
      <c r="C47">
        <f t="shared" si="3"/>
        <v>67930</v>
      </c>
      <c r="E47">
        <f t="shared" si="4"/>
        <v>67930</v>
      </c>
      <c r="F47" t="str">
        <f>VLOOKUP(B47,'Profit Loss-Amravati-25-26'!$A$9:$H$187,1,0)</f>
        <v>PURCHASE STORES &amp; SPARES</v>
      </c>
      <c r="G47">
        <f>VLOOKUP(B47,'Profit Loss-Amravati-25-26'!$A$9:$H$187,7,0)</f>
        <v>67930</v>
      </c>
      <c r="H47">
        <f t="shared" si="5"/>
        <v>0</v>
      </c>
      <c r="J47">
        <v>67930</v>
      </c>
    </row>
    <row r="48" spans="1:13" x14ac:dyDescent="0.3">
      <c r="A48">
        <v>25339</v>
      </c>
      <c r="B48" t="s">
        <v>192</v>
      </c>
      <c r="C48">
        <f t="shared" si="3"/>
        <v>1791425.38</v>
      </c>
      <c r="E48">
        <f t="shared" si="4"/>
        <v>1791425.38</v>
      </c>
      <c r="F48" t="str">
        <f>VLOOKUP(B48,'Profit Loss-Amravati-25-26'!$A$9:$H$187,1,0)</f>
        <v>PURCHASE STORES &amp; SPARES (GARMENT)</v>
      </c>
      <c r="G48">
        <f>VLOOKUP(B48,'Profit Loss-Amravati-25-26'!$A$9:$H$187,7,0)</f>
        <v>2347243.38</v>
      </c>
      <c r="H48">
        <f t="shared" si="5"/>
        <v>-555818</v>
      </c>
      <c r="J48">
        <v>1791425.38</v>
      </c>
    </row>
    <row r="49" spans="1:13" x14ac:dyDescent="0.3">
      <c r="A49">
        <v>25337</v>
      </c>
      <c r="B49" t="s">
        <v>42</v>
      </c>
      <c r="C49">
        <f t="shared" si="3"/>
        <v>17458837.260000002</v>
      </c>
      <c r="E49">
        <f t="shared" si="4"/>
        <v>17458837.260000002</v>
      </c>
      <c r="F49" t="str">
        <f>VLOOKUP(B49,'Profit Loss-Amravati-25-26'!$A$9:$H$187,1,0)</f>
        <v>PURCHASE PACKING MATERIAL (GARMENT)</v>
      </c>
      <c r="G49">
        <f>VLOOKUP(B49,'Profit Loss-Amravati-25-26'!$A$9:$H$187,7,0)</f>
        <v>18489486.260000002</v>
      </c>
      <c r="H49">
        <f t="shared" si="5"/>
        <v>-1030649</v>
      </c>
      <c r="J49">
        <v>17458837.260000002</v>
      </c>
    </row>
    <row r="50" spans="1:13" x14ac:dyDescent="0.3">
      <c r="A50">
        <v>30653</v>
      </c>
      <c r="B50" t="s">
        <v>191</v>
      </c>
      <c r="C50">
        <f t="shared" si="3"/>
        <v>261205.55</v>
      </c>
      <c r="E50">
        <f t="shared" si="4"/>
        <v>261205.55</v>
      </c>
      <c r="F50" t="str">
        <f>VLOOKUP(B50,'Profit Loss-Amravati-25-26'!$A$9:$H$187,1,0)</f>
        <v>PURCHASE PACKING MATERIAL-(IMPORT)</v>
      </c>
      <c r="G50">
        <f>VLOOKUP(B50,'Profit Loss-Amravati-25-26'!$A$9:$H$187,7,0)</f>
        <v>261205.55</v>
      </c>
      <c r="H50">
        <f t="shared" si="5"/>
        <v>0</v>
      </c>
      <c r="J50">
        <v>261205.55</v>
      </c>
    </row>
    <row r="51" spans="1:13" x14ac:dyDescent="0.3">
      <c r="A51">
        <v>937</v>
      </c>
      <c r="B51" t="s">
        <v>58</v>
      </c>
      <c r="C51">
        <f t="shared" si="3"/>
        <v>4930</v>
      </c>
      <c r="E51">
        <f t="shared" si="4"/>
        <v>4930</v>
      </c>
      <c r="F51" t="str">
        <f>VLOOKUP(B51,'Profit Loss-Amravati-25-26'!$A$9:$H$187,1,0)</f>
        <v>ELECTRICITY CHARGES</v>
      </c>
      <c r="G51">
        <f>VLOOKUP(B51,'Profit Loss-Amravati-25-26'!$A$9:$H$187,7,0)</f>
        <v>4930</v>
      </c>
      <c r="H51">
        <f t="shared" si="5"/>
        <v>0</v>
      </c>
      <c r="J51">
        <v>4930</v>
      </c>
    </row>
    <row r="52" spans="1:13" x14ac:dyDescent="0.3">
      <c r="A52">
        <v>809</v>
      </c>
      <c r="B52" t="s">
        <v>46</v>
      </c>
      <c r="C52">
        <f t="shared" si="3"/>
        <v>-3110</v>
      </c>
      <c r="E52">
        <f t="shared" si="4"/>
        <v>-3110</v>
      </c>
      <c r="F52" t="str">
        <f>VLOOKUP(B52,'Profit Loss-Amravati-25-26'!$A$9:$H$187,1,0)</f>
        <v>POWER</v>
      </c>
      <c r="G52">
        <f>VLOOKUP(B52,'Profit Loss-Amravati-25-26'!$A$9:$H$187,7,0)</f>
        <v>-3110</v>
      </c>
      <c r="H52">
        <f t="shared" si="5"/>
        <v>0</v>
      </c>
      <c r="J52">
        <v>-3110</v>
      </c>
    </row>
    <row r="53" spans="1:13" x14ac:dyDescent="0.3">
      <c r="A53">
        <v>849</v>
      </c>
      <c r="B53" t="s">
        <v>201</v>
      </c>
      <c r="C53">
        <f t="shared" si="3"/>
        <v>698450.46</v>
      </c>
      <c r="E53">
        <f t="shared" si="4"/>
        <v>698450.46</v>
      </c>
      <c r="F53" t="str">
        <f>VLOOKUP(B53,'Profit Loss-Amravati-25-26'!$A$9:$H$187,1,0)</f>
        <v>LABOUR CHARGES</v>
      </c>
      <c r="G53">
        <f>VLOOKUP(B53,'Profit Loss-Amravati-25-26'!$A$9:$H$187,7,0)</f>
        <v>698450.46</v>
      </c>
      <c r="H53">
        <f t="shared" si="5"/>
        <v>0</v>
      </c>
      <c r="J53">
        <v>698450.46</v>
      </c>
    </row>
    <row r="54" spans="1:13" x14ac:dyDescent="0.3">
      <c r="A54">
        <v>28769</v>
      </c>
      <c r="B54" t="s">
        <v>60</v>
      </c>
      <c r="C54">
        <f t="shared" si="3"/>
        <v>5775</v>
      </c>
      <c r="E54">
        <f t="shared" si="4"/>
        <v>5775</v>
      </c>
      <c r="F54" t="str">
        <f>VLOOKUP(B54,'Profit Loss-Amravati-25-26'!$A$9:$H$187,1,0)</f>
        <v>CRANE HIRE CHARGES</v>
      </c>
      <c r="G54">
        <f>VLOOKUP(B54,'Profit Loss-Amravati-25-26'!$A$9:$H$187,7,0)</f>
        <v>5775</v>
      </c>
      <c r="H54">
        <f t="shared" si="5"/>
        <v>0</v>
      </c>
      <c r="J54">
        <v>5775</v>
      </c>
    </row>
    <row r="55" spans="1:13" x14ac:dyDescent="0.3">
      <c r="A55">
        <v>970</v>
      </c>
      <c r="B55" t="s">
        <v>55</v>
      </c>
      <c r="C55">
        <f t="shared" si="3"/>
        <v>773208.5</v>
      </c>
      <c r="E55">
        <f t="shared" si="4"/>
        <v>773208.5</v>
      </c>
      <c r="F55" t="str">
        <f>VLOOKUP(B55,'Profit Loss-Amravati-25-26'!$A$9:$H$187,1,0)</f>
        <v>INSPECTION/TESTING</v>
      </c>
      <c r="G55">
        <f>VLOOKUP(B55,'Profit Loss-Amravati-25-26'!$A$9:$H$187,7,0)</f>
        <v>789858.5</v>
      </c>
      <c r="H55">
        <f t="shared" si="5"/>
        <v>-16650</v>
      </c>
      <c r="J55">
        <v>773208.5</v>
      </c>
    </row>
    <row r="56" spans="1:13" x14ac:dyDescent="0.3">
      <c r="A56">
        <v>801</v>
      </c>
      <c r="B56" t="s">
        <v>199</v>
      </c>
      <c r="C56">
        <f t="shared" si="3"/>
        <v>7727324.5999999996</v>
      </c>
      <c r="E56">
        <f t="shared" si="4"/>
        <v>7727324.5999999996</v>
      </c>
      <c r="F56" t="str">
        <f>VLOOKUP(B56,'Profit Loss-Amravati-25-26'!$A$9:$H$187,1,0)</f>
        <v>JOB WORK</v>
      </c>
      <c r="G56">
        <f>VLOOKUP(B56,'Profit Loss-Amravati-25-26'!$A$9:$H$187,7,0)</f>
        <v>7942144.5999999996</v>
      </c>
      <c r="H56">
        <f t="shared" si="5"/>
        <v>-214820</v>
      </c>
      <c r="J56">
        <v>7727324.5999999996</v>
      </c>
    </row>
    <row r="57" spans="1:13" x14ac:dyDescent="0.3">
      <c r="A57">
        <v>781</v>
      </c>
      <c r="B57" t="s">
        <v>62</v>
      </c>
      <c r="C57">
        <f t="shared" ref="C57:C88" si="6">+J57</f>
        <v>30023.599999999999</v>
      </c>
      <c r="E57">
        <f t="shared" ref="E57:E88" si="7">+C57</f>
        <v>30023.599999999999</v>
      </c>
      <c r="F57" t="str">
        <f>VLOOKUP(B57,'Profit Loss-Amravati-25-26'!$A$9:$H$187,1,0)</f>
        <v>POLLUTION CONTROL EXPENSES</v>
      </c>
      <c r="G57">
        <f>VLOOKUP(B57,'Profit Loss-Amravati-25-26'!$A$9:$H$187,7,0)</f>
        <v>13356.933333333331</v>
      </c>
      <c r="H57">
        <f t="shared" si="5"/>
        <v>16666.666666666668</v>
      </c>
      <c r="J57">
        <v>30023.599999999999</v>
      </c>
    </row>
    <row r="58" spans="1:13" x14ac:dyDescent="0.3">
      <c r="A58">
        <v>902</v>
      </c>
      <c r="B58" t="s">
        <v>45</v>
      </c>
      <c r="C58">
        <f t="shared" si="6"/>
        <v>1198</v>
      </c>
      <c r="E58">
        <f t="shared" si="7"/>
        <v>1198</v>
      </c>
      <c r="F58" t="str">
        <f>VLOOKUP(B58,'Profit Loss-Amravati-25-26'!$A$9:$H$187,1,0)</f>
        <v>WATER CHARGES</v>
      </c>
      <c r="G58">
        <f>VLOOKUP(B58,'Profit Loss-Amravati-25-26'!$A$9:$H$187,7,0)</f>
        <v>1198</v>
      </c>
      <c r="H58">
        <f t="shared" si="5"/>
        <v>0</v>
      </c>
      <c r="J58">
        <v>1198</v>
      </c>
    </row>
    <row r="59" spans="1:13" x14ac:dyDescent="0.3">
      <c r="A59">
        <v>909</v>
      </c>
      <c r="B59" t="s">
        <v>16</v>
      </c>
      <c r="C59">
        <f t="shared" si="6"/>
        <v>8634</v>
      </c>
      <c r="E59">
        <f t="shared" si="7"/>
        <v>8634</v>
      </c>
      <c r="F59" t="str">
        <f>VLOOKUP(B59,'Profit Loss-Amravati-25-26'!$A$9:$H$187,1,0)</f>
        <v>CLEARING CHARGES ON EXPORT</v>
      </c>
      <c r="G59">
        <f>VLOOKUP(B59,'Profit Loss-Amravati-25-26'!$A$9:$H$187,7,0)</f>
        <v>0</v>
      </c>
      <c r="H59">
        <f t="shared" si="5"/>
        <v>8634</v>
      </c>
      <c r="J59">
        <v>8634</v>
      </c>
    </row>
    <row r="60" spans="1:13" x14ac:dyDescent="0.3">
      <c r="A60">
        <v>918</v>
      </c>
      <c r="B60" t="s">
        <v>13</v>
      </c>
      <c r="C60">
        <f t="shared" si="6"/>
        <v>18950</v>
      </c>
      <c r="E60">
        <f t="shared" si="7"/>
        <v>18950</v>
      </c>
      <c r="F60" t="str">
        <f>VLOOKUP(B60,'Profit Loss-Amravati-25-26'!$A$9:$H$187,1,0)</f>
        <v>DOCUMENTATION CHARGES</v>
      </c>
      <c r="G60">
        <f>VLOOKUP(B60,'Profit Loss-Amravati-25-26'!$A$9:$H$187,7,0)</f>
        <v>0</v>
      </c>
      <c r="H60">
        <f t="shared" si="5"/>
        <v>18950</v>
      </c>
      <c r="J60">
        <v>18950</v>
      </c>
    </row>
    <row r="61" spans="1:13" x14ac:dyDescent="0.3">
      <c r="A61">
        <v>907</v>
      </c>
      <c r="B61" t="s">
        <v>14</v>
      </c>
      <c r="C61">
        <f t="shared" si="6"/>
        <v>-2882856</v>
      </c>
      <c r="E61">
        <f t="shared" si="7"/>
        <v>-2882856</v>
      </c>
      <c r="F61" t="str">
        <f>VLOOKUP(B61,'Profit Loss-Amravati-25-26'!$A$9:$H$187,1,0)</f>
        <v>FREIGHT ON EXPORT</v>
      </c>
      <c r="G61">
        <f>VLOOKUP(B61,'Profit Loss-Amravati-25-26'!$A$9:$H$187,7,0)</f>
        <v>0</v>
      </c>
      <c r="H61">
        <f t="shared" si="5"/>
        <v>-2882856</v>
      </c>
      <c r="J61">
        <v>-2882856</v>
      </c>
    </row>
    <row r="62" spans="1:13" x14ac:dyDescent="0.3">
      <c r="A62">
        <v>27281</v>
      </c>
      <c r="B62" t="s">
        <v>180</v>
      </c>
      <c r="C62">
        <f t="shared" si="6"/>
        <v>146565.22</v>
      </c>
      <c r="E62">
        <f t="shared" si="7"/>
        <v>146565.22</v>
      </c>
      <c r="F62" t="str">
        <f>VLOOKUP(B62,'Profit Loss-Amravati-25-26'!$A$9:$H$187,1,0)</f>
        <v>FREIGHT ON EXPORT - (AIR)</v>
      </c>
      <c r="G62">
        <f>VLOOKUP(B62,'Profit Loss-Amravati-25-26'!$A$9:$H$187,7,0)</f>
        <v>0</v>
      </c>
      <c r="H62">
        <f t="shared" si="5"/>
        <v>146565.22</v>
      </c>
      <c r="J62">
        <v>146565.22</v>
      </c>
    </row>
    <row r="63" spans="1:13" x14ac:dyDescent="0.3">
      <c r="A63">
        <v>908</v>
      </c>
      <c r="B63" t="s">
        <v>15</v>
      </c>
      <c r="C63">
        <f t="shared" si="6"/>
        <v>82254</v>
      </c>
      <c r="E63">
        <f t="shared" si="7"/>
        <v>82254</v>
      </c>
      <c r="F63" t="str">
        <f>VLOOKUP(B63,'Profit Loss-Amravati-25-26'!$A$9:$H$187,1,0)</f>
        <v>TERMINAL HANDLING CHARGES</v>
      </c>
      <c r="G63">
        <f>VLOOKUP(B63,'Profit Loss-Amravati-25-26'!$A$9:$H$187,7,0)</f>
        <v>0</v>
      </c>
      <c r="H63">
        <f t="shared" si="5"/>
        <v>82254</v>
      </c>
      <c r="J63">
        <v>82254</v>
      </c>
    </row>
    <row r="64" spans="1:13" x14ac:dyDescent="0.3">
      <c r="A64">
        <v>36614</v>
      </c>
      <c r="B64" t="s">
        <v>11</v>
      </c>
      <c r="C64">
        <f t="shared" si="6"/>
        <v>968646.44</v>
      </c>
      <c r="E64">
        <f t="shared" si="7"/>
        <v>968646.44</v>
      </c>
      <c r="F64" t="str">
        <f>VLOOKUP(B64,'Profit Loss-Amravati-25-26'!$A$9:$H$187,1,0)</f>
        <v>DELIVERY CHARGES  ON SALE -GARMENT</v>
      </c>
      <c r="G64">
        <f>VLOOKUP(B64,'Profit Loss-Amravati-25-26'!$A$9:$H$187,7,0)</f>
        <v>1717980.44</v>
      </c>
      <c r="H64">
        <f t="shared" si="5"/>
        <v>-749334</v>
      </c>
      <c r="J64">
        <v>968646.44</v>
      </c>
      <c r="M64" s="55"/>
    </row>
    <row r="65" spans="1:10" x14ac:dyDescent="0.3">
      <c r="A65">
        <v>20336</v>
      </c>
      <c r="B65" t="s">
        <v>12</v>
      </c>
      <c r="C65">
        <f t="shared" si="6"/>
        <v>2127886.2400000002</v>
      </c>
      <c r="E65">
        <f t="shared" si="7"/>
        <v>2127886.2400000002</v>
      </c>
      <c r="F65" t="str">
        <f>VLOOKUP(B65,'Profit Loss-Amravati-25-26'!$A$9:$H$187,1,0)</f>
        <v>DELIVERY CHARGES ON SALES</v>
      </c>
      <c r="G65">
        <f>VLOOKUP(B65,'Profit Loss-Amravati-25-26'!$A$9:$H$187,7,0)</f>
        <v>2209530.2400000002</v>
      </c>
      <c r="H65">
        <f t="shared" si="5"/>
        <v>-81644</v>
      </c>
      <c r="J65">
        <v>2127886.2400000002</v>
      </c>
    </row>
    <row r="66" spans="1:10" x14ac:dyDescent="0.3">
      <c r="A66">
        <v>817</v>
      </c>
      <c r="B66" t="s">
        <v>21</v>
      </c>
      <c r="C66">
        <f t="shared" si="6"/>
        <v>1170</v>
      </c>
      <c r="E66">
        <f t="shared" si="7"/>
        <v>1170</v>
      </c>
      <c r="F66" t="str">
        <f>VLOOKUP(B66,'Profit Loss-Amravati-25-26'!$A$9:$H$187,1,0)</f>
        <v>PACKING EXPENSES</v>
      </c>
      <c r="G66">
        <f>VLOOKUP(B66,'Profit Loss-Amravati-25-26'!$A$9:$H$187,7,0)</f>
        <v>1170</v>
      </c>
      <c r="H66">
        <f t="shared" si="5"/>
        <v>0</v>
      </c>
      <c r="J66">
        <v>1170</v>
      </c>
    </row>
    <row r="67" spans="1:10" x14ac:dyDescent="0.3">
      <c r="A67">
        <v>931</v>
      </c>
      <c r="B67" t="s">
        <v>196</v>
      </c>
      <c r="C67">
        <f t="shared" si="6"/>
        <v>1145</v>
      </c>
      <c r="E67">
        <f t="shared" si="7"/>
        <v>1145</v>
      </c>
      <c r="F67" t="str">
        <f>VLOOKUP(B67,'Profit Loss-Amravati-25-26'!$A$9:$H$187,1,0)</f>
        <v>ADVERTISEMENT EXPENSE</v>
      </c>
      <c r="G67">
        <f>VLOOKUP(B67,'Profit Loss-Amravati-25-26'!$A$9:$H$187,7,0)</f>
        <v>1145</v>
      </c>
      <c r="H67">
        <f t="shared" si="5"/>
        <v>0</v>
      </c>
      <c r="J67">
        <v>1145</v>
      </c>
    </row>
    <row r="68" spans="1:10" x14ac:dyDescent="0.3">
      <c r="A68">
        <v>933</v>
      </c>
      <c r="B68" t="s">
        <v>231</v>
      </c>
      <c r="C68">
        <f t="shared" si="6"/>
        <v>576</v>
      </c>
      <c r="E68">
        <f t="shared" si="7"/>
        <v>576</v>
      </c>
      <c r="F68" t="str">
        <f>VLOOKUP(B68,'Profit Loss-Amravati-25-26'!$A$9:$H$187,1,0)</f>
        <v>SALES PROMOTION</v>
      </c>
      <c r="G68">
        <f>VLOOKUP(B68,'Profit Loss-Amravati-25-26'!$A$9:$H$187,7,0)</f>
        <v>576</v>
      </c>
      <c r="H68">
        <f t="shared" si="5"/>
        <v>0</v>
      </c>
      <c r="J68">
        <v>576</v>
      </c>
    </row>
    <row r="69" spans="1:10" x14ac:dyDescent="0.3">
      <c r="A69">
        <v>962</v>
      </c>
      <c r="B69" t="s">
        <v>61</v>
      </c>
      <c r="C69">
        <f t="shared" si="6"/>
        <v>1111517</v>
      </c>
      <c r="E69">
        <f t="shared" si="7"/>
        <v>1111517</v>
      </c>
      <c r="F69" t="str">
        <f>VLOOKUP(B69,'Profit Loss-Amravati-25-26'!$A$9:$H$187,1,0)</f>
        <v>CONSULTANCY CHARGES</v>
      </c>
      <c r="G69">
        <f>VLOOKUP(B69,'Profit Loss-Amravati-25-26'!$A$9:$H$187,7,0)</f>
        <v>1274785</v>
      </c>
      <c r="H69">
        <f t="shared" si="5"/>
        <v>-163268</v>
      </c>
      <c r="J69">
        <v>1111517</v>
      </c>
    </row>
    <row r="70" spans="1:10" x14ac:dyDescent="0.3">
      <c r="A70">
        <v>961</v>
      </c>
      <c r="B70" t="s">
        <v>91</v>
      </c>
      <c r="C70">
        <f t="shared" si="6"/>
        <v>1321394.29</v>
      </c>
      <c r="E70">
        <f t="shared" si="7"/>
        <v>1321394.29</v>
      </c>
      <c r="F70" t="str">
        <f>VLOOKUP(B70,'Profit Loss-Amravati-25-26'!$A$9:$H$187,1,0)</f>
        <v>PROFESSIONAL FEES</v>
      </c>
      <c r="G70">
        <f>VLOOKUP(B70,'Profit Loss-Amravati-25-26'!$A$9:$H$187,7,0)</f>
        <v>1452013.29</v>
      </c>
      <c r="H70">
        <f t="shared" si="5"/>
        <v>-130619</v>
      </c>
      <c r="J70">
        <v>1321394.29</v>
      </c>
    </row>
    <row r="71" spans="1:10" x14ac:dyDescent="0.3">
      <c r="A71">
        <v>964</v>
      </c>
      <c r="B71" t="s">
        <v>63</v>
      </c>
      <c r="C71">
        <f t="shared" si="6"/>
        <v>10500</v>
      </c>
      <c r="E71">
        <f t="shared" si="7"/>
        <v>10500</v>
      </c>
      <c r="F71" t="str">
        <f>VLOOKUP(B71,'Profit Loss-Amravati-25-26'!$A$9:$H$187,1,0)</f>
        <v>ASSOCIATION MEMBERSHIP FEES</v>
      </c>
      <c r="G71">
        <f>VLOOKUP(B71,'Profit Loss-Amravati-25-26'!$A$9:$H$187,7,0)</f>
        <v>10500</v>
      </c>
      <c r="H71">
        <f t="shared" si="5"/>
        <v>0</v>
      </c>
      <c r="J71">
        <v>10500</v>
      </c>
    </row>
    <row r="72" spans="1:10" x14ac:dyDescent="0.3">
      <c r="A72">
        <v>894</v>
      </c>
      <c r="B72" t="s">
        <v>70</v>
      </c>
      <c r="C72">
        <f t="shared" si="6"/>
        <v>78756</v>
      </c>
      <c r="E72">
        <f t="shared" si="7"/>
        <v>78756</v>
      </c>
      <c r="F72" t="str">
        <f>VLOOKUP(B72,'Profit Loss-Amravati-25-26'!$A$9:$H$187,1,0)</f>
        <v>FACTORY LICENCE FEES</v>
      </c>
      <c r="G72">
        <f>VLOOKUP(B72,'Profit Loss-Amravati-25-26'!$A$9:$H$187,7,0)</f>
        <v>26252</v>
      </c>
      <c r="H72">
        <f t="shared" si="5"/>
        <v>52504</v>
      </c>
      <c r="J72">
        <v>78756</v>
      </c>
    </row>
    <row r="73" spans="1:10" x14ac:dyDescent="0.3">
      <c r="A73">
        <v>969</v>
      </c>
      <c r="B73" t="s">
        <v>64</v>
      </c>
      <c r="C73">
        <f t="shared" si="6"/>
        <v>1824.78</v>
      </c>
      <c r="E73">
        <f t="shared" si="7"/>
        <v>1824.78</v>
      </c>
      <c r="F73" t="str">
        <f>VLOOKUP(B73,'Profit Loss-Amravati-25-26'!$A$9:$H$187,1,0)</f>
        <v>FILING FEES</v>
      </c>
      <c r="G73">
        <f>VLOOKUP(B73,'Profit Loss-Amravati-25-26'!$A$9:$H$187,7,0)</f>
        <v>1824.78</v>
      </c>
      <c r="H73">
        <f t="shared" si="5"/>
        <v>0</v>
      </c>
      <c r="J73">
        <v>1824.78</v>
      </c>
    </row>
    <row r="74" spans="1:10" x14ac:dyDescent="0.3">
      <c r="A74">
        <v>963</v>
      </c>
      <c r="B74" t="s">
        <v>92</v>
      </c>
      <c r="C74">
        <f t="shared" si="6"/>
        <v>4701.2</v>
      </c>
      <c r="E74">
        <f t="shared" si="7"/>
        <v>4701.2</v>
      </c>
      <c r="F74" t="str">
        <f>VLOOKUP(B74,'Profit Loss-Amravati-25-26'!$A$9:$H$187,1,0)</f>
        <v>LICENCE &amp; LEGAL FEES</v>
      </c>
      <c r="G74">
        <f>VLOOKUP(B74,'Profit Loss-Amravati-25-26'!$A$9:$H$187,7,0)</f>
        <v>12323.066666666666</v>
      </c>
      <c r="H74">
        <f t="shared" ref="H74:H105" si="8">+C74-G74</f>
        <v>-7621.8666666666659</v>
      </c>
      <c r="J74">
        <v>4701.2</v>
      </c>
    </row>
    <row r="75" spans="1:10" x14ac:dyDescent="0.3">
      <c r="A75">
        <v>29063</v>
      </c>
      <c r="B75" t="s">
        <v>206</v>
      </c>
      <c r="C75">
        <f t="shared" si="6"/>
        <v>81359.399999999994</v>
      </c>
      <c r="E75">
        <f t="shared" si="7"/>
        <v>81359.399999999994</v>
      </c>
      <c r="F75" t="str">
        <f>VLOOKUP(B75,'Profit Loss-Amravati-25-26'!$A$9:$H$187,1,0)</f>
        <v>GST EXPENSES-NOT CLAIMABLE-REVENUE</v>
      </c>
      <c r="G75">
        <f>VLOOKUP(B75,'Profit Loss-Amravati-25-26'!$A$9:$H$187,7,0)</f>
        <v>81359.399999999994</v>
      </c>
      <c r="H75">
        <f t="shared" si="8"/>
        <v>0</v>
      </c>
      <c r="J75">
        <v>81359.399999999994</v>
      </c>
    </row>
    <row r="76" spans="1:10" x14ac:dyDescent="0.3">
      <c r="A76">
        <v>915</v>
      </c>
      <c r="B76" t="s">
        <v>65</v>
      </c>
      <c r="C76">
        <f t="shared" si="6"/>
        <v>2500</v>
      </c>
      <c r="E76">
        <f t="shared" si="7"/>
        <v>2500</v>
      </c>
      <c r="F76" t="str">
        <f>VLOOKUP(B76,'Profit Loss-Amravati-25-26'!$A$9:$H$187,1,0)</f>
        <v>PROFESSIONAL TAX</v>
      </c>
      <c r="G76">
        <f>VLOOKUP(B76,'Profit Loss-Amravati-25-26'!$A$9:$H$187,7,0)</f>
        <v>2500</v>
      </c>
      <c r="H76">
        <f t="shared" si="8"/>
        <v>0</v>
      </c>
      <c r="J76">
        <v>2500</v>
      </c>
    </row>
    <row r="77" spans="1:10" x14ac:dyDescent="0.3">
      <c r="A77">
        <v>821</v>
      </c>
      <c r="B77" t="s">
        <v>113</v>
      </c>
      <c r="C77">
        <f t="shared" si="6"/>
        <v>623486</v>
      </c>
      <c r="E77">
        <f t="shared" si="7"/>
        <v>623486</v>
      </c>
      <c r="F77" t="str">
        <f>VLOOKUP(B77,'Profit Loss-Amravati-25-26'!$A$9:$H$187,1,0)</f>
        <v>RENT PAID</v>
      </c>
      <c r="G77">
        <f>VLOOKUP(B77,'Profit Loss-Amravati-25-26'!$A$9:$H$187,7,0)</f>
        <v>1220486</v>
      </c>
      <c r="H77">
        <f t="shared" si="8"/>
        <v>-597000</v>
      </c>
      <c r="J77">
        <v>623486</v>
      </c>
    </row>
    <row r="78" spans="1:10" x14ac:dyDescent="0.3">
      <c r="A78">
        <v>904</v>
      </c>
      <c r="B78" t="s">
        <v>67</v>
      </c>
      <c r="C78">
        <f t="shared" si="6"/>
        <v>299106</v>
      </c>
      <c r="E78">
        <f t="shared" si="7"/>
        <v>299106</v>
      </c>
      <c r="F78" t="str">
        <f>VLOOKUP(B78,'Profit Loss-Amravati-25-26'!$A$9:$H$187,1,0)</f>
        <v>INSURANCE (GENERAL)</v>
      </c>
      <c r="G78">
        <f>VLOOKUP(B78,'Profit Loss-Amravati-25-26'!$A$9:$H$187,7,0)</f>
        <v>117211.33333333334</v>
      </c>
      <c r="H78">
        <f t="shared" si="8"/>
        <v>181894.66666666666</v>
      </c>
      <c r="J78">
        <v>299106</v>
      </c>
    </row>
    <row r="79" spans="1:10" x14ac:dyDescent="0.3">
      <c r="A79">
        <v>932</v>
      </c>
      <c r="B79" t="s">
        <v>54</v>
      </c>
      <c r="C79">
        <f t="shared" si="6"/>
        <v>245370.78</v>
      </c>
      <c r="E79">
        <f t="shared" si="7"/>
        <v>245370.78</v>
      </c>
      <c r="F79" t="str">
        <f>VLOOKUP(B79,'Profit Loss-Amravati-25-26'!$A$9:$H$187,1,0)</f>
        <v>PRINTING &amp; STATIONERY</v>
      </c>
      <c r="G79">
        <f>VLOOKUP(B79,'Profit Loss-Amravati-25-26'!$A$9:$H$187,7,0)</f>
        <v>290889.78000000003</v>
      </c>
      <c r="H79">
        <f t="shared" si="8"/>
        <v>-45519.000000000029</v>
      </c>
      <c r="J79">
        <v>245370.78</v>
      </c>
    </row>
    <row r="80" spans="1:10" x14ac:dyDescent="0.3">
      <c r="A80">
        <v>20113</v>
      </c>
      <c r="B80" t="s">
        <v>223</v>
      </c>
      <c r="C80">
        <f t="shared" si="6"/>
        <v>234466</v>
      </c>
      <c r="E80">
        <f t="shared" si="7"/>
        <v>234466</v>
      </c>
      <c r="F80" t="str">
        <f>VLOOKUP(B80,'Profit Loss-Amravati-25-26'!$A$9:$H$187,1,0)</f>
        <v>SOFTWARE RENEWAL CHARGES PAID</v>
      </c>
      <c r="G80">
        <f>VLOOKUP(B80,'Profit Loss-Amravati-25-26'!$A$9:$H$187,7,0)</f>
        <v>232185.33333333334</v>
      </c>
      <c r="H80">
        <f t="shared" si="8"/>
        <v>2280.666666666657</v>
      </c>
      <c r="J80">
        <v>234466</v>
      </c>
    </row>
    <row r="81" spans="1:13" x14ac:dyDescent="0.3">
      <c r="A81">
        <v>854</v>
      </c>
      <c r="B81" t="s">
        <v>205</v>
      </c>
      <c r="C81">
        <f t="shared" si="6"/>
        <v>594613</v>
      </c>
      <c r="E81">
        <f t="shared" si="7"/>
        <v>594613</v>
      </c>
      <c r="F81" t="str">
        <f>VLOOKUP(B81,'Profit Loss-Amravati-25-26'!$A$9:$H$187,1,0)</f>
        <v>CONVEYANCE RE-IMBURSEMENT</v>
      </c>
      <c r="G81">
        <f>VLOOKUP(B81,'Profit Loss-Amravati-25-26'!$A$9:$H$187,7,0)</f>
        <v>594613</v>
      </c>
      <c r="H81">
        <f t="shared" si="8"/>
        <v>0</v>
      </c>
      <c r="J81">
        <v>594613</v>
      </c>
    </row>
    <row r="82" spans="1:13" x14ac:dyDescent="0.3">
      <c r="A82">
        <v>984</v>
      </c>
      <c r="B82" t="s">
        <v>234</v>
      </c>
      <c r="C82">
        <f t="shared" si="6"/>
        <v>565194</v>
      </c>
      <c r="E82">
        <f t="shared" si="7"/>
        <v>565194</v>
      </c>
      <c r="F82" t="str">
        <f>VLOOKUP(B82,'Profit Loss-Amravati-25-26'!$A$9:$H$187,1,0)</f>
        <v>FOREIGN TRAVELLING</v>
      </c>
      <c r="G82">
        <f>VLOOKUP(B82,'Profit Loss-Amravati-25-26'!$A$9:$H$187,7,0)</f>
        <v>487467.33333333331</v>
      </c>
      <c r="H82">
        <f t="shared" si="8"/>
        <v>77726.666666666686</v>
      </c>
      <c r="J82">
        <v>565194</v>
      </c>
    </row>
    <row r="83" spans="1:13" x14ac:dyDescent="0.3">
      <c r="A83">
        <v>983</v>
      </c>
      <c r="B83" t="s">
        <v>95</v>
      </c>
      <c r="C83">
        <f t="shared" si="6"/>
        <v>1405588.39</v>
      </c>
      <c r="E83">
        <f t="shared" si="7"/>
        <v>1405588.39</v>
      </c>
      <c r="F83" t="str">
        <f>VLOOKUP(B83,'Profit Loss-Amravati-25-26'!$A$9:$H$187,1,0)</f>
        <v>TRAVELLING EXPENSES</v>
      </c>
      <c r="G83">
        <f>VLOOKUP(B83,'Profit Loss-Amravati-25-26'!$A$9:$H$187,7,0)</f>
        <v>1400483.7233333332</v>
      </c>
      <c r="H83">
        <f t="shared" si="8"/>
        <v>5104.6666666667443</v>
      </c>
      <c r="J83">
        <v>1405588.39</v>
      </c>
    </row>
    <row r="84" spans="1:13" x14ac:dyDescent="0.3">
      <c r="A84">
        <v>35339</v>
      </c>
      <c r="B84" t="s">
        <v>224</v>
      </c>
      <c r="C84">
        <f t="shared" si="6"/>
        <v>3930</v>
      </c>
      <c r="E84">
        <f t="shared" si="7"/>
        <v>3930</v>
      </c>
      <c r="F84" t="str">
        <f>VLOOKUP(B84,'Profit Loss-Amravati-25-26'!$A$9:$H$187,1,0)</f>
        <v>HYUNDAI VENUE CAR (MH02FN9024) -EXP</v>
      </c>
      <c r="G84">
        <f>VLOOKUP(B84,'Profit Loss-Amravati-25-26'!$A$9:$H$187,7,0)</f>
        <v>0</v>
      </c>
      <c r="H84">
        <f t="shared" si="8"/>
        <v>3930</v>
      </c>
      <c r="J84">
        <v>3930</v>
      </c>
    </row>
    <row r="85" spans="1:13" x14ac:dyDescent="0.3">
      <c r="A85">
        <v>1074</v>
      </c>
      <c r="B85" t="s">
        <v>202</v>
      </c>
      <c r="C85">
        <f t="shared" si="6"/>
        <v>261091.5</v>
      </c>
      <c r="E85">
        <f t="shared" si="7"/>
        <v>261091.5</v>
      </c>
      <c r="F85" t="str">
        <f>VLOOKUP(B85,'Profit Loss-Amravati-25-26'!$A$9:$H$187,1,0)</f>
        <v>JEEP HIRE EXPENSES</v>
      </c>
      <c r="G85">
        <f>VLOOKUP(B85,'Profit Loss-Amravati-25-26'!$A$9:$H$187,7,0)</f>
        <v>358569.5</v>
      </c>
      <c r="H85">
        <f t="shared" si="8"/>
        <v>-97478</v>
      </c>
      <c r="J85">
        <v>261091.5</v>
      </c>
    </row>
    <row r="86" spans="1:13" x14ac:dyDescent="0.3">
      <c r="A86">
        <v>951</v>
      </c>
      <c r="B86" t="s">
        <v>311</v>
      </c>
      <c r="C86">
        <f t="shared" si="6"/>
        <v>88000</v>
      </c>
      <c r="E86">
        <f t="shared" si="7"/>
        <v>88000</v>
      </c>
      <c r="F86" t="str">
        <f>VLOOKUP(B86,'Profit Loss-Amravati-25-26'!$A$9:$H$187,1,0)</f>
        <v>MOTOR CAR EXPENSES</v>
      </c>
      <c r="G86">
        <f>VLOOKUP(B86,'Profit Loss-Amravati-25-26'!$A$9:$H$187,7,0)</f>
        <v>88000</v>
      </c>
      <c r="H86">
        <f t="shared" si="8"/>
        <v>0</v>
      </c>
      <c r="J86">
        <v>88000</v>
      </c>
    </row>
    <row r="87" spans="1:13" x14ac:dyDescent="0.3">
      <c r="A87">
        <v>926</v>
      </c>
      <c r="B87" t="s">
        <v>207</v>
      </c>
      <c r="C87">
        <f t="shared" si="6"/>
        <v>806652.07</v>
      </c>
      <c r="E87">
        <f t="shared" si="7"/>
        <v>806652.07</v>
      </c>
      <c r="F87" t="str">
        <f>VLOOKUP(B87,'Profit Loss-Amravati-25-26'!$A$9:$H$187,1,0)</f>
        <v>POSTAGE &amp; TELEGRAM</v>
      </c>
      <c r="G87">
        <f>VLOOKUP(B87,'Profit Loss-Amravati-25-26'!$A$9:$H$187,7,0)</f>
        <v>888717.07</v>
      </c>
      <c r="H87">
        <f t="shared" si="8"/>
        <v>-82065</v>
      </c>
      <c r="J87">
        <v>806652.07</v>
      </c>
    </row>
    <row r="88" spans="1:13" x14ac:dyDescent="0.3">
      <c r="A88">
        <v>934</v>
      </c>
      <c r="B88" t="s">
        <v>103</v>
      </c>
      <c r="C88">
        <f t="shared" si="6"/>
        <v>-33945.86</v>
      </c>
      <c r="E88">
        <f t="shared" si="7"/>
        <v>-33945.86</v>
      </c>
      <c r="F88" t="str">
        <f>VLOOKUP(B88,'Profit Loss-Amravati-25-26'!$A$9:$H$187,1,0)</f>
        <v>TELEPHONE EXPENSES</v>
      </c>
      <c r="G88">
        <f>VLOOKUP(B88,'Profit Loss-Amravati-25-26'!$A$9:$H$187,7,0)</f>
        <v>-33945.86</v>
      </c>
      <c r="H88">
        <f t="shared" si="8"/>
        <v>0</v>
      </c>
      <c r="J88">
        <v>-33945.86</v>
      </c>
    </row>
    <row r="89" spans="1:13" x14ac:dyDescent="0.3">
      <c r="A89">
        <v>685</v>
      </c>
      <c r="B89" t="s">
        <v>97</v>
      </c>
      <c r="C89">
        <f t="shared" ref="C89:C120" si="9">+J89</f>
        <v>36670.400000000001</v>
      </c>
      <c r="E89">
        <f t="shared" ref="E89:E120" si="10">+C89</f>
        <v>36670.400000000001</v>
      </c>
      <c r="F89" t="str">
        <f>VLOOKUP(B89,'Profit Loss-Amravati-25-26'!$A$9:$H$187,1,0)</f>
        <v>COMPUTER EXPENSES PAID</v>
      </c>
      <c r="G89">
        <f>VLOOKUP(B89,'Profit Loss-Amravati-25-26'!$A$9:$H$187,7,0)</f>
        <v>36670.400000000001</v>
      </c>
      <c r="H89">
        <f t="shared" si="8"/>
        <v>0</v>
      </c>
      <c r="J89">
        <v>36670.400000000001</v>
      </c>
    </row>
    <row r="90" spans="1:13" x14ac:dyDescent="0.3">
      <c r="A90">
        <v>920</v>
      </c>
      <c r="B90" t="s">
        <v>153</v>
      </c>
      <c r="C90">
        <f t="shared" si="9"/>
        <v>117936.1</v>
      </c>
      <c r="E90">
        <f t="shared" si="10"/>
        <v>117936.1</v>
      </c>
      <c r="F90" t="str">
        <f>VLOOKUP(B90,'Profit Loss-Amravati-25-26'!$A$9:$H$187,1,0)</f>
        <v>FACTORY CLEANING CHARGES</v>
      </c>
      <c r="G90">
        <f>VLOOKUP(B90,'Profit Loss-Amravati-25-26'!$A$9:$H$187,7,0)</f>
        <v>150822.1</v>
      </c>
      <c r="H90">
        <f t="shared" si="8"/>
        <v>-32886</v>
      </c>
      <c r="J90">
        <v>117936.1</v>
      </c>
    </row>
    <row r="91" spans="1:13" x14ac:dyDescent="0.3">
      <c r="A91">
        <v>936</v>
      </c>
      <c r="B91" t="s">
        <v>225</v>
      </c>
      <c r="C91">
        <f t="shared" si="9"/>
        <v>34038.1</v>
      </c>
      <c r="E91">
        <f t="shared" si="10"/>
        <v>34038.1</v>
      </c>
      <c r="F91" t="str">
        <f>VLOOKUP(B91,'Profit Loss-Amravati-25-26'!$A$9:$H$187,1,0)</f>
        <v>OFFICE MAINTENANCE</v>
      </c>
      <c r="G91">
        <f>VLOOKUP(B91,'Profit Loss-Amravati-25-26'!$A$9:$H$187,7,0)</f>
        <v>37968.1</v>
      </c>
      <c r="H91">
        <f t="shared" si="8"/>
        <v>-3930</v>
      </c>
      <c r="J91">
        <v>34038.1</v>
      </c>
    </row>
    <row r="92" spans="1:13" x14ac:dyDescent="0.3">
      <c r="A92">
        <v>812</v>
      </c>
      <c r="B92" t="s">
        <v>90</v>
      </c>
      <c r="C92">
        <f t="shared" si="9"/>
        <v>748540.02</v>
      </c>
      <c r="E92">
        <f t="shared" si="10"/>
        <v>748540.02</v>
      </c>
      <c r="F92" t="str">
        <f>VLOOKUP(B92,'Profit Loss-Amravati-25-26'!$A$9:$H$187,1,0)</f>
        <v>REPAIRS &amp; MAINTENANCE</v>
      </c>
      <c r="G92">
        <f>VLOOKUP(B92,'Profit Loss-Amravati-25-26'!$A$9:$H$187,7,0)</f>
        <v>511860.68666666665</v>
      </c>
      <c r="H92">
        <f t="shared" si="8"/>
        <v>236679.33333333337</v>
      </c>
      <c r="J92">
        <v>748540.02</v>
      </c>
      <c r="M92" s="55"/>
    </row>
    <row r="93" spans="1:13" x14ac:dyDescent="0.3">
      <c r="A93">
        <v>1110</v>
      </c>
      <c r="B93" t="s">
        <v>102</v>
      </c>
      <c r="C93">
        <f t="shared" si="9"/>
        <v>107013</v>
      </c>
      <c r="E93">
        <f t="shared" si="10"/>
        <v>107013</v>
      </c>
      <c r="F93" t="str">
        <f>VLOOKUP(B93,'Profit Loss-Amravati-25-26'!$A$9:$H$187,1,0)</f>
        <v>SECURITY CHARGES</v>
      </c>
      <c r="G93">
        <f>VLOOKUP(B93,'Profit Loss-Amravati-25-26'!$A$9:$H$187,7,0)</f>
        <v>107013</v>
      </c>
      <c r="H93">
        <f t="shared" si="8"/>
        <v>0</v>
      </c>
      <c r="J93">
        <v>107013</v>
      </c>
    </row>
    <row r="94" spans="1:13" x14ac:dyDescent="0.3">
      <c r="A94">
        <v>930</v>
      </c>
      <c r="B94" t="s">
        <v>96</v>
      </c>
      <c r="C94">
        <f t="shared" si="9"/>
        <v>5550</v>
      </c>
      <c r="E94">
        <f t="shared" si="10"/>
        <v>5550</v>
      </c>
      <c r="F94" t="str">
        <f>VLOOKUP(B94,'Profit Loss-Amravati-25-26'!$A$9:$H$187,1,0)</f>
        <v>GARDEN EXPENSES</v>
      </c>
      <c r="G94">
        <f>VLOOKUP(B94,'Profit Loss-Amravati-25-26'!$A$9:$H$187,7,0)</f>
        <v>5550</v>
      </c>
      <c r="H94">
        <f t="shared" si="8"/>
        <v>0</v>
      </c>
      <c r="J94">
        <v>5550</v>
      </c>
    </row>
    <row r="95" spans="1:13" x14ac:dyDescent="0.3">
      <c r="A95">
        <v>1021</v>
      </c>
      <c r="B95" t="s">
        <v>57</v>
      </c>
      <c r="C95">
        <f t="shared" si="9"/>
        <v>2.0499999999999998</v>
      </c>
      <c r="E95">
        <f t="shared" si="10"/>
        <v>2.0499999999999998</v>
      </c>
      <c r="F95" t="str">
        <f>VLOOKUP(B95,'Profit Loss-Amravati-25-26'!$A$9:$H$187,1,0)</f>
        <v>KASAR KHATE</v>
      </c>
      <c r="G95">
        <f>VLOOKUP(B95,'Profit Loss-Amravati-25-26'!$A$9:$H$187,7,0)</f>
        <v>2.0499999999999998</v>
      </c>
      <c r="H95">
        <f t="shared" si="8"/>
        <v>0</v>
      </c>
      <c r="J95">
        <v>2.0499999999999998</v>
      </c>
    </row>
    <row r="96" spans="1:13" x14ac:dyDescent="0.3">
      <c r="A96">
        <v>935</v>
      </c>
      <c r="B96" t="s">
        <v>228</v>
      </c>
      <c r="C96">
        <f t="shared" si="9"/>
        <v>7120</v>
      </c>
      <c r="E96">
        <f t="shared" si="10"/>
        <v>7120</v>
      </c>
      <c r="F96" t="str">
        <f>VLOOKUP(B96,'Profit Loss-Amravati-25-26'!$A$9:$H$187,1,0)</f>
        <v>POOJA EXPENSES</v>
      </c>
      <c r="G96">
        <f>VLOOKUP(B96,'Profit Loss-Amravati-25-26'!$A$9:$H$187,7,0)</f>
        <v>7120</v>
      </c>
      <c r="H96">
        <f t="shared" si="8"/>
        <v>0</v>
      </c>
      <c r="J96">
        <v>7120</v>
      </c>
    </row>
    <row r="97" spans="1:10" x14ac:dyDescent="0.3">
      <c r="A97">
        <v>882</v>
      </c>
      <c r="B97" t="s">
        <v>216</v>
      </c>
      <c r="C97">
        <f t="shared" si="9"/>
        <v>474778</v>
      </c>
      <c r="E97">
        <f t="shared" si="10"/>
        <v>474778</v>
      </c>
      <c r="F97" t="str">
        <f>VLOOKUP(B97,'Profit Loss-Amravati-25-26'!$A$9:$H$187,1,0)</f>
        <v>ATTENDENCE BONUS</v>
      </c>
      <c r="G97">
        <f>VLOOKUP(B97,'Profit Loss-Amravati-25-26'!$A$9:$H$187,7,0)</f>
        <v>474778</v>
      </c>
      <c r="H97">
        <f t="shared" si="8"/>
        <v>0</v>
      </c>
      <c r="J97">
        <v>474778</v>
      </c>
    </row>
    <row r="98" spans="1:10" x14ac:dyDescent="0.3">
      <c r="A98">
        <v>862</v>
      </c>
      <c r="B98" t="s">
        <v>79</v>
      </c>
      <c r="C98">
        <f t="shared" si="9"/>
        <v>13040</v>
      </c>
      <c r="E98">
        <f t="shared" si="10"/>
        <v>13040</v>
      </c>
      <c r="F98" t="str">
        <f>VLOOKUP(B98,'Profit Loss-Amravati-25-26'!$A$9:$H$187,1,0)</f>
        <v>BONUS</v>
      </c>
      <c r="G98">
        <f>VLOOKUP(B98,'Profit Loss-Amravati-25-26'!$A$9:$H$187,7,0)</f>
        <v>3412771.2</v>
      </c>
      <c r="H98">
        <f t="shared" si="8"/>
        <v>-3399731.2000000002</v>
      </c>
      <c r="J98">
        <v>13040</v>
      </c>
    </row>
    <row r="99" spans="1:10" x14ac:dyDescent="0.3">
      <c r="A99">
        <v>948</v>
      </c>
      <c r="B99" t="s">
        <v>72</v>
      </c>
      <c r="C99">
        <f t="shared" si="9"/>
        <v>3584465</v>
      </c>
      <c r="E99">
        <f t="shared" si="10"/>
        <v>3584465</v>
      </c>
      <c r="F99" t="str">
        <f>VLOOKUP(B99,'Profit Loss-Amravati-25-26'!$A$9:$H$187,1,0)</f>
        <v>CONVEYANCE ALLOWANCE</v>
      </c>
      <c r="G99">
        <f>VLOOKUP(B99,'Profit Loss-Amravati-25-26'!$A$9:$H$187,7,0)</f>
        <v>3584465</v>
      </c>
      <c r="H99">
        <f t="shared" si="8"/>
        <v>0</v>
      </c>
      <c r="J99">
        <v>3584465</v>
      </c>
    </row>
    <row r="100" spans="1:10" x14ac:dyDescent="0.3">
      <c r="A100">
        <v>855</v>
      </c>
      <c r="B100" t="s">
        <v>73</v>
      </c>
      <c r="C100">
        <f t="shared" si="9"/>
        <v>1342690</v>
      </c>
      <c r="E100">
        <f t="shared" si="10"/>
        <v>1342690</v>
      </c>
      <c r="F100" t="str">
        <f>VLOOKUP(B100,'Profit Loss-Amravati-25-26'!$A$9:$H$187,1,0)</f>
        <v>EDUCATION ALLOWANCE</v>
      </c>
      <c r="G100">
        <f>VLOOKUP(B100,'Profit Loss-Amravati-25-26'!$A$9:$H$187,7,0)</f>
        <v>1342690</v>
      </c>
      <c r="H100">
        <f t="shared" si="8"/>
        <v>0</v>
      </c>
      <c r="J100">
        <v>1342690</v>
      </c>
    </row>
    <row r="101" spans="1:10" x14ac:dyDescent="0.3">
      <c r="A101">
        <v>853</v>
      </c>
      <c r="B101" t="s">
        <v>74</v>
      </c>
      <c r="C101">
        <f t="shared" si="9"/>
        <v>4278229</v>
      </c>
      <c r="E101">
        <f t="shared" si="10"/>
        <v>4278229</v>
      </c>
      <c r="F101" t="str">
        <f>VLOOKUP(B101,'Profit Loss-Amravati-25-26'!$A$9:$H$187,1,0)</f>
        <v>HOUSE RENT ALLOWANCE</v>
      </c>
      <c r="G101">
        <f>VLOOKUP(B101,'Profit Loss-Amravati-25-26'!$A$9:$H$187,7,0)</f>
        <v>4278229</v>
      </c>
      <c r="H101">
        <f t="shared" si="8"/>
        <v>0</v>
      </c>
      <c r="J101">
        <v>4278229</v>
      </c>
    </row>
    <row r="102" spans="1:10" x14ac:dyDescent="0.3">
      <c r="A102">
        <v>848</v>
      </c>
      <c r="B102" t="s">
        <v>235</v>
      </c>
      <c r="C102">
        <f t="shared" si="9"/>
        <v>57725</v>
      </c>
      <c r="E102">
        <f t="shared" si="10"/>
        <v>57725</v>
      </c>
      <c r="F102" t="str">
        <f>VLOOKUP(B102,'Profit Loss-Amravati-25-26'!$A$9:$H$187,1,0)</f>
        <v>INCENTIVE PAYMENT</v>
      </c>
      <c r="G102">
        <f>VLOOKUP(B102,'Profit Loss-Amravati-25-26'!$A$9:$H$187,7,0)</f>
        <v>57725</v>
      </c>
      <c r="H102">
        <f t="shared" si="8"/>
        <v>0</v>
      </c>
      <c r="J102">
        <v>57725</v>
      </c>
    </row>
    <row r="103" spans="1:10" x14ac:dyDescent="0.3">
      <c r="A103">
        <v>856</v>
      </c>
      <c r="B103" t="s">
        <v>80</v>
      </c>
      <c r="C103">
        <f t="shared" si="9"/>
        <v>68168</v>
      </c>
      <c r="E103">
        <f t="shared" si="10"/>
        <v>68168</v>
      </c>
      <c r="F103" t="str">
        <f>VLOOKUP(B103,'Profit Loss-Amravati-25-26'!$A$9:$H$187,1,0)</f>
        <v>LEAVE SALARY</v>
      </c>
      <c r="G103">
        <f>VLOOKUP(B103,'Profit Loss-Amravati-25-26'!$A$9:$H$187,7,0)</f>
        <v>1768033.6</v>
      </c>
      <c r="H103">
        <f t="shared" si="8"/>
        <v>-1699865.6000000001</v>
      </c>
      <c r="J103">
        <v>68168</v>
      </c>
    </row>
    <row r="104" spans="1:10" x14ac:dyDescent="0.3">
      <c r="A104">
        <v>975</v>
      </c>
      <c r="B104" t="s">
        <v>77</v>
      </c>
      <c r="C104">
        <f t="shared" si="9"/>
        <v>3934</v>
      </c>
      <c r="E104">
        <f t="shared" si="10"/>
        <v>3934</v>
      </c>
      <c r="F104" t="str">
        <f>VLOOKUP(B104,'Profit Loss-Amravati-25-26'!$A$9:$H$187,1,0)</f>
        <v>MEDICAL ALLOWANCE</v>
      </c>
      <c r="G104">
        <f>VLOOKUP(B104,'Profit Loss-Amravati-25-26'!$A$9:$H$187,7,0)</f>
        <v>3934</v>
      </c>
      <c r="H104">
        <f t="shared" si="8"/>
        <v>0</v>
      </c>
      <c r="J104">
        <v>3934</v>
      </c>
    </row>
    <row r="105" spans="1:10" x14ac:dyDescent="0.3">
      <c r="A105">
        <v>10208</v>
      </c>
      <c r="B105" t="s">
        <v>78</v>
      </c>
      <c r="C105">
        <f t="shared" si="9"/>
        <v>354351</v>
      </c>
      <c r="E105">
        <f t="shared" si="10"/>
        <v>354351</v>
      </c>
      <c r="F105" t="str">
        <f>VLOOKUP(B105,'Profit Loss-Amravati-25-26'!$A$9:$H$187,1,0)</f>
        <v>NEWSPAPER &amp; PERIODICAL ALLOWANCE</v>
      </c>
      <c r="G105">
        <f>VLOOKUP(B105,'Profit Loss-Amravati-25-26'!$A$9:$H$187,7,0)</f>
        <v>354351</v>
      </c>
      <c r="H105">
        <f t="shared" si="8"/>
        <v>0</v>
      </c>
      <c r="J105">
        <v>354351</v>
      </c>
    </row>
    <row r="106" spans="1:10" x14ac:dyDescent="0.3">
      <c r="A106">
        <v>863</v>
      </c>
      <c r="B106" t="s">
        <v>218</v>
      </c>
      <c r="C106">
        <f t="shared" si="9"/>
        <v>-1371</v>
      </c>
      <c r="E106">
        <f t="shared" si="10"/>
        <v>-1371</v>
      </c>
      <c r="F106" t="str">
        <f>VLOOKUP(B106,'Profit Loss-Amravati-25-26'!$A$9:$H$187,1,0)</f>
        <v>NOTICE PAY</v>
      </c>
      <c r="G106">
        <f>VLOOKUP(B106,'Profit Loss-Amravati-25-26'!$A$9:$H$187,7,0)</f>
        <v>-1371</v>
      </c>
      <c r="H106">
        <f t="shared" ref="H106:H129" si="11">+C106-G106</f>
        <v>0</v>
      </c>
      <c r="J106">
        <v>-1371</v>
      </c>
    </row>
    <row r="107" spans="1:10" x14ac:dyDescent="0.3">
      <c r="A107">
        <v>31408</v>
      </c>
      <c r="B107" t="s">
        <v>227</v>
      </c>
      <c r="C107">
        <f t="shared" si="9"/>
        <v>-1293</v>
      </c>
      <c r="E107">
        <f t="shared" si="10"/>
        <v>-1293</v>
      </c>
      <c r="F107" t="str">
        <f>VLOOKUP(B107,'Profit Loss-Amravati-25-26'!$A$9:$H$187,1,0)</f>
        <v>ONE DAY SALARY DEDUCTION</v>
      </c>
      <c r="G107">
        <f>VLOOKUP(B107,'Profit Loss-Amravati-25-26'!$A$9:$H$187,7,0)</f>
        <v>-1293</v>
      </c>
      <c r="H107">
        <f t="shared" si="11"/>
        <v>0</v>
      </c>
      <c r="J107">
        <v>-1293</v>
      </c>
    </row>
    <row r="108" spans="1:10" x14ac:dyDescent="0.3">
      <c r="A108">
        <v>718</v>
      </c>
      <c r="B108" t="s">
        <v>217</v>
      </c>
      <c r="C108">
        <f t="shared" si="9"/>
        <v>677724</v>
      </c>
      <c r="E108">
        <f t="shared" si="10"/>
        <v>677724</v>
      </c>
      <c r="F108" t="str">
        <f>VLOOKUP(B108,'Profit Loss-Amravati-25-26'!$A$9:$H$187,1,0)</f>
        <v>PRODUCTION INCENTIVE</v>
      </c>
      <c r="G108">
        <f>VLOOKUP(B108,'Profit Loss-Amravati-25-26'!$A$9:$H$187,7,0)</f>
        <v>677724</v>
      </c>
      <c r="H108">
        <f t="shared" si="11"/>
        <v>0</v>
      </c>
      <c r="J108">
        <v>677724</v>
      </c>
    </row>
    <row r="109" spans="1:10" x14ac:dyDescent="0.3">
      <c r="A109">
        <v>851</v>
      </c>
      <c r="B109" t="s">
        <v>81</v>
      </c>
      <c r="C109">
        <f t="shared" si="9"/>
        <v>33997312</v>
      </c>
      <c r="E109">
        <f t="shared" si="10"/>
        <v>33997312</v>
      </c>
      <c r="F109" t="str">
        <f>VLOOKUP(B109,'Profit Loss-Amravati-25-26'!$A$9:$H$187,1,0)</f>
        <v>SALARY &amp; WAGES</v>
      </c>
      <c r="G109">
        <f>VLOOKUP(B109,'Profit Loss-Amravati-25-26'!$A$9:$H$187,7,0)</f>
        <v>33997312</v>
      </c>
      <c r="H109">
        <f t="shared" si="11"/>
        <v>0</v>
      </c>
      <c r="J109">
        <v>33997312</v>
      </c>
    </row>
    <row r="110" spans="1:10" x14ac:dyDescent="0.3">
      <c r="A110">
        <v>852</v>
      </c>
      <c r="B110" t="s">
        <v>215</v>
      </c>
      <c r="C110">
        <f t="shared" si="9"/>
        <v>312704</v>
      </c>
      <c r="E110">
        <f t="shared" si="10"/>
        <v>312704</v>
      </c>
      <c r="F110" t="str">
        <f>VLOOKUP(B110,'Profit Loss-Amravati-25-26'!$A$9:$H$187,1,0)</f>
        <v>SALARY &amp; WAGES (OVER TIME)</v>
      </c>
      <c r="G110">
        <f>VLOOKUP(B110,'Profit Loss-Amravati-25-26'!$A$9:$H$187,7,0)</f>
        <v>312704</v>
      </c>
      <c r="H110">
        <f t="shared" si="11"/>
        <v>0</v>
      </c>
      <c r="J110">
        <v>312704</v>
      </c>
    </row>
    <row r="111" spans="1:10" x14ac:dyDescent="0.3">
      <c r="A111">
        <v>881</v>
      </c>
      <c r="B111" t="s">
        <v>210</v>
      </c>
      <c r="C111">
        <f t="shared" si="9"/>
        <v>848</v>
      </c>
      <c r="E111">
        <f t="shared" si="10"/>
        <v>848</v>
      </c>
      <c r="F111" t="str">
        <f>VLOOKUP(B111,'Profit Loss-Amravati-25-26'!$A$9:$H$187,1,0)</f>
        <v>SHIFT ALLOWANCE</v>
      </c>
      <c r="G111">
        <f>VLOOKUP(B111,'Profit Loss-Amravati-25-26'!$A$9:$H$187,7,0)</f>
        <v>848</v>
      </c>
      <c r="H111">
        <f t="shared" si="11"/>
        <v>0</v>
      </c>
      <c r="J111">
        <v>848</v>
      </c>
    </row>
    <row r="112" spans="1:10" x14ac:dyDescent="0.3">
      <c r="A112">
        <v>689</v>
      </c>
      <c r="B112" t="s">
        <v>75</v>
      </c>
      <c r="C112">
        <f t="shared" si="9"/>
        <v>771346</v>
      </c>
      <c r="E112">
        <f t="shared" si="10"/>
        <v>771346</v>
      </c>
      <c r="F112" t="str">
        <f>VLOOKUP(B112,'Profit Loss-Amravati-25-26'!$A$9:$H$187,1,0)</f>
        <v>SPECIAL ALLOWANCE</v>
      </c>
      <c r="G112">
        <f>VLOOKUP(B112,'Profit Loss-Amravati-25-26'!$A$9:$H$187,7,0)</f>
        <v>771346</v>
      </c>
      <c r="H112">
        <f t="shared" si="11"/>
        <v>0</v>
      </c>
      <c r="J112">
        <v>771346</v>
      </c>
    </row>
    <row r="113" spans="1:13" x14ac:dyDescent="0.3">
      <c r="A113">
        <v>1325</v>
      </c>
      <c r="B113" t="s">
        <v>98</v>
      </c>
      <c r="C113">
        <f t="shared" si="9"/>
        <v>11969291</v>
      </c>
      <c r="E113">
        <f t="shared" si="10"/>
        <v>11969291</v>
      </c>
      <c r="F113" t="str">
        <f>VLOOKUP(B113,'Profit Loss-Amravati-25-26'!$A$9:$H$187,1,0)</f>
        <v>STIPEND</v>
      </c>
      <c r="G113">
        <f>VLOOKUP(B113,'Profit Loss-Amravati-25-26'!$A$9:$H$187,7,0)</f>
        <v>11969291</v>
      </c>
      <c r="H113">
        <f t="shared" si="11"/>
        <v>0</v>
      </c>
      <c r="J113">
        <v>11969291</v>
      </c>
    </row>
    <row r="114" spans="1:13" x14ac:dyDescent="0.3">
      <c r="A114">
        <v>11722</v>
      </c>
      <c r="B114" t="s">
        <v>211</v>
      </c>
      <c r="C114">
        <f t="shared" si="9"/>
        <v>1289</v>
      </c>
      <c r="E114">
        <f t="shared" si="10"/>
        <v>1289</v>
      </c>
      <c r="F114" t="str">
        <f>VLOOKUP(B114,'Profit Loss-Amravati-25-26'!$A$9:$H$187,1,0)</f>
        <v>TELEPHONE ALLOWANCE</v>
      </c>
      <c r="G114">
        <f>VLOOKUP(B114,'Profit Loss-Amravati-25-26'!$A$9:$H$187,7,0)</f>
        <v>1289</v>
      </c>
      <c r="H114">
        <f t="shared" si="11"/>
        <v>0</v>
      </c>
      <c r="J114">
        <v>1289</v>
      </c>
    </row>
    <row r="115" spans="1:13" x14ac:dyDescent="0.3">
      <c r="A115">
        <v>39011</v>
      </c>
      <c r="B115" t="s">
        <v>83</v>
      </c>
      <c r="C115">
        <f t="shared" si="9"/>
        <v>644454</v>
      </c>
      <c r="E115">
        <f t="shared" si="10"/>
        <v>644454</v>
      </c>
      <c r="F115" t="str">
        <f>VLOOKUP(B115,'Profit Loss-Amravati-25-26'!$A$9:$H$187,1,0)</f>
        <v>COMPANY SHARE OF E.S.I.C ACCOUNT</v>
      </c>
      <c r="G115">
        <f>VLOOKUP(B115,'Profit Loss-Amravati-25-26'!$A$9:$H$187,7,0)</f>
        <v>900353</v>
      </c>
      <c r="H115">
        <f t="shared" si="11"/>
        <v>-255899</v>
      </c>
      <c r="J115">
        <v>644454</v>
      </c>
    </row>
    <row r="116" spans="1:13" x14ac:dyDescent="0.3">
      <c r="A116">
        <v>38580</v>
      </c>
      <c r="B116" t="s">
        <v>82</v>
      </c>
      <c r="C116">
        <f t="shared" si="9"/>
        <v>2555489</v>
      </c>
      <c r="E116">
        <f t="shared" si="10"/>
        <v>2555489</v>
      </c>
      <c r="F116" t="str">
        <f>VLOOKUP(B116,'Profit Loss-Amravati-25-26'!$A$9:$H$187,1,0)</f>
        <v>COMPANY SHARE OF PF</v>
      </c>
      <c r="G116">
        <f>VLOOKUP(B116,'Profit Loss-Amravati-25-26'!$A$9:$H$187,7,0)</f>
        <v>3483783</v>
      </c>
      <c r="H116">
        <f t="shared" si="11"/>
        <v>-928294</v>
      </c>
      <c r="J116">
        <v>2555489</v>
      </c>
    </row>
    <row r="117" spans="1:13" x14ac:dyDescent="0.3">
      <c r="A117">
        <v>39010</v>
      </c>
      <c r="B117" t="s">
        <v>85</v>
      </c>
      <c r="C117">
        <f t="shared" si="9"/>
        <v>-63947</v>
      </c>
      <c r="E117">
        <f t="shared" si="10"/>
        <v>-63947</v>
      </c>
      <c r="F117" t="str">
        <f>VLOOKUP(B117,'Profit Loss-Amravati-25-26'!$A$9:$H$187,1,0)</f>
        <v>EMPLOYEE SHARE OF E.S.I.C ACCOUNT</v>
      </c>
      <c r="G117">
        <f>VLOOKUP(B117,'Profit Loss-Amravati-25-26'!$A$9:$H$187,7,0)</f>
        <v>0</v>
      </c>
      <c r="H117">
        <f t="shared" si="11"/>
        <v>-63947</v>
      </c>
      <c r="J117">
        <v>-63947</v>
      </c>
    </row>
    <row r="118" spans="1:13" x14ac:dyDescent="0.3">
      <c r="A118">
        <v>38579</v>
      </c>
      <c r="B118" t="s">
        <v>86</v>
      </c>
      <c r="C118">
        <f t="shared" si="9"/>
        <v>-963039</v>
      </c>
      <c r="E118">
        <f t="shared" si="10"/>
        <v>-963039</v>
      </c>
      <c r="F118" t="str">
        <f>VLOOKUP(B118,'Profit Loss-Amravati-25-26'!$A$9:$H$187,1,0)</f>
        <v>EMPLOYEE SHARE OF PF ACCOUNT</v>
      </c>
      <c r="G118">
        <f>VLOOKUP(B118,'Profit Loss-Amravati-25-26'!$A$9:$H$187,7,0)</f>
        <v>0</v>
      </c>
      <c r="H118">
        <f t="shared" si="11"/>
        <v>-963039</v>
      </c>
      <c r="J118">
        <v>-963039</v>
      </c>
      <c r="M118" s="55">
        <f>+E8</f>
        <v>-132450803.78333324</v>
      </c>
    </row>
    <row r="119" spans="1:13" x14ac:dyDescent="0.3">
      <c r="A119">
        <v>872</v>
      </c>
      <c r="B119" t="s">
        <v>87</v>
      </c>
      <c r="C119">
        <f t="shared" si="9"/>
        <v>69675</v>
      </c>
      <c r="E119">
        <f t="shared" si="10"/>
        <v>69675</v>
      </c>
      <c r="F119" t="str">
        <f>VLOOKUP(B119,'Profit Loss-Amravati-25-26'!$A$9:$H$187,1,0)</f>
        <v>M.L.W.FUND</v>
      </c>
      <c r="G119">
        <f>VLOOKUP(B119,'Profit Loss-Amravati-25-26'!$A$9:$H$187,7,0)</f>
        <v>69675</v>
      </c>
      <c r="H119">
        <f t="shared" si="11"/>
        <v>0</v>
      </c>
      <c r="J119">
        <v>69675</v>
      </c>
    </row>
    <row r="120" spans="1:13" x14ac:dyDescent="0.3">
      <c r="A120">
        <v>868</v>
      </c>
      <c r="B120" t="s">
        <v>88</v>
      </c>
      <c r="C120">
        <f t="shared" si="9"/>
        <v>205362</v>
      </c>
      <c r="E120">
        <f t="shared" si="10"/>
        <v>205362</v>
      </c>
      <c r="F120" t="str">
        <f>VLOOKUP(B120,'Profit Loss-Amravati-25-26'!$A$9:$H$187,1,0)</f>
        <v>P.F. ADMINISTRATION CHARGES</v>
      </c>
      <c r="G120">
        <f>VLOOKUP(B120,'Profit Loss-Amravati-25-26'!$A$9:$H$187,7,0)</f>
        <v>280149</v>
      </c>
      <c r="H120">
        <f t="shared" si="11"/>
        <v>-74787</v>
      </c>
      <c r="J120">
        <v>205362</v>
      </c>
    </row>
    <row r="121" spans="1:13" x14ac:dyDescent="0.3">
      <c r="A121">
        <v>1107</v>
      </c>
      <c r="B121" t="s">
        <v>105</v>
      </c>
      <c r="C121">
        <f t="shared" ref="C121:C129" si="12">+J121</f>
        <v>103899</v>
      </c>
      <c r="E121">
        <f t="shared" ref="E121:E130" si="13">+C121</f>
        <v>103899</v>
      </c>
      <c r="F121" t="str">
        <f>VLOOKUP(B121,'Profit Loss-Amravati-25-26'!$A$9:$H$187,1,0)</f>
        <v>GUEST HOUSE EXPENSES</v>
      </c>
      <c r="G121">
        <f>VLOOKUP(B121,'Profit Loss-Amravati-25-26'!$A$9:$H$187,7,0)</f>
        <v>103899</v>
      </c>
      <c r="H121">
        <f t="shared" si="11"/>
        <v>0</v>
      </c>
      <c r="J121">
        <v>103899</v>
      </c>
    </row>
    <row r="122" spans="1:13" x14ac:dyDescent="0.3">
      <c r="A122">
        <v>859</v>
      </c>
      <c r="B122" t="s">
        <v>220</v>
      </c>
      <c r="C122">
        <f t="shared" si="12"/>
        <v>44262</v>
      </c>
      <c r="E122">
        <f t="shared" si="13"/>
        <v>44262</v>
      </c>
      <c r="F122" t="str">
        <f>VLOOKUP(B122,'Profit Loss-Amravati-25-26'!$A$9:$H$187,1,0)</f>
        <v>STAFF/WORKER MEDICAL</v>
      </c>
      <c r="G122">
        <f>VLOOKUP(B122,'Profit Loss-Amravati-25-26'!$A$9:$H$187,7,0)</f>
        <v>54512</v>
      </c>
      <c r="H122">
        <f t="shared" si="11"/>
        <v>-10250</v>
      </c>
      <c r="J122">
        <v>44262</v>
      </c>
    </row>
    <row r="123" spans="1:13" x14ac:dyDescent="0.3">
      <c r="A123">
        <v>858</v>
      </c>
      <c r="B123" t="s">
        <v>89</v>
      </c>
      <c r="C123">
        <f t="shared" si="12"/>
        <v>342852.36</v>
      </c>
      <c r="E123">
        <f t="shared" si="13"/>
        <v>342852.36</v>
      </c>
      <c r="F123" t="str">
        <f>VLOOKUP(B123,'Profit Loss-Amravati-25-26'!$A$9:$H$187,1,0)</f>
        <v>STAFF/WORKER WELFARE</v>
      </c>
      <c r="G123">
        <f>VLOOKUP(B123,'Profit Loss-Amravati-25-26'!$A$9:$H$187,7,0)</f>
        <v>464734.36</v>
      </c>
      <c r="H123">
        <f t="shared" si="11"/>
        <v>-121882</v>
      </c>
      <c r="J123">
        <v>342852.36</v>
      </c>
    </row>
    <row r="124" spans="1:13" x14ac:dyDescent="0.3">
      <c r="A124">
        <v>870</v>
      </c>
      <c r="B124" t="s">
        <v>221</v>
      </c>
      <c r="C124">
        <f t="shared" si="12"/>
        <v>279416.12</v>
      </c>
      <c r="E124">
        <f t="shared" si="13"/>
        <v>279416.12</v>
      </c>
      <c r="F124" t="str">
        <f>VLOOKUP(B124,'Profit Loss-Amravati-25-26'!$A$9:$H$187,1,0)</f>
        <v>STAFF/WORKERS INSURANCE</v>
      </c>
      <c r="G124">
        <f>VLOOKUP(B124,'Profit Loss-Amravati-25-26'!$A$9:$H$187,7,0)</f>
        <v>116766.78666666665</v>
      </c>
      <c r="H124">
        <f t="shared" si="11"/>
        <v>162649.33333333334</v>
      </c>
      <c r="J124">
        <v>279416.12</v>
      </c>
    </row>
    <row r="125" spans="1:13" x14ac:dyDescent="0.3">
      <c r="A125">
        <v>981</v>
      </c>
      <c r="B125" t="s">
        <v>109</v>
      </c>
      <c r="C125">
        <f t="shared" si="12"/>
        <v>192771.49</v>
      </c>
      <c r="E125">
        <f t="shared" si="13"/>
        <v>192771.49</v>
      </c>
      <c r="F125" t="str">
        <f>VLOOKUP(B125,'Profit Loss-Amravati-25-26'!$A$9:$H$187,1,0)</f>
        <v>BANK CHARGES</v>
      </c>
      <c r="G125">
        <f>VLOOKUP(B125,'Profit Loss-Amravati-25-26'!$A$9:$H$187,7,0)</f>
        <v>192771.49</v>
      </c>
      <c r="H125">
        <f t="shared" si="11"/>
        <v>0</v>
      </c>
      <c r="J125">
        <v>192771.49</v>
      </c>
    </row>
    <row r="126" spans="1:13" x14ac:dyDescent="0.3">
      <c r="A126">
        <v>974</v>
      </c>
      <c r="B126" t="s">
        <v>94</v>
      </c>
      <c r="C126">
        <f t="shared" si="12"/>
        <v>699</v>
      </c>
      <c r="E126">
        <f t="shared" si="13"/>
        <v>699</v>
      </c>
      <c r="F126" t="str">
        <f>VLOOKUP(B126,'Profit Loss-Amravati-25-26'!$A$9:$H$187,1,0)</f>
        <v>BANK GUARANTEE CHARGES</v>
      </c>
      <c r="G126">
        <f>VLOOKUP(B126,'Profit Loss-Amravati-25-26'!$A$9:$H$187,7,0)</f>
        <v>233</v>
      </c>
      <c r="H126">
        <f t="shared" si="11"/>
        <v>466</v>
      </c>
      <c r="J126">
        <v>699</v>
      </c>
    </row>
    <row r="127" spans="1:13" x14ac:dyDescent="0.3">
      <c r="A127">
        <v>1214</v>
      </c>
      <c r="B127" t="s">
        <v>106</v>
      </c>
      <c r="C127">
        <f t="shared" si="12"/>
        <v>2000</v>
      </c>
      <c r="E127">
        <f t="shared" si="13"/>
        <v>2000</v>
      </c>
      <c r="F127" t="str">
        <f>VLOOKUP(B127,'Profit Loss-Amravati-25-26'!$A$9:$H$187,1,0)</f>
        <v>L/C CHARGES</v>
      </c>
      <c r="G127">
        <f>VLOOKUP(B127,'Profit Loss-Amravati-25-26'!$A$9:$H$187,7,0)</f>
        <v>2000</v>
      </c>
      <c r="H127">
        <f t="shared" si="11"/>
        <v>0</v>
      </c>
      <c r="J127">
        <v>2000</v>
      </c>
    </row>
    <row r="128" spans="1:13" x14ac:dyDescent="0.3">
      <c r="A128">
        <v>25273</v>
      </c>
      <c r="B128" t="s">
        <v>112</v>
      </c>
      <c r="C128">
        <f t="shared" si="12"/>
        <v>717626.67</v>
      </c>
      <c r="E128">
        <f t="shared" si="13"/>
        <v>717626.67</v>
      </c>
      <c r="F128" t="str">
        <f>VLOOKUP(B128,'Profit Loss-Amravati-25-26'!$A$9:$H$187,1,0)</f>
        <v>CASH DISCOUNT PAID</v>
      </c>
      <c r="G128">
        <f>VLOOKUP(B128,'Profit Loss-Amravati-25-26'!$A$9:$H$187,7,0)</f>
        <v>717626.67</v>
      </c>
      <c r="H128">
        <f t="shared" si="11"/>
        <v>0</v>
      </c>
      <c r="J128">
        <v>717626.67</v>
      </c>
    </row>
    <row r="129" spans="1:10" x14ac:dyDescent="0.3">
      <c r="A129">
        <v>986</v>
      </c>
      <c r="B129" t="s">
        <v>114</v>
      </c>
      <c r="C129">
        <f t="shared" si="12"/>
        <v>1577</v>
      </c>
      <c r="E129">
        <f t="shared" si="13"/>
        <v>1577</v>
      </c>
      <c r="F129" t="str">
        <f>VLOOKUP(B129,'Profit Loss-Amravati-25-26'!$A$9:$H$187,1,0)</f>
        <v>INTEREST TO OTHERS</v>
      </c>
      <c r="G129">
        <f>VLOOKUP(B129,'Profit Loss-Amravati-25-26'!$A$9:$H$187,7,0)</f>
        <v>1577</v>
      </c>
      <c r="H129">
        <f t="shared" si="11"/>
        <v>0</v>
      </c>
      <c r="J129">
        <v>1577</v>
      </c>
    </row>
    <row r="130" spans="1:10" x14ac:dyDescent="0.3">
      <c r="A130" t="s">
        <v>162</v>
      </c>
      <c r="B130" t="s">
        <v>246</v>
      </c>
      <c r="C130">
        <f>SUM(C25:C129)</f>
        <v>454468891.80999994</v>
      </c>
      <c r="D130" t="s">
        <v>144</v>
      </c>
      <c r="E130">
        <f t="shared" si="13"/>
        <v>454468891.80999994</v>
      </c>
    </row>
    <row r="131" spans="1:10" x14ac:dyDescent="0.3">
      <c r="A131" t="s">
        <v>167</v>
      </c>
      <c r="B131" t="s">
        <v>168</v>
      </c>
      <c r="C131">
        <v>454461409.81</v>
      </c>
    </row>
    <row r="132" spans="1:10" x14ac:dyDescent="0.3">
      <c r="A132" t="s">
        <v>162</v>
      </c>
      <c r="B132" t="s">
        <v>246</v>
      </c>
      <c r="C132">
        <f>+C24-C130</f>
        <v>-190075904.79999992</v>
      </c>
      <c r="D132" t="s">
        <v>144</v>
      </c>
      <c r="E132" t="s">
        <v>144</v>
      </c>
    </row>
    <row r="134" spans="1:10" x14ac:dyDescent="0.3">
      <c r="A134" t="s">
        <v>169</v>
      </c>
      <c r="B134" t="s">
        <v>349</v>
      </c>
      <c r="C134">
        <v>2.8</v>
      </c>
    </row>
    <row r="138" spans="1:10" x14ac:dyDescent="0.3">
      <c r="C138">
        <v>190075904</v>
      </c>
    </row>
    <row r="139" spans="1:10" x14ac:dyDescent="0.3">
      <c r="C139">
        <f>+C132+C138</f>
        <v>-0.79999992251396179</v>
      </c>
    </row>
    <row r="167" spans="1:5" x14ac:dyDescent="0.3">
      <c r="A167" t="s">
        <v>171</v>
      </c>
      <c r="B167" t="s">
        <v>249</v>
      </c>
      <c r="C167" t="s">
        <v>242</v>
      </c>
      <c r="D167" t="s">
        <v>154</v>
      </c>
      <c r="E167" t="s">
        <v>250</v>
      </c>
    </row>
    <row r="168" spans="1:5" x14ac:dyDescent="0.3">
      <c r="A168" t="s">
        <v>156</v>
      </c>
      <c r="B168" t="s">
        <v>347</v>
      </c>
      <c r="D168" t="s">
        <v>252</v>
      </c>
      <c r="E168" t="s">
        <v>350</v>
      </c>
    </row>
    <row r="169" spans="1:5" x14ac:dyDescent="0.3">
      <c r="A169" t="s">
        <v>157</v>
      </c>
    </row>
  </sheetData>
  <autoFilter ref="A7:C134" xr:uid="{D660219B-3DF2-4D31-BEC7-B8ECD34A786F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8C91-5A08-4BAF-B648-C67B80A4EF33}">
  <dimension ref="A1:E84"/>
  <sheetViews>
    <sheetView topLeftCell="A31" workbookViewId="0">
      <selection activeCell="C53" sqref="C53"/>
    </sheetView>
  </sheetViews>
  <sheetFormatPr defaultRowHeight="14.4" x14ac:dyDescent="0.3"/>
  <cols>
    <col min="1" max="1" width="10.44140625" customWidth="1"/>
    <col min="2" max="2" width="38.33203125" customWidth="1"/>
    <col min="3" max="5" width="29.33203125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160</v>
      </c>
      <c r="C3" t="s">
        <v>351</v>
      </c>
      <c r="D3" t="s">
        <v>143</v>
      </c>
    </row>
    <row r="4" spans="1:5" x14ac:dyDescent="0.3">
      <c r="A4" t="s">
        <v>317</v>
      </c>
      <c r="B4" t="s">
        <v>163</v>
      </c>
      <c r="C4" t="s">
        <v>255</v>
      </c>
      <c r="D4" t="s">
        <v>144</v>
      </c>
      <c r="E4" t="s">
        <v>144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317</v>
      </c>
      <c r="B7" t="s">
        <v>163</v>
      </c>
      <c r="C7" t="s">
        <v>255</v>
      </c>
      <c r="D7" t="s">
        <v>144</v>
      </c>
      <c r="E7" t="s">
        <v>144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v>9026583.0099999998</v>
      </c>
    </row>
    <row r="10" spans="1:5" x14ac:dyDescent="0.3">
      <c r="A10" t="s">
        <v>323</v>
      </c>
      <c r="B10" t="s">
        <v>324</v>
      </c>
      <c r="C10">
        <f>SUM(C9)</f>
        <v>9026583.0099999998</v>
      </c>
      <c r="D10">
        <v>9026583.0099999998</v>
      </c>
    </row>
    <row r="11" spans="1:5" x14ac:dyDescent="0.3">
      <c r="A11">
        <v>20335</v>
      </c>
      <c r="B11" t="s">
        <v>39</v>
      </c>
      <c r="C11">
        <v>400</v>
      </c>
    </row>
    <row r="12" spans="1:5" x14ac:dyDescent="0.3">
      <c r="A12">
        <v>36583</v>
      </c>
      <c r="B12" t="s">
        <v>200</v>
      </c>
      <c r="C12">
        <v>96043.72</v>
      </c>
    </row>
    <row r="13" spans="1:5" x14ac:dyDescent="0.3">
      <c r="A13">
        <v>815</v>
      </c>
      <c r="B13" t="s">
        <v>40</v>
      </c>
      <c r="C13">
        <v>6497</v>
      </c>
    </row>
    <row r="14" spans="1:5" x14ac:dyDescent="0.3">
      <c r="A14">
        <v>25339</v>
      </c>
      <c r="B14" t="s">
        <v>192</v>
      </c>
      <c r="C14">
        <v>400539.68</v>
      </c>
    </row>
    <row r="15" spans="1:5" x14ac:dyDescent="0.3">
      <c r="A15">
        <v>810</v>
      </c>
      <c r="B15" t="s">
        <v>48</v>
      </c>
      <c r="C15">
        <v>6700</v>
      </c>
    </row>
    <row r="16" spans="1:5" x14ac:dyDescent="0.3">
      <c r="A16">
        <v>937</v>
      </c>
      <c r="B16" t="s">
        <v>58</v>
      </c>
      <c r="C16">
        <v>7250</v>
      </c>
    </row>
    <row r="17" spans="1:3" x14ac:dyDescent="0.3">
      <c r="A17">
        <v>809</v>
      </c>
      <c r="B17" t="s">
        <v>46</v>
      </c>
      <c r="C17">
        <v>482328</v>
      </c>
    </row>
    <row r="18" spans="1:3" x14ac:dyDescent="0.3">
      <c r="A18">
        <v>20336</v>
      </c>
      <c r="B18" t="s">
        <v>12</v>
      </c>
      <c r="C18">
        <v>12500</v>
      </c>
    </row>
    <row r="19" spans="1:3" x14ac:dyDescent="0.3">
      <c r="A19">
        <v>961</v>
      </c>
      <c r="B19" t="s">
        <v>91</v>
      </c>
      <c r="C19">
        <v>8800</v>
      </c>
    </row>
    <row r="20" spans="1:3" x14ac:dyDescent="0.3">
      <c r="A20">
        <v>894</v>
      </c>
      <c r="B20" t="s">
        <v>70</v>
      </c>
      <c r="C20">
        <v>41376</v>
      </c>
    </row>
    <row r="21" spans="1:3" x14ac:dyDescent="0.3">
      <c r="A21">
        <v>963</v>
      </c>
      <c r="B21" t="s">
        <v>92</v>
      </c>
      <c r="C21">
        <v>93670</v>
      </c>
    </row>
    <row r="22" spans="1:3" x14ac:dyDescent="0.3">
      <c r="A22">
        <v>29063</v>
      </c>
      <c r="B22" t="s">
        <v>206</v>
      </c>
      <c r="C22">
        <v>263</v>
      </c>
    </row>
    <row r="23" spans="1:3" x14ac:dyDescent="0.3">
      <c r="A23">
        <v>821</v>
      </c>
      <c r="B23" t="s">
        <v>113</v>
      </c>
      <c r="C23">
        <v>645800</v>
      </c>
    </row>
    <row r="24" spans="1:3" x14ac:dyDescent="0.3">
      <c r="A24">
        <v>904</v>
      </c>
      <c r="B24" t="s">
        <v>67</v>
      </c>
      <c r="C24">
        <v>12117</v>
      </c>
    </row>
    <row r="25" spans="1:3" x14ac:dyDescent="0.3">
      <c r="A25">
        <v>932</v>
      </c>
      <c r="B25" t="s">
        <v>54</v>
      </c>
      <c r="C25">
        <v>25582</v>
      </c>
    </row>
    <row r="26" spans="1:3" x14ac:dyDescent="0.3">
      <c r="A26">
        <v>1101</v>
      </c>
      <c r="B26" t="s">
        <v>229</v>
      </c>
      <c r="C26">
        <v>20000</v>
      </c>
    </row>
    <row r="27" spans="1:3" x14ac:dyDescent="0.3">
      <c r="A27">
        <v>854</v>
      </c>
      <c r="B27" t="s">
        <v>205</v>
      </c>
      <c r="C27">
        <v>20177</v>
      </c>
    </row>
    <row r="28" spans="1:3" x14ac:dyDescent="0.3">
      <c r="A28">
        <v>983</v>
      </c>
      <c r="B28" t="s">
        <v>95</v>
      </c>
      <c r="C28">
        <v>40582</v>
      </c>
    </row>
    <row r="29" spans="1:3" x14ac:dyDescent="0.3">
      <c r="A29">
        <v>1074</v>
      </c>
      <c r="B29" t="s">
        <v>202</v>
      </c>
      <c r="C29">
        <v>30100</v>
      </c>
    </row>
    <row r="30" spans="1:3" x14ac:dyDescent="0.3">
      <c r="A30">
        <v>926</v>
      </c>
      <c r="B30" t="s">
        <v>207</v>
      </c>
      <c r="C30">
        <v>18045</v>
      </c>
    </row>
    <row r="31" spans="1:3" x14ac:dyDescent="0.3">
      <c r="A31">
        <v>934</v>
      </c>
      <c r="B31" t="s">
        <v>103</v>
      </c>
      <c r="C31">
        <v>2475</v>
      </c>
    </row>
    <row r="32" spans="1:3" x14ac:dyDescent="0.3">
      <c r="A32">
        <v>685</v>
      </c>
      <c r="B32" t="s">
        <v>97</v>
      </c>
      <c r="C32">
        <v>2820</v>
      </c>
    </row>
    <row r="33" spans="1:3" x14ac:dyDescent="0.3">
      <c r="A33">
        <v>920</v>
      </c>
      <c r="B33" t="s">
        <v>153</v>
      </c>
      <c r="C33">
        <v>4759.8</v>
      </c>
    </row>
    <row r="34" spans="1:3" x14ac:dyDescent="0.3">
      <c r="A34">
        <v>936</v>
      </c>
      <c r="B34" t="s">
        <v>225</v>
      </c>
      <c r="C34">
        <v>16928.78</v>
      </c>
    </row>
    <row r="35" spans="1:3" x14ac:dyDescent="0.3">
      <c r="A35">
        <v>812</v>
      </c>
      <c r="B35" t="s">
        <v>90</v>
      </c>
      <c r="C35">
        <v>41609.69</v>
      </c>
    </row>
    <row r="36" spans="1:3" x14ac:dyDescent="0.3">
      <c r="A36">
        <v>1021</v>
      </c>
      <c r="B36" t="s">
        <v>57</v>
      </c>
      <c r="C36">
        <v>-2.4900000000000002</v>
      </c>
    </row>
    <row r="37" spans="1:3" x14ac:dyDescent="0.3">
      <c r="A37">
        <v>948</v>
      </c>
      <c r="B37" t="s">
        <v>72</v>
      </c>
      <c r="C37">
        <v>122051</v>
      </c>
    </row>
    <row r="38" spans="1:3" x14ac:dyDescent="0.3">
      <c r="A38">
        <v>855</v>
      </c>
      <c r="B38" t="s">
        <v>73</v>
      </c>
      <c r="C38">
        <v>116700</v>
      </c>
    </row>
    <row r="39" spans="1:3" x14ac:dyDescent="0.3">
      <c r="A39">
        <v>853</v>
      </c>
      <c r="B39" t="s">
        <v>74</v>
      </c>
      <c r="C39">
        <v>182900</v>
      </c>
    </row>
    <row r="40" spans="1:3" x14ac:dyDescent="0.3">
      <c r="A40">
        <v>10208</v>
      </c>
      <c r="B40" t="s">
        <v>78</v>
      </c>
      <c r="C40">
        <v>41414</v>
      </c>
    </row>
    <row r="41" spans="1:3" x14ac:dyDescent="0.3">
      <c r="A41">
        <v>851</v>
      </c>
      <c r="B41" t="s">
        <v>81</v>
      </c>
      <c r="C41">
        <v>2000617</v>
      </c>
    </row>
    <row r="42" spans="1:3" x14ac:dyDescent="0.3">
      <c r="A42">
        <v>1325</v>
      </c>
      <c r="B42" t="s">
        <v>98</v>
      </c>
      <c r="C42">
        <v>8148976</v>
      </c>
    </row>
    <row r="43" spans="1:3" x14ac:dyDescent="0.3">
      <c r="A43">
        <v>39011</v>
      </c>
      <c r="B43" t="s">
        <v>83</v>
      </c>
      <c r="C43">
        <v>34332</v>
      </c>
    </row>
    <row r="44" spans="1:3" x14ac:dyDescent="0.3">
      <c r="A44">
        <v>38580</v>
      </c>
      <c r="B44" t="s">
        <v>82</v>
      </c>
      <c r="C44">
        <v>121289</v>
      </c>
    </row>
    <row r="45" spans="1:3" x14ac:dyDescent="0.3">
      <c r="A45">
        <v>39010</v>
      </c>
      <c r="B45" t="s">
        <v>85</v>
      </c>
      <c r="C45">
        <v>-3029</v>
      </c>
    </row>
    <row r="46" spans="1:3" x14ac:dyDescent="0.3">
      <c r="A46">
        <v>38579</v>
      </c>
      <c r="B46" t="s">
        <v>86</v>
      </c>
      <c r="C46">
        <v>-39939</v>
      </c>
    </row>
    <row r="47" spans="1:3" x14ac:dyDescent="0.3">
      <c r="A47">
        <v>872</v>
      </c>
      <c r="B47" t="s">
        <v>87</v>
      </c>
      <c r="C47">
        <v>10500</v>
      </c>
    </row>
    <row r="48" spans="1:3" x14ac:dyDescent="0.3">
      <c r="A48">
        <v>868</v>
      </c>
      <c r="B48" t="s">
        <v>88</v>
      </c>
      <c r="C48">
        <v>10022</v>
      </c>
    </row>
    <row r="49" spans="1:4" x14ac:dyDescent="0.3">
      <c r="A49">
        <v>859</v>
      </c>
      <c r="B49" t="s">
        <v>220</v>
      </c>
      <c r="C49">
        <v>532</v>
      </c>
    </row>
    <row r="50" spans="1:4" x14ac:dyDescent="0.3">
      <c r="A50">
        <v>858</v>
      </c>
      <c r="B50" t="s">
        <v>89</v>
      </c>
      <c r="C50">
        <v>129720</v>
      </c>
    </row>
    <row r="51" spans="1:4" x14ac:dyDescent="0.3">
      <c r="A51">
        <v>981</v>
      </c>
      <c r="B51" t="s">
        <v>109</v>
      </c>
      <c r="C51">
        <v>8820.5</v>
      </c>
    </row>
    <row r="52" spans="1:4" x14ac:dyDescent="0.3">
      <c r="A52" t="s">
        <v>325</v>
      </c>
      <c r="B52" t="s">
        <v>326</v>
      </c>
      <c r="C52">
        <f>SUM(C11:C51)</f>
        <v>12922266.68</v>
      </c>
      <c r="D52">
        <v>12919466.68</v>
      </c>
    </row>
    <row r="53" spans="1:4" x14ac:dyDescent="0.3">
      <c r="C53">
        <f>+C10-C52</f>
        <v>-3895683.67</v>
      </c>
      <c r="D53">
        <f>+C52-D52</f>
        <v>2800</v>
      </c>
    </row>
    <row r="54" spans="1:4" x14ac:dyDescent="0.3">
      <c r="A54" t="s">
        <v>327</v>
      </c>
      <c r="B54" t="s">
        <v>353</v>
      </c>
      <c r="C54">
        <v>3.67</v>
      </c>
    </row>
    <row r="82" spans="1:5" x14ac:dyDescent="0.3">
      <c r="A82" t="s">
        <v>329</v>
      </c>
      <c r="B82" t="s">
        <v>172</v>
      </c>
      <c r="C82" t="s">
        <v>259</v>
      </c>
      <c r="D82" t="s">
        <v>154</v>
      </c>
      <c r="E82" t="s">
        <v>250</v>
      </c>
    </row>
    <row r="83" spans="1:5" x14ac:dyDescent="0.3">
      <c r="A83" t="s">
        <v>156</v>
      </c>
      <c r="B83" t="s">
        <v>352</v>
      </c>
      <c r="D83" t="s">
        <v>252</v>
      </c>
      <c r="E83" t="s">
        <v>348</v>
      </c>
    </row>
    <row r="84" spans="1:5" x14ac:dyDescent="0.3">
      <c r="A84" t="s">
        <v>157</v>
      </c>
    </row>
  </sheetData>
  <autoFilter ref="A7:C62" xr:uid="{D9078C91-5A08-4BAF-B648-C67B80A4EF33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0D87-901B-4312-89E4-36472C17812F}">
  <dimension ref="A1:G127"/>
  <sheetViews>
    <sheetView topLeftCell="A99" workbookViewId="0">
      <selection activeCell="B139" sqref="B139"/>
    </sheetView>
  </sheetViews>
  <sheetFormatPr defaultRowHeight="14.4" x14ac:dyDescent="0.3"/>
  <cols>
    <col min="2" max="7" width="36.109375" customWidth="1"/>
  </cols>
  <sheetData>
    <row r="1" spans="1:7" x14ac:dyDescent="0.3">
      <c r="A1" t="s">
        <v>141</v>
      </c>
      <c r="B1" t="s">
        <v>239</v>
      </c>
      <c r="D1" t="s">
        <v>143</v>
      </c>
    </row>
    <row r="2" spans="1:7" x14ac:dyDescent="0.3">
      <c r="A2" t="s">
        <v>141</v>
      </c>
      <c r="B2" t="s">
        <v>240</v>
      </c>
      <c r="D2" t="s">
        <v>143</v>
      </c>
    </row>
    <row r="3" spans="1:7" x14ac:dyDescent="0.3">
      <c r="A3" t="s">
        <v>141</v>
      </c>
      <c r="B3" t="s">
        <v>244</v>
      </c>
      <c r="C3" t="s">
        <v>303</v>
      </c>
      <c r="D3" t="s">
        <v>143</v>
      </c>
    </row>
    <row r="4" spans="1:7" x14ac:dyDescent="0.3">
      <c r="A4" t="s">
        <v>272</v>
      </c>
      <c r="B4" t="s">
        <v>273</v>
      </c>
      <c r="C4" t="s">
        <v>241</v>
      </c>
      <c r="D4" t="s">
        <v>304</v>
      </c>
      <c r="E4" t="s">
        <v>241</v>
      </c>
    </row>
    <row r="5" spans="1:7" x14ac:dyDescent="0.3">
      <c r="A5" t="s">
        <v>274</v>
      </c>
      <c r="B5" t="s">
        <v>275</v>
      </c>
      <c r="C5" t="s">
        <v>147</v>
      </c>
      <c r="D5" t="s">
        <v>148</v>
      </c>
    </row>
    <row r="6" spans="1:7" x14ac:dyDescent="0.3">
      <c r="A6" t="s">
        <v>149</v>
      </c>
      <c r="B6" t="s">
        <v>150</v>
      </c>
      <c r="C6" t="s">
        <v>151</v>
      </c>
      <c r="D6" t="s">
        <v>152</v>
      </c>
    </row>
    <row r="7" spans="1:7" x14ac:dyDescent="0.3">
      <c r="A7" t="s">
        <v>272</v>
      </c>
      <c r="B7" t="s">
        <v>273</v>
      </c>
      <c r="C7" t="s">
        <v>241</v>
      </c>
      <c r="D7" t="s">
        <v>304</v>
      </c>
      <c r="E7" t="s">
        <v>241</v>
      </c>
    </row>
    <row r="8" spans="1:7" x14ac:dyDescent="0.3">
      <c r="A8" t="s">
        <v>3</v>
      </c>
    </row>
    <row r="9" spans="1:7" x14ac:dyDescent="0.3">
      <c r="A9" t="s">
        <v>4</v>
      </c>
    </row>
    <row r="10" spans="1:7" x14ac:dyDescent="0.3">
      <c r="A10">
        <v>21686</v>
      </c>
      <c r="B10" t="s">
        <v>176</v>
      </c>
      <c r="C10">
        <v>17488529</v>
      </c>
      <c r="E10" t="str">
        <f>VLOOKUP(B10,'Profit Loss-Amravati-25-26'!$A$9:$F$188,1,0)</f>
        <v>SALE EXPORT (GARMENT))</v>
      </c>
      <c r="F10">
        <f>VLOOKUP(B10,'Profit Loss-Amravati-25-26'!$A$9:$F$188,5,0)</f>
        <v>17488529</v>
      </c>
      <c r="G10">
        <f>+C10-F10</f>
        <v>0</v>
      </c>
    </row>
    <row r="11" spans="1:7" x14ac:dyDescent="0.3">
      <c r="A11">
        <v>701</v>
      </c>
      <c r="B11" t="s">
        <v>178</v>
      </c>
      <c r="C11">
        <v>162790</v>
      </c>
      <c r="E11" t="str">
        <f>VLOOKUP(B11,'Profit Loss-Amravati-25-26'!$A$9:$F$188,1,0)</f>
        <v>SALE LOCAL</v>
      </c>
      <c r="F11">
        <f>VLOOKUP(B11,'Profit Loss-Amravati-25-26'!$A$9:$F$188,5,0)</f>
        <v>162790</v>
      </c>
      <c r="G11">
        <f t="shared" ref="G11:G74" si="0">+C11-F11</f>
        <v>0</v>
      </c>
    </row>
    <row r="12" spans="1:7" x14ac:dyDescent="0.3">
      <c r="A12">
        <v>16905</v>
      </c>
      <c r="B12" t="s">
        <v>177</v>
      </c>
      <c r="C12">
        <v>148709432.34999999</v>
      </c>
      <c r="E12" t="str">
        <f>VLOOKUP(B12,'Profit Loss-Amravati-25-26'!$A$9:$F$188,1,0)</f>
        <v>SALE LOCAL (GARMENT)</v>
      </c>
      <c r="F12">
        <f>VLOOKUP(B12,'Profit Loss-Amravati-25-26'!$A$9:$F$188,5,0)</f>
        <v>148598505.34999999</v>
      </c>
      <c r="G12">
        <f t="shared" si="0"/>
        <v>110927</v>
      </c>
    </row>
    <row r="13" spans="1:7" x14ac:dyDescent="0.3">
      <c r="A13">
        <v>26282</v>
      </c>
      <c r="B13" t="s">
        <v>247</v>
      </c>
      <c r="C13">
        <v>21860</v>
      </c>
      <c r="E13" t="str">
        <f>VLOOKUP(B13,'Profit Loss-Amravati-25-26'!$A$9:$F$188,1,0)</f>
        <v>SALE LOCAL - MISCELLANEOUS ITEMS</v>
      </c>
      <c r="F13">
        <f>VLOOKUP(B13,'Profit Loss-Amravati-25-26'!$A$9:$F$188,5,0)</f>
        <v>21860</v>
      </c>
      <c r="G13">
        <f t="shared" si="0"/>
        <v>0</v>
      </c>
    </row>
    <row r="14" spans="1:7" x14ac:dyDescent="0.3">
      <c r="A14">
        <v>35115</v>
      </c>
      <c r="B14" t="s">
        <v>179</v>
      </c>
      <c r="C14">
        <v>3480367</v>
      </c>
      <c r="E14" t="str">
        <f>VLOOKUP(B14,'Profit Loss-Amravati-25-26'!$A$9:$F$188,1,0)</f>
        <v>SALE TRADING - LOCAL - FABRIC</v>
      </c>
      <c r="F14">
        <f>VLOOKUP(B14,'Profit Loss-Amravati-25-26'!$A$9:$F$188,5,0)</f>
        <v>3480367</v>
      </c>
      <c r="G14">
        <f t="shared" si="0"/>
        <v>0</v>
      </c>
    </row>
    <row r="15" spans="1:7" x14ac:dyDescent="0.3">
      <c r="A15">
        <v>1015</v>
      </c>
      <c r="B15" t="s">
        <v>120</v>
      </c>
      <c r="C15">
        <v>-56797.37</v>
      </c>
      <c r="E15" t="str">
        <f>VLOOKUP(B15,'Profit Loss-Amravati-25-26'!$A$9:$F$188,1,0)</f>
        <v>DIFF.IN FOREIGN CURR.</v>
      </c>
      <c r="F15">
        <f>VLOOKUP(B15,'Profit Loss-Amravati-25-26'!$A$9:$F$188,5,0)</f>
        <v>-56797.37</v>
      </c>
      <c r="G15">
        <f t="shared" si="0"/>
        <v>0</v>
      </c>
    </row>
    <row r="16" spans="1:7" x14ac:dyDescent="0.3">
      <c r="A16">
        <v>1002</v>
      </c>
      <c r="B16" t="s">
        <v>28</v>
      </c>
      <c r="C16">
        <v>316074</v>
      </c>
      <c r="E16" t="str">
        <f>VLOOKUP(B16,'Profit Loss-Amravati-25-26'!$A$9:$F$188,1,0)</f>
        <v>DEPB LICENCE SALE</v>
      </c>
      <c r="F16">
        <f>VLOOKUP(B16,'Profit Loss-Amravati-25-26'!$A$9:$F$188,5,0)</f>
        <v>316074</v>
      </c>
      <c r="G16">
        <f t="shared" si="0"/>
        <v>0</v>
      </c>
    </row>
    <row r="17" spans="1:7" x14ac:dyDescent="0.3">
      <c r="A17">
        <v>1201</v>
      </c>
      <c r="B17" t="s">
        <v>30</v>
      </c>
      <c r="C17">
        <v>515793</v>
      </c>
      <c r="E17" t="str">
        <f>VLOOKUP(B17,'Profit Loss-Amravati-25-26'!$A$9:$F$188,1,0)</f>
        <v>DUTY DRAWBACK RECEIVED</v>
      </c>
      <c r="F17">
        <f>VLOOKUP(B17,'Profit Loss-Amravati-25-26'!$A$9:$F$188,5,0)</f>
        <v>517983</v>
      </c>
      <c r="G17">
        <f t="shared" si="0"/>
        <v>-2190</v>
      </c>
    </row>
    <row r="18" spans="1:7" x14ac:dyDescent="0.3">
      <c r="A18">
        <v>1227</v>
      </c>
      <c r="B18" t="s">
        <v>182</v>
      </c>
      <c r="C18">
        <v>1524524</v>
      </c>
      <c r="E18" t="str">
        <f>VLOOKUP(B18,'Profit Loss-Amravati-25-26'!$A$9:$F$188,1,0)</f>
        <v>SALE FABRIC WASTE</v>
      </c>
      <c r="F18">
        <f>VLOOKUP(B18,'Profit Loss-Amravati-25-26'!$A$9:$F$188,5,0)</f>
        <v>1524524</v>
      </c>
      <c r="G18">
        <f t="shared" si="0"/>
        <v>0</v>
      </c>
    </row>
    <row r="19" spans="1:7" x14ac:dyDescent="0.3">
      <c r="A19">
        <v>703</v>
      </c>
      <c r="B19" t="s">
        <v>181</v>
      </c>
      <c r="C19">
        <v>122094</v>
      </c>
      <c r="E19" t="str">
        <f>VLOOKUP(B19,'Profit Loss-Amravati-25-26'!$A$9:$F$188,1,0)</f>
        <v>SALE SCRAP</v>
      </c>
      <c r="F19">
        <f>VLOOKUP(B19,'Profit Loss-Amravati-25-26'!$A$9:$F$188,5,0)</f>
        <v>122094</v>
      </c>
      <c r="G19">
        <f t="shared" si="0"/>
        <v>0</v>
      </c>
    </row>
    <row r="20" spans="1:7" x14ac:dyDescent="0.3">
      <c r="A20">
        <v>1022</v>
      </c>
      <c r="B20" t="s">
        <v>276</v>
      </c>
      <c r="C20">
        <v>1</v>
      </c>
      <c r="E20" t="e">
        <f>VLOOKUP(B20,'Profit Loss-Amravati-25-26'!$A$9:$F$188,1,0)</f>
        <v>#N/A</v>
      </c>
      <c r="F20" t="e">
        <f>VLOOKUP(B20,'Profit Loss-Amravati-25-26'!$A$9:$F$188,5,0)</f>
        <v>#N/A</v>
      </c>
      <c r="G20" t="e">
        <f t="shared" si="0"/>
        <v>#N/A</v>
      </c>
    </row>
    <row r="21" spans="1:7" x14ac:dyDescent="0.3">
      <c r="A21">
        <v>1016</v>
      </c>
      <c r="B21" t="s">
        <v>124</v>
      </c>
      <c r="C21">
        <v>1280</v>
      </c>
      <c r="E21" t="str">
        <f>VLOOKUP(B21,'Profit Loss-Amravati-25-26'!$A$9:$F$188,1,0)</f>
        <v>SUNDRY CREDITORS WRITTEN BACK</v>
      </c>
      <c r="F21">
        <f>VLOOKUP(B21,'Profit Loss-Amravati-25-26'!$A$9:$F$188,5,0)</f>
        <v>1280</v>
      </c>
      <c r="G21">
        <f t="shared" si="0"/>
        <v>0</v>
      </c>
    </row>
    <row r="22" spans="1:7" x14ac:dyDescent="0.3">
      <c r="A22" t="s">
        <v>277</v>
      </c>
      <c r="B22" t="s">
        <v>3</v>
      </c>
      <c r="C22">
        <f>SUM(C10:C21)</f>
        <v>172285946.97999999</v>
      </c>
      <c r="E22" t="e">
        <f>VLOOKUP(B22,'Profit Loss-Amravati-25-26'!$A$9:$F$188,1,0)</f>
        <v>#N/A</v>
      </c>
      <c r="F22" t="e">
        <f>VLOOKUP(B22,'Profit Loss-Amravati-25-26'!$A$9:$F$188,5,0)</f>
        <v>#N/A</v>
      </c>
      <c r="G22" t="e">
        <f t="shared" si="0"/>
        <v>#N/A</v>
      </c>
    </row>
    <row r="23" spans="1:7" x14ac:dyDescent="0.3">
      <c r="A23">
        <v>1054</v>
      </c>
      <c r="B23" t="s">
        <v>305</v>
      </c>
      <c r="C23">
        <v>3508237.17</v>
      </c>
      <c r="E23" t="e">
        <f>VLOOKUP(B23,'Profit Loss-Amravati-25-26'!$A$9:$F$188,1,0)</f>
        <v>#N/A</v>
      </c>
      <c r="F23" t="e">
        <f>VLOOKUP(B23,'Profit Loss-Amravati-25-26'!$A$9:$F$188,5,0)</f>
        <v>#N/A</v>
      </c>
      <c r="G23" t="e">
        <f t="shared" si="0"/>
        <v>#N/A</v>
      </c>
    </row>
    <row r="24" spans="1:7" x14ac:dyDescent="0.3">
      <c r="A24">
        <v>1508</v>
      </c>
      <c r="B24" t="s">
        <v>306</v>
      </c>
      <c r="C24">
        <v>9983215.9800000004</v>
      </c>
      <c r="E24" t="e">
        <f>VLOOKUP(B24,'Profit Loss-Amravati-25-26'!$A$9:$F$188,1,0)</f>
        <v>#N/A</v>
      </c>
      <c r="F24" t="e">
        <f>VLOOKUP(B24,'Profit Loss-Amravati-25-26'!$A$9:$F$188,5,0)</f>
        <v>#N/A</v>
      </c>
      <c r="G24" t="e">
        <f t="shared" si="0"/>
        <v>#N/A</v>
      </c>
    </row>
    <row r="25" spans="1:7" x14ac:dyDescent="0.3">
      <c r="A25">
        <v>726</v>
      </c>
      <c r="B25" t="s">
        <v>307</v>
      </c>
      <c r="C25">
        <v>57001475.630000003</v>
      </c>
      <c r="E25" t="e">
        <f>VLOOKUP(B25,'Profit Loss-Amravati-25-26'!$A$9:$F$188,1,0)</f>
        <v>#N/A</v>
      </c>
      <c r="F25" t="e">
        <f>VLOOKUP(B25,'Profit Loss-Amravati-25-26'!$A$9:$F$188,5,0)</f>
        <v>#N/A</v>
      </c>
      <c r="G25" t="e">
        <f t="shared" si="0"/>
        <v>#N/A</v>
      </c>
    </row>
    <row r="26" spans="1:7" x14ac:dyDescent="0.3">
      <c r="A26">
        <v>31383</v>
      </c>
      <c r="B26" t="s">
        <v>308</v>
      </c>
      <c r="C26">
        <v>81361572.290000007</v>
      </c>
      <c r="E26" t="e">
        <f>VLOOKUP(B26,'Profit Loss-Amravati-25-26'!$A$9:$F$188,1,0)</f>
        <v>#N/A</v>
      </c>
      <c r="F26" t="e">
        <f>VLOOKUP(B26,'Profit Loss-Amravati-25-26'!$A$9:$F$188,5,0)</f>
        <v>#N/A</v>
      </c>
      <c r="G26" t="e">
        <f t="shared" si="0"/>
        <v>#N/A</v>
      </c>
    </row>
    <row r="27" spans="1:7" x14ac:dyDescent="0.3">
      <c r="A27">
        <v>35552</v>
      </c>
      <c r="B27" t="s">
        <v>309</v>
      </c>
      <c r="C27">
        <v>10045740.779999999</v>
      </c>
      <c r="E27" t="e">
        <f>VLOOKUP(B27,'Profit Loss-Amravati-25-26'!$A$9:$F$188,1,0)</f>
        <v>#N/A</v>
      </c>
      <c r="F27" t="e">
        <f>VLOOKUP(B27,'Profit Loss-Amravati-25-26'!$A$9:$F$188,5,0)</f>
        <v>#N/A</v>
      </c>
      <c r="G27" t="e">
        <f>+C27-F27</f>
        <v>#N/A</v>
      </c>
    </row>
    <row r="28" spans="1:7" x14ac:dyDescent="0.3">
      <c r="A28">
        <v>36461</v>
      </c>
      <c r="B28" t="s">
        <v>310</v>
      </c>
      <c r="C28">
        <v>155547</v>
      </c>
      <c r="E28" t="e">
        <f>VLOOKUP(B28,'Profit Loss-Amravati-25-26'!$A$9:$F$188,1,0)</f>
        <v>#N/A</v>
      </c>
      <c r="F28" t="e">
        <f>VLOOKUP(B28,'Profit Loss-Amravati-25-26'!$A$9:$F$188,5,0)</f>
        <v>#N/A</v>
      </c>
      <c r="G28" t="e">
        <f>+C28-F28</f>
        <v>#N/A</v>
      </c>
    </row>
    <row r="29" spans="1:7" x14ac:dyDescent="0.3">
      <c r="A29">
        <v>18670</v>
      </c>
      <c r="B29" t="s">
        <v>195</v>
      </c>
      <c r="C29">
        <v>5286179</v>
      </c>
      <c r="E29" t="str">
        <f>VLOOKUP(B29,'Profit Loss-Amravati-25-26'!$A$9:$F$188,1,0)</f>
        <v>PURCHASE (JOB WORK) - INTER UNIT</v>
      </c>
      <c r="F29">
        <f>VLOOKUP(B29,'Profit Loss-Amravati-25-26'!$A$9:$F$188,5,0)</f>
        <v>5286179</v>
      </c>
      <c r="G29">
        <f t="shared" si="0"/>
        <v>0</v>
      </c>
    </row>
    <row r="30" spans="1:7" x14ac:dyDescent="0.3">
      <c r="A30">
        <v>772</v>
      </c>
      <c r="B30" t="s">
        <v>198</v>
      </c>
      <c r="C30">
        <v>314381.98</v>
      </c>
      <c r="E30" t="str">
        <f>VLOOKUP(B30,'Profit Loss-Amravati-25-26'!$A$9:$F$188,1,0)</f>
        <v>CLEARING CHARGES ON IMPORT</v>
      </c>
      <c r="F30">
        <f>VLOOKUP(B30,'Profit Loss-Amravati-25-26'!$A$9:$F$188,5,0)</f>
        <v>314381.98</v>
      </c>
      <c r="G30">
        <f t="shared" si="0"/>
        <v>0</v>
      </c>
    </row>
    <row r="31" spans="1:7" x14ac:dyDescent="0.3">
      <c r="A31">
        <v>820</v>
      </c>
      <c r="B31" t="s">
        <v>69</v>
      </c>
      <c r="C31">
        <v>100160</v>
      </c>
      <c r="E31" t="str">
        <f>VLOOKUP(B31,'Profit Loss-Amravati-25-26'!$A$9:$F$188,1,0)</f>
        <v>COOLIE &amp; CARTAGE ON PURCHASE</v>
      </c>
      <c r="F31">
        <f>VLOOKUP(B31,'Profit Loss-Amravati-25-26'!$A$9:$F$188,5,0)</f>
        <v>100160</v>
      </c>
      <c r="G31">
        <f t="shared" si="0"/>
        <v>0</v>
      </c>
    </row>
    <row r="32" spans="1:7" x14ac:dyDescent="0.3">
      <c r="A32">
        <v>917</v>
      </c>
      <c r="B32" t="s">
        <v>44</v>
      </c>
      <c r="C32">
        <v>7937</v>
      </c>
      <c r="E32" t="str">
        <f>VLOOKUP(B32,'Profit Loss-Amravati-25-26'!$A$9:$F$188,1,0)</f>
        <v>CUSTOM DUTY ON IMPORT</v>
      </c>
      <c r="F32">
        <f>VLOOKUP(B32,'Profit Loss-Amravati-25-26'!$A$9:$F$188,5,0)</f>
        <v>7937</v>
      </c>
      <c r="G32">
        <f t="shared" si="0"/>
        <v>0</v>
      </c>
    </row>
    <row r="33" spans="1:7" x14ac:dyDescent="0.3">
      <c r="A33">
        <v>36603</v>
      </c>
      <c r="B33" t="s">
        <v>187</v>
      </c>
      <c r="C33">
        <v>172769</v>
      </c>
      <c r="E33" t="str">
        <f>VLOOKUP(B33,'Profit Loss-Amravati-25-26'!$A$9:$F$188,1,0)</f>
        <v>DELIVERY CHARGES - PURCHASE- FABRIC</v>
      </c>
      <c r="F33">
        <f>VLOOKUP(B33,'Profit Loss-Amravati-25-26'!$A$9:$F$188,5,0)</f>
        <v>472710</v>
      </c>
      <c r="G33">
        <f t="shared" si="0"/>
        <v>-299941</v>
      </c>
    </row>
    <row r="34" spans="1:7" x14ac:dyDescent="0.3">
      <c r="A34">
        <v>36604</v>
      </c>
      <c r="B34" t="s">
        <v>188</v>
      </c>
      <c r="C34">
        <v>510906.48</v>
      </c>
      <c r="E34" t="str">
        <f>VLOOKUP(B34,'Profit Loss-Amravati-25-26'!$A$9:$F$188,1,0)</f>
        <v>DELIVERY CHARGES - PURCHASE-GARMENT</v>
      </c>
      <c r="F34">
        <f>VLOOKUP(B34,'Profit Loss-Amravati-25-26'!$A$9:$F$188,5,0)</f>
        <v>1048958.48</v>
      </c>
      <c r="G34">
        <f t="shared" si="0"/>
        <v>-538052</v>
      </c>
    </row>
    <row r="35" spans="1:7" x14ac:dyDescent="0.3">
      <c r="A35">
        <v>20335</v>
      </c>
      <c r="B35" t="s">
        <v>39</v>
      </c>
      <c r="C35">
        <v>151414</v>
      </c>
      <c r="E35" t="str">
        <f>VLOOKUP(B35,'Profit Loss-Amravati-25-26'!$A$9:$F$188,1,0)</f>
        <v>DELIVERY CHARGES ON PURCHASES</v>
      </c>
      <c r="F35">
        <f>VLOOKUP(B35,'Profit Loss-Amravati-25-26'!$A$9:$F$188,5,0)</f>
        <v>151414</v>
      </c>
      <c r="G35">
        <f t="shared" si="0"/>
        <v>0</v>
      </c>
    </row>
    <row r="36" spans="1:7" x14ac:dyDescent="0.3">
      <c r="A36">
        <v>1400</v>
      </c>
      <c r="B36" t="s">
        <v>186</v>
      </c>
      <c r="C36">
        <v>92182243.299999997</v>
      </c>
      <c r="E36" t="str">
        <f>VLOOKUP(B36,'Profit Loss-Amravati-25-26'!$A$9:$F$188,1,0)</f>
        <v>PURCHASE FABRICS &amp; HOSIERY LOCAL</v>
      </c>
      <c r="F36">
        <f>VLOOKUP(B36,'Profit Loss-Amravati-25-26'!$A$9:$F$188,5,0)</f>
        <v>92339270.299999997</v>
      </c>
      <c r="G36">
        <f t="shared" si="0"/>
        <v>-157027</v>
      </c>
    </row>
    <row r="37" spans="1:7" x14ac:dyDescent="0.3">
      <c r="A37">
        <v>875</v>
      </c>
      <c r="B37" t="s">
        <v>38</v>
      </c>
      <c r="C37">
        <v>15711171.23</v>
      </c>
      <c r="E37" t="str">
        <f>VLOOKUP(B37,'Profit Loss-Amravati-25-26'!$A$9:$F$188,1,0)</f>
        <v>PURCHASE YARN - LOCAL</v>
      </c>
      <c r="F37">
        <f>VLOOKUP(B37,'Profit Loss-Amravati-25-26'!$A$9:$F$188,5,0)</f>
        <v>15711171.23</v>
      </c>
      <c r="G37">
        <f t="shared" si="0"/>
        <v>0</v>
      </c>
    </row>
    <row r="38" spans="1:7" x14ac:dyDescent="0.3">
      <c r="A38">
        <v>35921</v>
      </c>
      <c r="B38" t="s">
        <v>278</v>
      </c>
      <c r="C38">
        <v>8460079</v>
      </c>
      <c r="E38" t="str">
        <f>VLOOKUP(B38,'Profit Loss-Amravati-25-26'!$A$9:$F$188,1,0)</f>
        <v>PURCHASE FOR TRADING - GARMENT</v>
      </c>
      <c r="F38">
        <f>VLOOKUP(B38,'Profit Loss-Amravati-25-26'!$A$9:$F$188,5,0)</f>
        <v>8460079</v>
      </c>
      <c r="G38">
        <f t="shared" si="0"/>
        <v>0</v>
      </c>
    </row>
    <row r="39" spans="1:7" x14ac:dyDescent="0.3">
      <c r="A39">
        <v>36583</v>
      </c>
      <c r="B39" t="s">
        <v>200</v>
      </c>
      <c r="C39">
        <v>425597.54</v>
      </c>
      <c r="E39" t="str">
        <f>VLOOKUP(B39,'Profit Loss-Amravati-25-26'!$A$9:$F$188,1,0)</f>
        <v>ELECTRICAL ITEM - GARMENT</v>
      </c>
      <c r="F39">
        <f>VLOOKUP(B39,'Profit Loss-Amravati-25-26'!$A$9:$F$188,5,0)</f>
        <v>428677.54</v>
      </c>
      <c r="G39">
        <f t="shared" si="0"/>
        <v>-3080</v>
      </c>
    </row>
    <row r="40" spans="1:7" x14ac:dyDescent="0.3">
      <c r="A40">
        <v>818</v>
      </c>
      <c r="B40" t="s">
        <v>47</v>
      </c>
      <c r="C40">
        <v>10511.88</v>
      </c>
      <c r="E40" t="str">
        <f>VLOOKUP(B40,'Profit Loss-Amravati-25-26'!$A$9:$F$188,1,0)</f>
        <v>ELECTRICAL ITEMS</v>
      </c>
      <c r="F40">
        <f>VLOOKUP(B40,'Profit Loss-Amravati-25-26'!$A$9:$F$188,5,0)</f>
        <v>10511.88</v>
      </c>
      <c r="G40">
        <f t="shared" si="0"/>
        <v>0</v>
      </c>
    </row>
    <row r="41" spans="1:7" x14ac:dyDescent="0.3">
      <c r="A41">
        <v>1612</v>
      </c>
      <c r="B41" t="s">
        <v>189</v>
      </c>
      <c r="C41">
        <v>14226204.619999999</v>
      </c>
      <c r="E41" t="str">
        <f>VLOOKUP(B41,'Profit Loss-Amravati-25-26'!$A$9:$F$188,1,0)</f>
        <v>PUR. THREAD &amp; TRIM ITEMS</v>
      </c>
      <c r="F41">
        <f>VLOOKUP(B41,'Profit Loss-Amravati-25-26'!$A$9:$F$188,5,0)</f>
        <v>14613109.619999999</v>
      </c>
      <c r="G41">
        <f t="shared" si="0"/>
        <v>-386905</v>
      </c>
    </row>
    <row r="42" spans="1:7" x14ac:dyDescent="0.3">
      <c r="A42">
        <v>17864</v>
      </c>
      <c r="B42" t="s">
        <v>190</v>
      </c>
      <c r="C42">
        <v>563539.68000000005</v>
      </c>
      <c r="E42" t="str">
        <f>VLOOKUP(B42,'Profit Loss-Amravati-25-26'!$A$9:$F$188,1,0)</f>
        <v>PUR. THREAD &amp; TRIM ITEMS- IMPORT</v>
      </c>
      <c r="F42">
        <f>VLOOKUP(B42,'Profit Loss-Amravati-25-26'!$A$9:$F$188,5,0)</f>
        <v>601203.68000000005</v>
      </c>
      <c r="G42">
        <f t="shared" si="0"/>
        <v>-37664</v>
      </c>
    </row>
    <row r="43" spans="1:7" x14ac:dyDescent="0.3">
      <c r="A43">
        <v>815</v>
      </c>
      <c r="B43" t="s">
        <v>40</v>
      </c>
      <c r="C43">
        <v>51481</v>
      </c>
      <c r="E43" t="str">
        <f>VLOOKUP(B43,'Profit Loss-Amravati-25-26'!$A$9:$F$188,1,0)</f>
        <v>PURCHASE STORES &amp; SPARES</v>
      </c>
      <c r="F43">
        <f>VLOOKUP(B43,'Profit Loss-Amravati-25-26'!$A$9:$F$188,5,0)</f>
        <v>51481</v>
      </c>
      <c r="G43">
        <f t="shared" si="0"/>
        <v>0</v>
      </c>
    </row>
    <row r="44" spans="1:7" x14ac:dyDescent="0.3">
      <c r="A44">
        <v>25339</v>
      </c>
      <c r="B44" t="s">
        <v>192</v>
      </c>
      <c r="C44">
        <v>1611942.16</v>
      </c>
      <c r="E44" t="str">
        <f>VLOOKUP(B44,'Profit Loss-Amravati-25-26'!$A$9:$F$188,1,0)</f>
        <v>PURCHASE STORES &amp; SPARES (GARMENT)</v>
      </c>
      <c r="F44">
        <f>VLOOKUP(B44,'Profit Loss-Amravati-25-26'!$A$9:$F$188,5,0)</f>
        <v>2001182.16</v>
      </c>
      <c r="G44">
        <f t="shared" si="0"/>
        <v>-389240</v>
      </c>
    </row>
    <row r="45" spans="1:7" x14ac:dyDescent="0.3">
      <c r="A45">
        <v>25337</v>
      </c>
      <c r="B45" t="s">
        <v>42</v>
      </c>
      <c r="C45">
        <v>12594561.24</v>
      </c>
      <c r="E45" t="str">
        <f>VLOOKUP(B45,'Profit Loss-Amravati-25-26'!$A$9:$F$188,1,0)</f>
        <v>PURCHASE PACKING MATERIAL (GARMENT)</v>
      </c>
      <c r="F45">
        <f>VLOOKUP(B45,'Profit Loss-Amravati-25-26'!$A$9:$F$188,5,0)</f>
        <v>12981156.24</v>
      </c>
      <c r="G45">
        <f t="shared" si="0"/>
        <v>-386595</v>
      </c>
    </row>
    <row r="46" spans="1:7" x14ac:dyDescent="0.3">
      <c r="A46">
        <v>30653</v>
      </c>
      <c r="B46" t="s">
        <v>191</v>
      </c>
      <c r="C46">
        <v>261205.55</v>
      </c>
      <c r="E46" t="str">
        <f>VLOOKUP(B46,'Profit Loss-Amravati-25-26'!$A$9:$F$188,1,0)</f>
        <v>PURCHASE PACKING MATERIAL-(IMPORT)</v>
      </c>
      <c r="F46">
        <f>VLOOKUP(B46,'Profit Loss-Amravati-25-26'!$A$9:$F$188,5,0)</f>
        <v>261205.55</v>
      </c>
      <c r="G46">
        <f t="shared" si="0"/>
        <v>0</v>
      </c>
    </row>
    <row r="47" spans="1:7" x14ac:dyDescent="0.3">
      <c r="A47">
        <v>937</v>
      </c>
      <c r="B47" t="s">
        <v>58</v>
      </c>
      <c r="C47">
        <v>4930</v>
      </c>
      <c r="E47" t="str">
        <f>VLOOKUP(B47,'Profit Loss-Amravati-25-26'!$A$9:$F$188,1,0)</f>
        <v>ELECTRICITY CHARGES</v>
      </c>
      <c r="F47">
        <f>VLOOKUP(B47,'Profit Loss-Amravati-25-26'!$A$9:$F$188,5,0)</f>
        <v>4930</v>
      </c>
      <c r="G47">
        <f t="shared" si="0"/>
        <v>0</v>
      </c>
    </row>
    <row r="48" spans="1:7" x14ac:dyDescent="0.3">
      <c r="A48">
        <v>809</v>
      </c>
      <c r="B48" t="s">
        <v>46</v>
      </c>
      <c r="C48">
        <v>-2260</v>
      </c>
      <c r="E48" t="str">
        <f>VLOOKUP(B48,'Profit Loss-Amravati-25-26'!$A$9:$F$188,1,0)</f>
        <v>POWER</v>
      </c>
      <c r="F48">
        <f>VLOOKUP(B48,'Profit Loss-Amravati-25-26'!$A$9:$F$188,5,0)</f>
        <v>-2260</v>
      </c>
      <c r="G48">
        <f t="shared" si="0"/>
        <v>0</v>
      </c>
    </row>
    <row r="49" spans="1:7" x14ac:dyDescent="0.3">
      <c r="A49">
        <v>849</v>
      </c>
      <c r="B49" t="s">
        <v>201</v>
      </c>
      <c r="C49">
        <v>554755.46</v>
      </c>
      <c r="E49" t="str">
        <f>VLOOKUP(B49,'Profit Loss-Amravati-25-26'!$A$9:$F$188,1,0)</f>
        <v>LABOUR CHARGES</v>
      </c>
      <c r="F49">
        <f>VLOOKUP(B49,'Profit Loss-Amravati-25-26'!$A$9:$F$188,5,0)</f>
        <v>554755.46</v>
      </c>
      <c r="G49">
        <f t="shared" si="0"/>
        <v>0</v>
      </c>
    </row>
    <row r="50" spans="1:7" x14ac:dyDescent="0.3">
      <c r="A50">
        <v>28769</v>
      </c>
      <c r="B50" t="s">
        <v>60</v>
      </c>
      <c r="C50">
        <v>5775</v>
      </c>
      <c r="E50" t="str">
        <f>VLOOKUP(B50,'Profit Loss-Amravati-25-26'!$A$9:$F$188,1,0)</f>
        <v>CRANE HIRE CHARGES</v>
      </c>
      <c r="F50">
        <f>VLOOKUP(B50,'Profit Loss-Amravati-25-26'!$A$9:$F$188,5,0)</f>
        <v>5775</v>
      </c>
      <c r="G50">
        <f t="shared" si="0"/>
        <v>0</v>
      </c>
    </row>
    <row r="51" spans="1:7" x14ac:dyDescent="0.3">
      <c r="A51">
        <v>970</v>
      </c>
      <c r="B51" t="s">
        <v>55</v>
      </c>
      <c r="C51">
        <v>559200.9</v>
      </c>
      <c r="E51" t="str">
        <f>VLOOKUP(B51,'Profit Loss-Amravati-25-26'!$A$9:$F$188,1,0)</f>
        <v>INSPECTION/TESTING</v>
      </c>
      <c r="F51">
        <f>VLOOKUP(B51,'Profit Loss-Amravati-25-26'!$A$9:$F$188,5,0)</f>
        <v>559200.9</v>
      </c>
      <c r="G51">
        <f t="shared" si="0"/>
        <v>0</v>
      </c>
    </row>
    <row r="52" spans="1:7" x14ac:dyDescent="0.3">
      <c r="A52">
        <v>801</v>
      </c>
      <c r="B52" t="s">
        <v>199</v>
      </c>
      <c r="C52">
        <v>3864731.2</v>
      </c>
      <c r="E52" t="str">
        <f>VLOOKUP(B52,'Profit Loss-Amravati-25-26'!$A$9:$F$188,1,0)</f>
        <v>JOB WORK</v>
      </c>
      <c r="F52">
        <f>VLOOKUP(B52,'Profit Loss-Amravati-25-26'!$A$9:$F$188,5,0)</f>
        <v>3962292.2</v>
      </c>
      <c r="G52">
        <f t="shared" si="0"/>
        <v>-97561</v>
      </c>
    </row>
    <row r="53" spans="1:7" x14ac:dyDescent="0.3">
      <c r="A53">
        <v>781</v>
      </c>
      <c r="B53" t="s">
        <v>62</v>
      </c>
      <c r="C53">
        <v>25000</v>
      </c>
      <c r="E53" t="str">
        <f>VLOOKUP(B53,'Profit Loss-Amravati-25-26'!$A$9:$F$188,1,0)</f>
        <v>POLLUTION CONTROL EXPENSES</v>
      </c>
      <c r="F53">
        <f>VLOOKUP(B53,'Profit Loss-Amravati-25-26'!$A$9:$F$188,5,0)</f>
        <v>6250</v>
      </c>
      <c r="G53">
        <f t="shared" si="0"/>
        <v>18750</v>
      </c>
    </row>
    <row r="54" spans="1:7" x14ac:dyDescent="0.3">
      <c r="A54">
        <v>902</v>
      </c>
      <c r="B54" t="s">
        <v>45</v>
      </c>
      <c r="C54">
        <v>1198</v>
      </c>
      <c r="E54" t="str">
        <f>VLOOKUP(B54,'Profit Loss-Amravati-25-26'!$A$9:$F$188,1,0)</f>
        <v>WATER CHARGES</v>
      </c>
      <c r="F54">
        <f>VLOOKUP(B54,'Profit Loss-Amravati-25-26'!$A$9:$F$188,5,0)</f>
        <v>1198</v>
      </c>
      <c r="G54">
        <f t="shared" si="0"/>
        <v>0</v>
      </c>
    </row>
    <row r="55" spans="1:7" x14ac:dyDescent="0.3">
      <c r="A55">
        <v>909</v>
      </c>
      <c r="B55" t="s">
        <v>16</v>
      </c>
      <c r="C55" s="31">
        <v>5184</v>
      </c>
      <c r="E55" t="str">
        <f>VLOOKUP(B55,'Profit Loss-Amravati-25-26'!$A$9:$F$188,1,0)</f>
        <v>CLEARING CHARGES ON EXPORT</v>
      </c>
      <c r="F55">
        <f>VLOOKUP(B55,'Profit Loss-Amravati-25-26'!$A$9:$F$188,5,0)</f>
        <v>0</v>
      </c>
      <c r="G55">
        <f t="shared" si="0"/>
        <v>5184</v>
      </c>
    </row>
    <row r="56" spans="1:7" x14ac:dyDescent="0.3">
      <c r="A56">
        <v>918</v>
      </c>
      <c r="B56" t="s">
        <v>13</v>
      </c>
      <c r="C56" s="31">
        <v>10000</v>
      </c>
      <c r="E56" t="str">
        <f>VLOOKUP(B56,'Profit Loss-Amravati-25-26'!$A$9:$F$188,1,0)</f>
        <v>DOCUMENTATION CHARGES</v>
      </c>
      <c r="F56">
        <f>VLOOKUP(B56,'Profit Loss-Amravati-25-26'!$A$9:$F$188,5,0)</f>
        <v>0</v>
      </c>
      <c r="G56">
        <f t="shared" si="0"/>
        <v>10000</v>
      </c>
    </row>
    <row r="57" spans="1:7" x14ac:dyDescent="0.3">
      <c r="A57">
        <v>907</v>
      </c>
      <c r="B57" t="s">
        <v>14</v>
      </c>
      <c r="C57">
        <v>-2893828</v>
      </c>
      <c r="E57" t="str">
        <f>VLOOKUP(B57,'Profit Loss-Amravati-25-26'!$A$9:$F$188,1,0)</f>
        <v>FREIGHT ON EXPORT</v>
      </c>
      <c r="F57">
        <f>VLOOKUP(B57,'Profit Loss-Amravati-25-26'!$A$9:$F$188,5,0)</f>
        <v>0</v>
      </c>
      <c r="G57">
        <f t="shared" si="0"/>
        <v>-2893828</v>
      </c>
    </row>
    <row r="58" spans="1:7" x14ac:dyDescent="0.3">
      <c r="A58">
        <v>27281</v>
      </c>
      <c r="B58" t="s">
        <v>180</v>
      </c>
      <c r="C58" s="31">
        <v>146565.22</v>
      </c>
      <c r="E58" t="str">
        <f>VLOOKUP(B58,'Profit Loss-Amravati-25-26'!$A$9:$F$188,1,0)</f>
        <v>FREIGHT ON EXPORT - (AIR)</v>
      </c>
      <c r="F58">
        <f>VLOOKUP(B58,'Profit Loss-Amravati-25-26'!$A$9:$F$188,5,0)</f>
        <v>0</v>
      </c>
      <c r="G58">
        <f t="shared" si="0"/>
        <v>146565.22</v>
      </c>
    </row>
    <row r="59" spans="1:7" x14ac:dyDescent="0.3">
      <c r="A59">
        <v>908</v>
      </c>
      <c r="B59" t="s">
        <v>15</v>
      </c>
      <c r="C59" s="31">
        <v>45961</v>
      </c>
      <c r="E59" t="str">
        <f>VLOOKUP(B59,'Profit Loss-Amravati-25-26'!$A$9:$F$188,1,0)</f>
        <v>TERMINAL HANDLING CHARGES</v>
      </c>
      <c r="F59">
        <f>VLOOKUP(B59,'Profit Loss-Amravati-25-26'!$A$9:$F$188,5,0)</f>
        <v>0</v>
      </c>
      <c r="G59">
        <f t="shared" si="0"/>
        <v>45961</v>
      </c>
    </row>
    <row r="60" spans="1:7" x14ac:dyDescent="0.3">
      <c r="A60">
        <v>36614</v>
      </c>
      <c r="B60" t="s">
        <v>11</v>
      </c>
      <c r="C60">
        <v>763733.84</v>
      </c>
      <c r="E60" t="str">
        <f>VLOOKUP(B60,'Profit Loss-Amravati-25-26'!$A$9:$F$188,1,0)</f>
        <v>DELIVERY CHARGES  ON SALE -GARMENT</v>
      </c>
      <c r="F60">
        <f>VLOOKUP(B60,'Profit Loss-Amravati-25-26'!$A$9:$F$188,5,0)</f>
        <v>1381133.8399999999</v>
      </c>
      <c r="G60">
        <f t="shared" si="0"/>
        <v>-617399.99999999988</v>
      </c>
    </row>
    <row r="61" spans="1:7" x14ac:dyDescent="0.3">
      <c r="A61">
        <v>20336</v>
      </c>
      <c r="B61" t="s">
        <v>12</v>
      </c>
      <c r="C61">
        <v>486121.24</v>
      </c>
      <c r="E61" t="str">
        <f>VLOOKUP(B61,'Profit Loss-Amravati-25-26'!$A$9:$F$188,1,0)</f>
        <v>DELIVERY CHARGES ON SALES</v>
      </c>
      <c r="F61">
        <f>VLOOKUP(B61,'Profit Loss-Amravati-25-26'!$A$9:$F$188,5,0)</f>
        <v>486121.24</v>
      </c>
      <c r="G61">
        <f t="shared" si="0"/>
        <v>0</v>
      </c>
    </row>
    <row r="62" spans="1:7" x14ac:dyDescent="0.3">
      <c r="A62">
        <v>817</v>
      </c>
      <c r="B62" t="s">
        <v>21</v>
      </c>
      <c r="C62">
        <v>1170</v>
      </c>
      <c r="E62" t="str">
        <f>VLOOKUP(B62,'Profit Loss-Amravati-25-26'!$A$9:$F$188,1,0)</f>
        <v>PACKING EXPENSES</v>
      </c>
      <c r="F62">
        <f>VLOOKUP(B62,'Profit Loss-Amravati-25-26'!$A$9:$F$188,5,0)</f>
        <v>1170</v>
      </c>
      <c r="G62">
        <f t="shared" si="0"/>
        <v>0</v>
      </c>
    </row>
    <row r="63" spans="1:7" x14ac:dyDescent="0.3">
      <c r="A63">
        <v>931</v>
      </c>
      <c r="B63" t="s">
        <v>196</v>
      </c>
      <c r="C63">
        <v>1145</v>
      </c>
      <c r="E63" t="str">
        <f>VLOOKUP(B63,'Profit Loss-Amravati-25-26'!$A$9:$F$188,1,0)</f>
        <v>ADVERTISEMENT EXPENSE</v>
      </c>
      <c r="F63">
        <f>VLOOKUP(B63,'Profit Loss-Amravati-25-26'!$A$9:$F$188,5,0)</f>
        <v>1145</v>
      </c>
      <c r="G63">
        <f t="shared" si="0"/>
        <v>0</v>
      </c>
    </row>
    <row r="64" spans="1:7" x14ac:dyDescent="0.3">
      <c r="A64">
        <v>962</v>
      </c>
      <c r="B64" t="s">
        <v>61</v>
      </c>
      <c r="C64">
        <v>1041517</v>
      </c>
      <c r="E64" t="str">
        <f>VLOOKUP(B64,'Profit Loss-Amravati-25-26'!$A$9:$F$188,1,0)</f>
        <v>CONSULTANCY CHARGES</v>
      </c>
      <c r="F64">
        <f>VLOOKUP(B64,'Profit Loss-Amravati-25-26'!$A$9:$F$188,5,0)</f>
        <v>1041517</v>
      </c>
      <c r="G64">
        <f t="shared" si="0"/>
        <v>0</v>
      </c>
    </row>
    <row r="65" spans="1:7" x14ac:dyDescent="0.3">
      <c r="A65">
        <v>961</v>
      </c>
      <c r="B65" t="s">
        <v>91</v>
      </c>
      <c r="C65">
        <v>1097823.3500000001</v>
      </c>
      <c r="E65" t="str">
        <f>VLOOKUP(B65,'Profit Loss-Amravati-25-26'!$A$9:$F$188,1,0)</f>
        <v>PROFESSIONAL FEES</v>
      </c>
      <c r="F65">
        <f>VLOOKUP(B65,'Profit Loss-Amravati-25-26'!$A$9:$F$188,5,0)</f>
        <v>1251323.3500000001</v>
      </c>
      <c r="G65">
        <f t="shared" si="0"/>
        <v>-153500</v>
      </c>
    </row>
    <row r="66" spans="1:7" x14ac:dyDescent="0.3">
      <c r="A66">
        <v>964</v>
      </c>
      <c r="B66" t="s">
        <v>63</v>
      </c>
      <c r="C66">
        <v>10500</v>
      </c>
      <c r="E66" t="str">
        <f>VLOOKUP(B66,'Profit Loss-Amravati-25-26'!$A$9:$F$188,1,0)</f>
        <v>ASSOCIATION MEMBERSHIP FEES</v>
      </c>
      <c r="F66">
        <f>VLOOKUP(B66,'Profit Loss-Amravati-25-26'!$A$9:$F$188,5,0)</f>
        <v>10500</v>
      </c>
      <c r="G66">
        <f t="shared" si="0"/>
        <v>0</v>
      </c>
    </row>
    <row r="67" spans="1:7" x14ac:dyDescent="0.3">
      <c r="A67">
        <v>894</v>
      </c>
      <c r="B67" t="s">
        <v>70</v>
      </c>
      <c r="C67">
        <v>78756</v>
      </c>
      <c r="E67" t="str">
        <f>VLOOKUP(B67,'Profit Loss-Amravati-25-26'!$A$9:$F$188,1,0)</f>
        <v>FACTORY LICENCE FEES</v>
      </c>
      <c r="F67">
        <f>VLOOKUP(B67,'Profit Loss-Amravati-25-26'!$A$9:$F$188,5,0)</f>
        <v>19689</v>
      </c>
      <c r="G67">
        <f t="shared" si="0"/>
        <v>59067</v>
      </c>
    </row>
    <row r="68" spans="1:7" x14ac:dyDescent="0.3">
      <c r="A68">
        <v>969</v>
      </c>
      <c r="B68" t="s">
        <v>64</v>
      </c>
      <c r="C68">
        <v>1824.78</v>
      </c>
      <c r="E68" t="str">
        <f>VLOOKUP(B68,'Profit Loss-Amravati-25-26'!$A$9:$F$188,1,0)</f>
        <v>FILING FEES</v>
      </c>
      <c r="F68">
        <f>VLOOKUP(B68,'Profit Loss-Amravati-25-26'!$A$9:$F$188,5,0)</f>
        <v>1824.78</v>
      </c>
      <c r="G68">
        <f t="shared" si="0"/>
        <v>0</v>
      </c>
    </row>
    <row r="69" spans="1:7" x14ac:dyDescent="0.3">
      <c r="A69">
        <v>963</v>
      </c>
      <c r="B69" t="s">
        <v>92</v>
      </c>
      <c r="C69">
        <v>2669.2</v>
      </c>
      <c r="E69" t="str">
        <f>VLOOKUP(B69,'Profit Loss-Amravati-25-26'!$A$9:$F$188,1,0)</f>
        <v>LICENCE &amp; LEGAL FEES</v>
      </c>
      <c r="F69">
        <f>VLOOKUP(B69,'Profit Loss-Amravati-25-26'!$A$9:$F$188,5,0)</f>
        <v>11243.8</v>
      </c>
      <c r="G69">
        <f t="shared" si="0"/>
        <v>-8574.5999999999985</v>
      </c>
    </row>
    <row r="70" spans="1:7" x14ac:dyDescent="0.3">
      <c r="A70">
        <v>29063</v>
      </c>
      <c r="B70" t="s">
        <v>206</v>
      </c>
      <c r="C70">
        <v>56205.16</v>
      </c>
      <c r="E70" t="str">
        <f>VLOOKUP(B70,'Profit Loss-Amravati-25-26'!$A$9:$F$188,1,0)</f>
        <v>GST EXPENSES-NOT CLAIMABLE-REVENUE</v>
      </c>
      <c r="F70">
        <f>VLOOKUP(B70,'Profit Loss-Amravati-25-26'!$A$9:$F$188,5,0)</f>
        <v>56205.16</v>
      </c>
      <c r="G70">
        <f t="shared" si="0"/>
        <v>0</v>
      </c>
    </row>
    <row r="71" spans="1:7" x14ac:dyDescent="0.3">
      <c r="A71">
        <v>915</v>
      </c>
      <c r="B71" t="s">
        <v>65</v>
      </c>
      <c r="C71">
        <v>2500</v>
      </c>
      <c r="E71" t="str">
        <f>VLOOKUP(B71,'Profit Loss-Amravati-25-26'!$A$9:$F$188,1,0)</f>
        <v>PROFESSIONAL TAX</v>
      </c>
      <c r="F71">
        <f>VLOOKUP(B71,'Profit Loss-Amravati-25-26'!$A$9:$F$188,5,0)</f>
        <v>2500</v>
      </c>
      <c r="G71">
        <f t="shared" si="0"/>
        <v>0</v>
      </c>
    </row>
    <row r="72" spans="1:7" x14ac:dyDescent="0.3">
      <c r="A72">
        <v>821</v>
      </c>
      <c r="B72" t="s">
        <v>113</v>
      </c>
      <c r="C72">
        <v>483038</v>
      </c>
      <c r="E72" t="str">
        <f>VLOOKUP(B72,'Profit Loss-Amravati-25-26'!$A$9:$F$188,1,0)</f>
        <v>RENT PAID</v>
      </c>
      <c r="F72">
        <f>VLOOKUP(B72,'Profit Loss-Amravati-25-26'!$A$9:$F$188,5,0)</f>
        <v>892538</v>
      </c>
      <c r="G72">
        <f t="shared" si="0"/>
        <v>-409500</v>
      </c>
    </row>
    <row r="73" spans="1:7" x14ac:dyDescent="0.3">
      <c r="A73">
        <v>904</v>
      </c>
      <c r="B73" t="s">
        <v>67</v>
      </c>
      <c r="C73">
        <v>299106</v>
      </c>
      <c r="E73" t="str">
        <f>VLOOKUP(B73,'Profit Loss-Amravati-25-26'!$A$9:$F$188,1,0)</f>
        <v>INSURANCE (GENERAL)</v>
      </c>
      <c r="F73">
        <f>VLOOKUP(B73,'Profit Loss-Amravati-25-26'!$A$9:$F$188,5,0)</f>
        <v>94474.5</v>
      </c>
      <c r="G73">
        <f t="shared" si="0"/>
        <v>204631.5</v>
      </c>
    </row>
    <row r="74" spans="1:7" x14ac:dyDescent="0.3">
      <c r="A74">
        <v>932</v>
      </c>
      <c r="B74" t="s">
        <v>54</v>
      </c>
      <c r="C74">
        <v>115366.62</v>
      </c>
      <c r="E74" t="str">
        <f>VLOOKUP(B74,'Profit Loss-Amravati-25-26'!$A$9:$F$188,1,0)</f>
        <v>PRINTING &amp; STATIONERY</v>
      </c>
      <c r="F74">
        <f>VLOOKUP(B74,'Profit Loss-Amravati-25-26'!$A$9:$F$188,5,0)</f>
        <v>181047.62</v>
      </c>
      <c r="G74">
        <f t="shared" si="0"/>
        <v>-65681</v>
      </c>
    </row>
    <row r="75" spans="1:7" x14ac:dyDescent="0.3">
      <c r="A75">
        <v>20113</v>
      </c>
      <c r="B75" t="s">
        <v>223</v>
      </c>
      <c r="C75">
        <v>67666</v>
      </c>
      <c r="E75" t="str">
        <f>VLOOKUP(B75,'Profit Loss-Amravati-25-26'!$A$9:$F$188,1,0)</f>
        <v>SOFTWARE RENEWAL CHARGES PAID</v>
      </c>
      <c r="F75">
        <f>VLOOKUP(B75,'Profit Loss-Amravati-25-26'!$A$9:$F$188,5,0)</f>
        <v>65100.25</v>
      </c>
      <c r="G75">
        <f t="shared" ref="G75:G122" si="1">+C75-F75</f>
        <v>2565.75</v>
      </c>
    </row>
    <row r="76" spans="1:7" x14ac:dyDescent="0.3">
      <c r="A76">
        <v>854</v>
      </c>
      <c r="B76" t="s">
        <v>205</v>
      </c>
      <c r="C76">
        <v>436862</v>
      </c>
      <c r="E76" t="str">
        <f>VLOOKUP(B76,'Profit Loss-Amravati-25-26'!$A$9:$F$188,1,0)</f>
        <v>CONVEYANCE RE-IMBURSEMENT</v>
      </c>
      <c r="F76">
        <f>VLOOKUP(B76,'Profit Loss-Amravati-25-26'!$A$9:$F$188,5,0)</f>
        <v>436862</v>
      </c>
      <c r="G76">
        <f t="shared" si="1"/>
        <v>0</v>
      </c>
    </row>
    <row r="77" spans="1:7" x14ac:dyDescent="0.3">
      <c r="A77">
        <v>984</v>
      </c>
      <c r="B77" t="s">
        <v>234</v>
      </c>
      <c r="C77">
        <v>498046</v>
      </c>
      <c r="E77" t="str">
        <f>VLOOKUP(B77,'Profit Loss-Amravati-25-26'!$A$9:$F$188,1,0)</f>
        <v>FOREIGN TRAVELLING</v>
      </c>
      <c r="F77">
        <f>VLOOKUP(B77,'Profit Loss-Amravati-25-26'!$A$9:$F$188,5,0)</f>
        <v>410603.5</v>
      </c>
      <c r="G77">
        <f t="shared" si="1"/>
        <v>87442.5</v>
      </c>
    </row>
    <row r="78" spans="1:7" x14ac:dyDescent="0.3">
      <c r="A78">
        <v>983</v>
      </c>
      <c r="B78" t="s">
        <v>95</v>
      </c>
      <c r="C78">
        <v>1020908.79</v>
      </c>
      <c r="E78" t="str">
        <f>VLOOKUP(B78,'Profit Loss-Amravati-25-26'!$A$9:$F$188,1,0)</f>
        <v>TRAVELLING EXPENSES</v>
      </c>
      <c r="F78">
        <f>VLOOKUP(B78,'Profit Loss-Amravati-25-26'!$A$9:$F$188,5,0)</f>
        <v>1015166.04</v>
      </c>
      <c r="G78">
        <f t="shared" si="1"/>
        <v>5742.75</v>
      </c>
    </row>
    <row r="79" spans="1:7" x14ac:dyDescent="0.3">
      <c r="A79">
        <v>35339</v>
      </c>
      <c r="B79" t="s">
        <v>224</v>
      </c>
      <c r="C79">
        <v>3930</v>
      </c>
      <c r="E79" t="str">
        <f>VLOOKUP(B79,'Profit Loss-Amravati-25-26'!$A$9:$F$188,1,0)</f>
        <v>HYUNDAI VENUE CAR (MH02FN9024) -EXP</v>
      </c>
      <c r="F79">
        <f>VLOOKUP(B79,'Profit Loss-Amravati-25-26'!$A$9:$F$188,5,0)</f>
        <v>3930</v>
      </c>
      <c r="G79">
        <f t="shared" si="1"/>
        <v>0</v>
      </c>
    </row>
    <row r="80" spans="1:7" x14ac:dyDescent="0.3">
      <c r="A80">
        <v>1074</v>
      </c>
      <c r="B80" t="s">
        <v>202</v>
      </c>
      <c r="C80">
        <v>163613</v>
      </c>
      <c r="E80" t="str">
        <f>VLOOKUP(B80,'Profit Loss-Amravati-25-26'!$A$9:$F$188,1,0)</f>
        <v>JEEP HIRE EXPENSES</v>
      </c>
      <c r="F80">
        <f>VLOOKUP(B80,'Profit Loss-Amravati-25-26'!$A$9:$F$188,5,0)</f>
        <v>261174</v>
      </c>
      <c r="G80">
        <f t="shared" si="1"/>
        <v>-97561</v>
      </c>
    </row>
    <row r="81" spans="1:7" x14ac:dyDescent="0.3">
      <c r="A81">
        <v>951</v>
      </c>
      <c r="B81" t="s">
        <v>311</v>
      </c>
      <c r="C81" s="31">
        <v>66000</v>
      </c>
      <c r="E81" t="str">
        <f>VLOOKUP(B81,'Profit Loss-Amravati-25-26'!$A$9:$F$188,1,0)</f>
        <v>MOTOR CAR EXPENSES</v>
      </c>
      <c r="F81">
        <f>VLOOKUP(B81,'Profit Loss-Amravati-25-26'!$A$9:$F$188,5,0)</f>
        <v>66000</v>
      </c>
      <c r="G81">
        <f t="shared" si="1"/>
        <v>0</v>
      </c>
    </row>
    <row r="82" spans="1:7" x14ac:dyDescent="0.3">
      <c r="A82">
        <v>926</v>
      </c>
      <c r="B82" t="s">
        <v>207</v>
      </c>
      <c r="C82">
        <v>602505.73</v>
      </c>
      <c r="E82" t="str">
        <f>VLOOKUP(B82,'Profit Loss-Amravati-25-26'!$A$9:$F$188,1,0)</f>
        <v>POSTAGE &amp; TELEGRAM</v>
      </c>
      <c r="F82">
        <f>VLOOKUP(B82,'Profit Loss-Amravati-25-26'!$A$9:$F$188,5,0)</f>
        <v>635556.73</v>
      </c>
      <c r="G82">
        <f t="shared" si="1"/>
        <v>-33051</v>
      </c>
    </row>
    <row r="83" spans="1:7" x14ac:dyDescent="0.3">
      <c r="A83">
        <v>934</v>
      </c>
      <c r="B83" t="s">
        <v>103</v>
      </c>
      <c r="C83">
        <v>-25669.68</v>
      </c>
      <c r="E83" t="str">
        <f>VLOOKUP(B83,'Profit Loss-Amravati-25-26'!$A$9:$F$188,1,0)</f>
        <v>TELEPHONE EXPENSES</v>
      </c>
      <c r="F83">
        <f>VLOOKUP(B83,'Profit Loss-Amravati-25-26'!$A$9:$F$188,5,0)</f>
        <v>-25669.68</v>
      </c>
      <c r="G83">
        <f t="shared" si="1"/>
        <v>0</v>
      </c>
    </row>
    <row r="84" spans="1:7" x14ac:dyDescent="0.3">
      <c r="A84">
        <v>685</v>
      </c>
      <c r="B84" t="s">
        <v>97</v>
      </c>
      <c r="C84">
        <v>36670.400000000001</v>
      </c>
      <c r="E84" t="str">
        <f>VLOOKUP(B84,'Profit Loss-Amravati-25-26'!$A$9:$F$188,1,0)</f>
        <v>COMPUTER EXPENSES PAID</v>
      </c>
      <c r="F84">
        <f>VLOOKUP(B84,'Profit Loss-Amravati-25-26'!$A$9:$F$188,5,0)</f>
        <v>36670.400000000001</v>
      </c>
      <c r="G84">
        <f t="shared" si="1"/>
        <v>0</v>
      </c>
    </row>
    <row r="85" spans="1:7" x14ac:dyDescent="0.3">
      <c r="A85">
        <v>920</v>
      </c>
      <c r="B85" t="s">
        <v>153</v>
      </c>
      <c r="C85">
        <v>66675</v>
      </c>
      <c r="E85" t="str">
        <f>VLOOKUP(B85,'Profit Loss-Amravati-25-26'!$A$9:$F$188,1,0)</f>
        <v>FACTORY CLEANING CHARGES</v>
      </c>
      <c r="F85">
        <f>VLOOKUP(B85,'Profit Loss-Amravati-25-26'!$A$9:$F$188,5,0)</f>
        <v>107616</v>
      </c>
      <c r="G85">
        <f t="shared" si="1"/>
        <v>-40941</v>
      </c>
    </row>
    <row r="86" spans="1:7" x14ac:dyDescent="0.3">
      <c r="A86">
        <v>936</v>
      </c>
      <c r="B86" t="s">
        <v>225</v>
      </c>
      <c r="C86">
        <v>34038.1</v>
      </c>
      <c r="E86" t="str">
        <f>VLOOKUP(B86,'Profit Loss-Amravati-25-26'!$A$9:$F$188,1,0)</f>
        <v>OFFICE MAINTENANCE</v>
      </c>
      <c r="F86">
        <f>VLOOKUP(B86,'Profit Loss-Amravati-25-26'!$A$9:$F$188,5,0)</f>
        <v>34038.1</v>
      </c>
      <c r="G86">
        <f t="shared" si="1"/>
        <v>0</v>
      </c>
    </row>
    <row r="87" spans="1:7" x14ac:dyDescent="0.3">
      <c r="A87">
        <v>812</v>
      </c>
      <c r="B87" t="s">
        <v>90</v>
      </c>
      <c r="C87">
        <v>718647</v>
      </c>
      <c r="E87" t="str">
        <f>VLOOKUP(B87,'Profit Loss-Amravati-25-26'!$A$9:$F$188,1,0)</f>
        <v>REPAIRS &amp; MAINTENANCE</v>
      </c>
      <c r="F87">
        <f>VLOOKUP(B87,'Profit Loss-Amravati-25-26'!$A$9:$F$188,5,0)</f>
        <v>466962.75</v>
      </c>
      <c r="G87">
        <f t="shared" si="1"/>
        <v>251684.25</v>
      </c>
    </row>
    <row r="88" spans="1:7" x14ac:dyDescent="0.3">
      <c r="A88">
        <v>1110</v>
      </c>
      <c r="B88" t="s">
        <v>102</v>
      </c>
      <c r="C88">
        <v>77880</v>
      </c>
      <c r="E88" t="str">
        <f>VLOOKUP(B88,'Profit Loss-Amravati-25-26'!$A$9:$F$188,1,0)</f>
        <v>SECURITY CHARGES</v>
      </c>
      <c r="F88">
        <f>VLOOKUP(B88,'Profit Loss-Amravati-25-26'!$A$9:$F$188,5,0)</f>
        <v>124215</v>
      </c>
      <c r="G88">
        <f t="shared" si="1"/>
        <v>-46335</v>
      </c>
    </row>
    <row r="89" spans="1:7" x14ac:dyDescent="0.3">
      <c r="A89">
        <v>930</v>
      </c>
      <c r="B89" t="s">
        <v>96</v>
      </c>
      <c r="C89">
        <v>5550</v>
      </c>
      <c r="E89" t="str">
        <f>VLOOKUP(B89,'Profit Loss-Amravati-25-26'!$A$9:$F$188,1,0)</f>
        <v>GARDEN EXPENSES</v>
      </c>
      <c r="F89">
        <f>VLOOKUP(B89,'Profit Loss-Amravati-25-26'!$A$9:$F$188,5,0)</f>
        <v>5550</v>
      </c>
      <c r="G89">
        <f t="shared" si="1"/>
        <v>0</v>
      </c>
    </row>
    <row r="90" spans="1:7" x14ac:dyDescent="0.3">
      <c r="A90">
        <v>1021</v>
      </c>
      <c r="B90" t="s">
        <v>57</v>
      </c>
      <c r="C90">
        <v>2.0499999999999998</v>
      </c>
      <c r="E90" t="str">
        <f>VLOOKUP(B90,'Profit Loss-Amravati-25-26'!$A$9:$F$188,1,0)</f>
        <v>KASAR KHATE</v>
      </c>
      <c r="F90">
        <f>VLOOKUP(B90,'Profit Loss-Amravati-25-26'!$A$9:$F$188,5,0)</f>
        <v>-80.95</v>
      </c>
      <c r="G90">
        <f t="shared" si="1"/>
        <v>83</v>
      </c>
    </row>
    <row r="91" spans="1:7" x14ac:dyDescent="0.3">
      <c r="A91">
        <v>935</v>
      </c>
      <c r="B91" t="s">
        <v>228</v>
      </c>
      <c r="C91">
        <v>5163</v>
      </c>
      <c r="E91" t="str">
        <f>VLOOKUP(B91,'Profit Loss-Amravati-25-26'!$A$9:$F$188,1,0)</f>
        <v>POOJA EXPENSES</v>
      </c>
      <c r="F91">
        <f>VLOOKUP(B91,'Profit Loss-Amravati-25-26'!$A$9:$F$188,5,0)</f>
        <v>5163</v>
      </c>
      <c r="G91">
        <f t="shared" si="1"/>
        <v>0</v>
      </c>
    </row>
    <row r="92" spans="1:7" x14ac:dyDescent="0.3">
      <c r="A92">
        <v>882</v>
      </c>
      <c r="B92" t="s">
        <v>216</v>
      </c>
      <c r="C92">
        <v>474566</v>
      </c>
      <c r="E92" t="str">
        <f>VLOOKUP(B92,'Profit Loss-Amravati-25-26'!$A$9:$F$188,1,0)</f>
        <v>ATTENDENCE BONUS</v>
      </c>
      <c r="F92">
        <f>VLOOKUP(B92,'Profit Loss-Amravati-25-26'!$A$9:$F$188,5,0)</f>
        <v>474566</v>
      </c>
      <c r="G92">
        <f t="shared" si="1"/>
        <v>0</v>
      </c>
    </row>
    <row r="93" spans="1:7" x14ac:dyDescent="0.3">
      <c r="A93">
        <v>862</v>
      </c>
      <c r="B93" t="s">
        <v>79</v>
      </c>
      <c r="C93">
        <v>12773</v>
      </c>
      <c r="E93" t="str">
        <f>VLOOKUP(B93,'Profit Loss-Amravati-25-26'!$A$9:$F$188,1,0)</f>
        <v>BONUS</v>
      </c>
      <c r="F93">
        <f>VLOOKUP(B93,'Profit Loss-Amravati-25-26'!$A$9:$F$188,5,0)</f>
        <v>2428423.6</v>
      </c>
      <c r="G93">
        <f t="shared" si="1"/>
        <v>-2415650.6</v>
      </c>
    </row>
    <row r="94" spans="1:7" x14ac:dyDescent="0.3">
      <c r="A94">
        <v>948</v>
      </c>
      <c r="B94" t="s">
        <v>72</v>
      </c>
      <c r="C94">
        <v>2583305</v>
      </c>
      <c r="E94" t="str">
        <f>VLOOKUP(B94,'Profit Loss-Amravati-25-26'!$A$9:$F$188,1,0)</f>
        <v>CONVEYANCE ALLOWANCE</v>
      </c>
      <c r="F94">
        <f>VLOOKUP(B94,'Profit Loss-Amravati-25-26'!$A$9:$F$188,5,0)</f>
        <v>2908032</v>
      </c>
      <c r="G94">
        <f t="shared" si="1"/>
        <v>-324727</v>
      </c>
    </row>
    <row r="95" spans="1:7" x14ac:dyDescent="0.3">
      <c r="A95">
        <v>855</v>
      </c>
      <c r="B95" t="s">
        <v>73</v>
      </c>
      <c r="C95">
        <v>865003</v>
      </c>
      <c r="E95" t="str">
        <f>VLOOKUP(B95,'Profit Loss-Amravati-25-26'!$A$9:$F$188,1,0)</f>
        <v>EDUCATION ALLOWANCE</v>
      </c>
      <c r="F95">
        <f>VLOOKUP(B95,'Profit Loss-Amravati-25-26'!$A$9:$F$188,5,0)</f>
        <v>1015420</v>
      </c>
      <c r="G95">
        <f t="shared" si="1"/>
        <v>-150417</v>
      </c>
    </row>
    <row r="96" spans="1:7" x14ac:dyDescent="0.3">
      <c r="A96">
        <v>853</v>
      </c>
      <c r="B96" t="s">
        <v>74</v>
      </c>
      <c r="C96">
        <v>2868289</v>
      </c>
      <c r="E96" t="str">
        <f>VLOOKUP(B96,'Profit Loss-Amravati-25-26'!$A$9:$F$188,1,0)</f>
        <v>HOUSE RENT ALLOWANCE</v>
      </c>
      <c r="F96">
        <f>VLOOKUP(B96,'Profit Loss-Amravati-25-26'!$A$9:$F$188,5,0)</f>
        <v>3311280</v>
      </c>
      <c r="G96">
        <f t="shared" si="1"/>
        <v>-442991</v>
      </c>
    </row>
    <row r="97" spans="1:7" x14ac:dyDescent="0.3">
      <c r="A97">
        <v>848</v>
      </c>
      <c r="B97" t="s">
        <v>235</v>
      </c>
      <c r="C97">
        <v>25731</v>
      </c>
      <c r="E97" t="str">
        <f>VLOOKUP(B97,'Profit Loss-Amravati-25-26'!$A$9:$F$188,1,0)</f>
        <v>INCENTIVE PAYMENT</v>
      </c>
      <c r="F97">
        <f>VLOOKUP(B97,'Profit Loss-Amravati-25-26'!$A$9:$F$188,5,0)</f>
        <v>25731</v>
      </c>
      <c r="G97">
        <f t="shared" si="1"/>
        <v>0</v>
      </c>
    </row>
    <row r="98" spans="1:7" x14ac:dyDescent="0.3">
      <c r="A98">
        <v>975</v>
      </c>
      <c r="B98" t="s">
        <v>77</v>
      </c>
      <c r="C98">
        <v>2926</v>
      </c>
      <c r="E98" t="str">
        <f>VLOOKUP(B98,'Profit Loss-Amravati-25-26'!$A$9:$F$188,1,0)</f>
        <v>MEDICAL ALLOWANCE</v>
      </c>
      <c r="F98">
        <f>VLOOKUP(B98,'Profit Loss-Amravati-25-26'!$A$9:$F$188,5,0)</f>
        <v>2926</v>
      </c>
      <c r="G98">
        <f t="shared" si="1"/>
        <v>0</v>
      </c>
    </row>
    <row r="99" spans="1:7" x14ac:dyDescent="0.3">
      <c r="A99">
        <v>10208</v>
      </c>
      <c r="B99" t="s">
        <v>78</v>
      </c>
      <c r="C99">
        <v>265642</v>
      </c>
      <c r="E99" t="str">
        <f>VLOOKUP(B99,'Profit Loss-Amravati-25-26'!$A$9:$F$188,1,0)</f>
        <v>NEWSPAPER &amp; PERIODICAL ALLOWANCE</v>
      </c>
      <c r="F99">
        <f>VLOOKUP(B99,'Profit Loss-Amravati-25-26'!$A$9:$F$188,5,0)</f>
        <v>272935</v>
      </c>
      <c r="G99">
        <f t="shared" si="1"/>
        <v>-7293</v>
      </c>
    </row>
    <row r="100" spans="1:7" x14ac:dyDescent="0.3">
      <c r="A100">
        <v>863</v>
      </c>
      <c r="B100" t="s">
        <v>218</v>
      </c>
      <c r="C100">
        <v>-1371</v>
      </c>
      <c r="E100" t="str">
        <f>VLOOKUP(B100,'Profit Loss-Amravati-25-26'!$A$9:$F$188,1,0)</f>
        <v>NOTICE PAY</v>
      </c>
      <c r="F100">
        <f>VLOOKUP(B100,'Profit Loss-Amravati-25-26'!$A$9:$F$188,5,0)</f>
        <v>-1371</v>
      </c>
      <c r="G100">
        <f t="shared" si="1"/>
        <v>0</v>
      </c>
    </row>
    <row r="101" spans="1:7" x14ac:dyDescent="0.3">
      <c r="A101">
        <v>31408</v>
      </c>
      <c r="B101" t="s">
        <v>227</v>
      </c>
      <c r="C101">
        <v>-1293</v>
      </c>
      <c r="E101" t="str">
        <f>VLOOKUP(B101,'Profit Loss-Amravati-25-26'!$A$9:$F$188,1,0)</f>
        <v>ONE DAY SALARY DEDUCTION</v>
      </c>
      <c r="F101">
        <f>VLOOKUP(B101,'Profit Loss-Amravati-25-26'!$A$9:$F$188,5,0)</f>
        <v>-1293</v>
      </c>
      <c r="G101">
        <f t="shared" si="1"/>
        <v>0</v>
      </c>
    </row>
    <row r="102" spans="1:7" x14ac:dyDescent="0.3">
      <c r="A102">
        <v>718</v>
      </c>
      <c r="B102" t="s">
        <v>217</v>
      </c>
      <c r="C102">
        <v>646710</v>
      </c>
      <c r="E102" t="str">
        <f>VLOOKUP(B102,'Profit Loss-Amravati-25-26'!$A$9:$F$188,1,0)</f>
        <v>PRODUCTION INCENTIVE</v>
      </c>
      <c r="F102">
        <f>VLOOKUP(B102,'Profit Loss-Amravati-25-26'!$A$9:$F$188,5,0)</f>
        <v>646710</v>
      </c>
      <c r="G102">
        <f t="shared" si="1"/>
        <v>0</v>
      </c>
    </row>
    <row r="103" spans="1:7" x14ac:dyDescent="0.3">
      <c r="A103">
        <v>851</v>
      </c>
      <c r="B103" t="s">
        <v>81</v>
      </c>
      <c r="C103">
        <v>23255788</v>
      </c>
      <c r="E103" t="str">
        <f>VLOOKUP(B103,'Profit Loss-Amravati-25-26'!$A$9:$F$188,1,0)</f>
        <v>SALARY &amp; WAGES</v>
      </c>
      <c r="F103">
        <f>VLOOKUP(B103,'Profit Loss-Amravati-25-26'!$A$9:$F$188,5,0)</f>
        <v>24156506</v>
      </c>
      <c r="G103">
        <f t="shared" si="1"/>
        <v>-900718</v>
      </c>
    </row>
    <row r="104" spans="1:7" x14ac:dyDescent="0.3">
      <c r="A104">
        <v>852</v>
      </c>
      <c r="B104" t="s">
        <v>215</v>
      </c>
      <c r="C104">
        <v>312704</v>
      </c>
      <c r="E104" t="str">
        <f>VLOOKUP(B104,'Profit Loss-Amravati-25-26'!$A$9:$F$188,1,0)</f>
        <v>SALARY &amp; WAGES (OVER TIME)</v>
      </c>
      <c r="F104">
        <f>VLOOKUP(B104,'Profit Loss-Amravati-25-26'!$A$9:$F$188,5,0)</f>
        <v>312704</v>
      </c>
      <c r="G104">
        <f t="shared" si="1"/>
        <v>0</v>
      </c>
    </row>
    <row r="105" spans="1:7" x14ac:dyDescent="0.3">
      <c r="A105">
        <v>881</v>
      </c>
      <c r="B105" t="s">
        <v>210</v>
      </c>
      <c r="C105">
        <v>636</v>
      </c>
      <c r="E105" t="str">
        <f>VLOOKUP(B105,'Profit Loss-Amravati-25-26'!$A$9:$F$188,1,0)</f>
        <v>SHIFT ALLOWANCE</v>
      </c>
      <c r="F105">
        <f>VLOOKUP(B105,'Profit Loss-Amravati-25-26'!$A$9:$F$188,5,0)</f>
        <v>636</v>
      </c>
      <c r="G105">
        <f t="shared" si="1"/>
        <v>0</v>
      </c>
    </row>
    <row r="106" spans="1:7" x14ac:dyDescent="0.3">
      <c r="A106">
        <v>689</v>
      </c>
      <c r="B106" t="s">
        <v>75</v>
      </c>
      <c r="C106">
        <v>502880</v>
      </c>
      <c r="E106" t="str">
        <f>VLOOKUP(B106,'Profit Loss-Amravati-25-26'!$A$9:$F$188,1,0)</f>
        <v>SPECIAL ALLOWANCE</v>
      </c>
      <c r="F106">
        <f>VLOOKUP(B106,'Profit Loss-Amravati-25-26'!$A$9:$F$188,5,0)</f>
        <v>502880</v>
      </c>
      <c r="G106">
        <f t="shared" si="1"/>
        <v>0</v>
      </c>
    </row>
    <row r="107" spans="1:7" x14ac:dyDescent="0.3">
      <c r="A107">
        <v>1325</v>
      </c>
      <c r="B107" t="s">
        <v>98</v>
      </c>
      <c r="C107">
        <v>8157988</v>
      </c>
      <c r="E107" t="str">
        <f>VLOOKUP(B107,'Profit Loss-Amravati-25-26'!$A$9:$F$188,1,0)</f>
        <v>STIPEND</v>
      </c>
      <c r="F107">
        <f>VLOOKUP(B107,'Profit Loss-Amravati-25-26'!$A$9:$F$188,5,0)</f>
        <v>8157988</v>
      </c>
      <c r="G107">
        <f t="shared" si="1"/>
        <v>0</v>
      </c>
    </row>
    <row r="108" spans="1:7" x14ac:dyDescent="0.3">
      <c r="A108">
        <v>11722</v>
      </c>
      <c r="B108" t="s">
        <v>211</v>
      </c>
      <c r="C108">
        <v>450</v>
      </c>
      <c r="E108" t="str">
        <f>VLOOKUP(B108,'Profit Loss-Amravati-25-26'!$A$9:$F$188,1,0)</f>
        <v>TELEPHONE ALLOWANCE</v>
      </c>
      <c r="F108">
        <f>VLOOKUP(B108,'Profit Loss-Amravati-25-26'!$A$9:$F$188,5,0)</f>
        <v>450</v>
      </c>
      <c r="G108">
        <f t="shared" si="1"/>
        <v>0</v>
      </c>
    </row>
    <row r="109" spans="1:7" x14ac:dyDescent="0.3">
      <c r="A109">
        <v>39011</v>
      </c>
      <c r="B109" t="s">
        <v>83</v>
      </c>
      <c r="C109">
        <v>436141</v>
      </c>
      <c r="E109" t="str">
        <f>VLOOKUP(B109,'Profit Loss-Amravati-25-26'!$A$9:$F$188,1,0)</f>
        <v>COMPANY SHARE OF E.S.I.C ACCOUNT</v>
      </c>
      <c r="F109">
        <f>VLOOKUP(B109,'Profit Loss-Amravati-25-26'!$A$9:$F$188,5,0)</f>
        <v>663657</v>
      </c>
      <c r="G109">
        <f t="shared" si="1"/>
        <v>-227516</v>
      </c>
    </row>
    <row r="110" spans="1:7" x14ac:dyDescent="0.3">
      <c r="A110">
        <v>38580</v>
      </c>
      <c r="B110" t="s">
        <v>82</v>
      </c>
      <c r="C110">
        <v>1699031</v>
      </c>
      <c r="E110" t="str">
        <f>VLOOKUP(B110,'Profit Loss-Amravati-25-26'!$A$9:$F$188,1,0)</f>
        <v>COMPANY SHARE OF PF</v>
      </c>
      <c r="F110">
        <f>VLOOKUP(B110,'Profit Loss-Amravati-25-26'!$A$9:$F$188,5,0)</f>
        <v>2594196</v>
      </c>
      <c r="G110">
        <f t="shared" si="1"/>
        <v>-895165</v>
      </c>
    </row>
    <row r="111" spans="1:7" x14ac:dyDescent="0.3">
      <c r="A111">
        <v>39010</v>
      </c>
      <c r="B111" t="s">
        <v>85</v>
      </c>
      <c r="C111">
        <v>-52788</v>
      </c>
      <c r="E111" t="str">
        <f>VLOOKUP(B111,'Profit Loss-Amravati-25-26'!$A$9:$F$188,1,0)</f>
        <v>EMPLOYEE SHARE OF E.S.I.C ACCOUNT</v>
      </c>
      <c r="F111">
        <f>VLOOKUP(B111,'Profit Loss-Amravati-25-26'!$A$9:$F$188,5,0)</f>
        <v>0</v>
      </c>
      <c r="G111">
        <f t="shared" si="1"/>
        <v>-52788</v>
      </c>
    </row>
    <row r="112" spans="1:7" x14ac:dyDescent="0.3">
      <c r="A112">
        <v>38579</v>
      </c>
      <c r="B112" t="s">
        <v>86</v>
      </c>
      <c r="C112">
        <v>-831277</v>
      </c>
      <c r="E112" t="str">
        <f>VLOOKUP(B112,'Profit Loss-Amravati-25-26'!$A$9:$F$188,1,0)</f>
        <v>EMPLOYEE SHARE OF PF ACCOUNT</v>
      </c>
      <c r="F112">
        <f>VLOOKUP(B112,'Profit Loss-Amravati-25-26'!$A$9:$F$188,5,0)</f>
        <v>0</v>
      </c>
      <c r="G112">
        <f t="shared" si="1"/>
        <v>-831277</v>
      </c>
    </row>
    <row r="113" spans="1:7" x14ac:dyDescent="0.3">
      <c r="A113">
        <v>872</v>
      </c>
      <c r="B113" t="s">
        <v>87</v>
      </c>
      <c r="C113">
        <v>-22800</v>
      </c>
      <c r="E113" t="str">
        <f>VLOOKUP(B113,'Profit Loss-Amravati-25-26'!$A$9:$F$188,1,0)</f>
        <v>M.L.W.FUND</v>
      </c>
      <c r="F113">
        <f>VLOOKUP(B113,'Profit Loss-Amravati-25-26'!$A$9:$F$188,5,0)</f>
        <v>69675</v>
      </c>
      <c r="G113">
        <f t="shared" si="1"/>
        <v>-92475</v>
      </c>
    </row>
    <row r="114" spans="1:7" x14ac:dyDescent="0.3">
      <c r="A114">
        <v>868</v>
      </c>
      <c r="B114" t="s">
        <v>88</v>
      </c>
      <c r="C114">
        <v>136348</v>
      </c>
      <c r="E114" t="str">
        <f>VLOOKUP(B114,'Profit Loss-Amravati-25-26'!$A$9:$F$188,1,0)</f>
        <v>P.F. ADMINISTRATION CHARGES</v>
      </c>
      <c r="F114">
        <f>VLOOKUP(B114,'Profit Loss-Amravati-25-26'!$A$9:$F$188,5,0)</f>
        <v>202348</v>
      </c>
      <c r="G114">
        <f t="shared" si="1"/>
        <v>-66000</v>
      </c>
    </row>
    <row r="115" spans="1:7" x14ac:dyDescent="0.3">
      <c r="A115">
        <v>1107</v>
      </c>
      <c r="B115" t="s">
        <v>105</v>
      </c>
      <c r="C115">
        <v>71810</v>
      </c>
      <c r="E115" t="str">
        <f>VLOOKUP(B115,'Profit Loss-Amravati-25-26'!$A$9:$F$188,1,0)</f>
        <v>GUEST HOUSE EXPENSES</v>
      </c>
      <c r="F115">
        <f>VLOOKUP(B115,'Profit Loss-Amravati-25-26'!$A$9:$F$188,5,0)</f>
        <v>71810</v>
      </c>
      <c r="G115">
        <f t="shared" si="1"/>
        <v>0</v>
      </c>
    </row>
    <row r="116" spans="1:7" x14ac:dyDescent="0.3">
      <c r="A116">
        <v>859</v>
      </c>
      <c r="B116" t="s">
        <v>220</v>
      </c>
      <c r="C116">
        <v>25048</v>
      </c>
      <c r="E116" t="str">
        <f>VLOOKUP(B116,'Profit Loss-Amravati-25-26'!$A$9:$F$188,1,0)</f>
        <v>STAFF/WORKER MEDICAL</v>
      </c>
      <c r="F116">
        <f>VLOOKUP(B116,'Profit Loss-Amravati-25-26'!$A$9:$F$188,5,0)</f>
        <v>34213</v>
      </c>
      <c r="G116">
        <f t="shared" si="1"/>
        <v>-9165</v>
      </c>
    </row>
    <row r="117" spans="1:7" x14ac:dyDescent="0.3">
      <c r="A117">
        <v>858</v>
      </c>
      <c r="B117" t="s">
        <v>89</v>
      </c>
      <c r="C117">
        <v>182060</v>
      </c>
      <c r="E117" t="str">
        <f>VLOOKUP(B117,'Profit Loss-Amravati-25-26'!$A$9:$F$188,1,0)</f>
        <v>STAFF/WORKER WELFARE</v>
      </c>
      <c r="F117">
        <f>VLOOKUP(B117,'Profit Loss-Amravati-25-26'!$A$9:$F$188,5,0)</f>
        <v>245619</v>
      </c>
      <c r="G117">
        <f t="shared" si="1"/>
        <v>-63559</v>
      </c>
    </row>
    <row r="118" spans="1:7" x14ac:dyDescent="0.3">
      <c r="A118">
        <v>870</v>
      </c>
      <c r="B118" t="s">
        <v>221</v>
      </c>
      <c r="C118">
        <v>279416.12</v>
      </c>
      <c r="E118" t="str">
        <f>VLOOKUP(B118,'Profit Loss-Amravati-25-26'!$A$9:$F$188,1,0)</f>
        <v>STAFF/WORKERS INSURANCE</v>
      </c>
      <c r="F118">
        <f>VLOOKUP(B118,'Profit Loss-Amravati-25-26'!$A$9:$F$188,5,0)</f>
        <v>96435.62</v>
      </c>
      <c r="G118">
        <f t="shared" si="1"/>
        <v>182980.5</v>
      </c>
    </row>
    <row r="119" spans="1:7" x14ac:dyDescent="0.3">
      <c r="A119">
        <v>981</v>
      </c>
      <c r="B119" t="s">
        <v>109</v>
      </c>
      <c r="C119">
        <v>108224.17</v>
      </c>
      <c r="E119" t="str">
        <f>VLOOKUP(B119,'Profit Loss-Amravati-25-26'!$A$9:$F$188,1,0)</f>
        <v>BANK CHARGES</v>
      </c>
      <c r="F119">
        <f>VLOOKUP(B119,'Profit Loss-Amravati-25-26'!$A$9:$F$188,5,0)</f>
        <v>108224.17</v>
      </c>
      <c r="G119">
        <f t="shared" si="1"/>
        <v>0</v>
      </c>
    </row>
    <row r="120" spans="1:7" x14ac:dyDescent="0.3">
      <c r="A120">
        <v>974</v>
      </c>
      <c r="B120" t="s">
        <v>94</v>
      </c>
      <c r="C120">
        <v>699</v>
      </c>
      <c r="E120" t="str">
        <f>VLOOKUP(B120,'Profit Loss-Amravati-25-26'!$A$9:$F$188,1,0)</f>
        <v>BANK GUARANTEE CHARGES</v>
      </c>
      <c r="F120">
        <f>VLOOKUP(B120,'Profit Loss-Amravati-25-26'!$A$9:$F$188,5,0)</f>
        <v>174.75</v>
      </c>
      <c r="G120">
        <f t="shared" si="1"/>
        <v>524.25</v>
      </c>
    </row>
    <row r="121" spans="1:7" x14ac:dyDescent="0.3">
      <c r="A121">
        <v>25273</v>
      </c>
      <c r="B121" t="s">
        <v>112</v>
      </c>
      <c r="C121">
        <v>353706.71</v>
      </c>
      <c r="E121" t="str">
        <f>VLOOKUP(B121,'Profit Loss-Amravati-25-26'!$A$9:$F$188,1,0)</f>
        <v>CASH DISCOUNT PAID</v>
      </c>
      <c r="F121">
        <f>VLOOKUP(B121,'Profit Loss-Amravati-25-26'!$A$9:$F$188,5,0)</f>
        <v>353706.71</v>
      </c>
      <c r="G121">
        <f t="shared" si="1"/>
        <v>0</v>
      </c>
    </row>
    <row r="122" spans="1:7" x14ac:dyDescent="0.3">
      <c r="A122">
        <v>986</v>
      </c>
      <c r="B122" t="s">
        <v>114</v>
      </c>
      <c r="C122">
        <v>1540</v>
      </c>
      <c r="E122" t="str">
        <f>VLOOKUP(B122,'Profit Loss-Amravati-25-26'!$A$9:$F$188,1,0)</f>
        <v>INTEREST TO OTHERS</v>
      </c>
      <c r="F122">
        <f>VLOOKUP(B122,'Profit Loss-Amravati-25-26'!$A$9:$F$188,5,0)</f>
        <v>1540</v>
      </c>
      <c r="G122">
        <f t="shared" si="1"/>
        <v>0</v>
      </c>
    </row>
    <row r="123" spans="1:7" x14ac:dyDescent="0.3">
      <c r="A123" t="s">
        <v>277</v>
      </c>
      <c r="B123" t="s">
        <v>279</v>
      </c>
      <c r="C123">
        <f>SUM(C23:C122)</f>
        <v>367605135.87000006</v>
      </c>
      <c r="D123">
        <v>367605135.87</v>
      </c>
    </row>
    <row r="124" spans="1:7" x14ac:dyDescent="0.3">
      <c r="C124">
        <f>+C22-C123</f>
        <v>-195319188.89000008</v>
      </c>
    </row>
    <row r="125" spans="1:7" x14ac:dyDescent="0.3">
      <c r="A125" t="s">
        <v>280</v>
      </c>
      <c r="B125" t="s">
        <v>312</v>
      </c>
      <c r="C125">
        <v>88.89</v>
      </c>
    </row>
    <row r="126" spans="1:7" x14ac:dyDescent="0.3">
      <c r="A126" t="s">
        <v>284</v>
      </c>
      <c r="B126" t="s">
        <v>313</v>
      </c>
      <c r="D126" t="s">
        <v>314</v>
      </c>
      <c r="E126" t="s">
        <v>315</v>
      </c>
    </row>
    <row r="127" spans="1:7" x14ac:dyDescent="0.3">
      <c r="A127" t="s">
        <v>157</v>
      </c>
    </row>
  </sheetData>
  <autoFilter ref="A7:C127" xr:uid="{96210D87-901B-4312-89E4-36472C1781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3218-1188-4328-B5AB-B4ED5343D5D6}">
  <dimension ref="A1:H50"/>
  <sheetViews>
    <sheetView workbookViewId="0">
      <selection activeCell="C46" sqref="C46"/>
    </sheetView>
  </sheetViews>
  <sheetFormatPr defaultRowHeight="14.4" x14ac:dyDescent="0.3"/>
  <cols>
    <col min="2" max="2" width="35.33203125" customWidth="1"/>
    <col min="3" max="3" width="10.88671875" customWidth="1"/>
  </cols>
  <sheetData>
    <row r="1" spans="1:8" x14ac:dyDescent="0.3">
      <c r="A1" t="s">
        <v>141</v>
      </c>
      <c r="B1" t="s">
        <v>239</v>
      </c>
      <c r="D1" t="s">
        <v>143</v>
      </c>
    </row>
    <row r="2" spans="1:8" x14ac:dyDescent="0.3">
      <c r="A2" t="s">
        <v>141</v>
      </c>
      <c r="B2" t="s">
        <v>254</v>
      </c>
      <c r="D2" t="s">
        <v>143</v>
      </c>
    </row>
    <row r="3" spans="1:8" x14ac:dyDescent="0.3">
      <c r="A3" t="s">
        <v>141</v>
      </c>
      <c r="B3" t="s">
        <v>316</v>
      </c>
      <c r="C3" s="85">
        <v>45839</v>
      </c>
      <c r="D3" t="s">
        <v>143</v>
      </c>
    </row>
    <row r="4" spans="1:8" x14ac:dyDescent="0.3">
      <c r="A4" t="s">
        <v>317</v>
      </c>
      <c r="B4" t="s">
        <v>246</v>
      </c>
      <c r="C4" t="s">
        <v>318</v>
      </c>
      <c r="D4" t="s">
        <v>255</v>
      </c>
      <c r="E4" t="s">
        <v>256</v>
      </c>
    </row>
    <row r="5" spans="1:8" x14ac:dyDescent="0.3">
      <c r="A5" t="s">
        <v>146</v>
      </c>
      <c r="B5" t="s">
        <v>319</v>
      </c>
      <c r="C5" t="s">
        <v>320</v>
      </c>
      <c r="D5" t="s">
        <v>148</v>
      </c>
    </row>
    <row r="6" spans="1:8" x14ac:dyDescent="0.3">
      <c r="A6" t="s">
        <v>149</v>
      </c>
      <c r="B6" t="s">
        <v>321</v>
      </c>
      <c r="C6" t="s">
        <v>322</v>
      </c>
      <c r="D6" t="s">
        <v>152</v>
      </c>
    </row>
    <row r="7" spans="1:8" x14ac:dyDescent="0.3">
      <c r="A7" t="s">
        <v>317</v>
      </c>
      <c r="B7" t="s">
        <v>246</v>
      </c>
      <c r="C7" t="s">
        <v>318</v>
      </c>
      <c r="D7" t="s">
        <v>255</v>
      </c>
      <c r="E7" t="s">
        <v>256</v>
      </c>
    </row>
    <row r="8" spans="1:8" x14ac:dyDescent="0.3">
      <c r="A8" t="s">
        <v>3</v>
      </c>
    </row>
    <row r="9" spans="1:8" x14ac:dyDescent="0.3">
      <c r="A9">
        <v>18669</v>
      </c>
      <c r="B9" t="s">
        <v>257</v>
      </c>
      <c r="C9">
        <v>5286179</v>
      </c>
      <c r="F9" t="str">
        <f>VLOOKUP(B9,'Profit Loss-Betul-25-26'!$A$9:$F$141,1,0)</f>
        <v>SALES (LABOUR JOB) - INTER UNIT</v>
      </c>
      <c r="G9">
        <f>VLOOKUP(B9,'Profit Loss-Betul-25-26'!$A$9:$F$141,5,0)</f>
        <v>5286179</v>
      </c>
      <c r="H9">
        <f>+C9-G9</f>
        <v>0</v>
      </c>
    </row>
    <row r="10" spans="1:8" x14ac:dyDescent="0.3">
      <c r="A10" t="s">
        <v>323</v>
      </c>
      <c r="B10" t="s">
        <v>324</v>
      </c>
      <c r="C10">
        <f>SUM(C9)</f>
        <v>5286179</v>
      </c>
    </row>
    <row r="11" spans="1:8" x14ac:dyDescent="0.3">
      <c r="A11">
        <v>36583</v>
      </c>
      <c r="B11" t="s">
        <v>200</v>
      </c>
      <c r="C11">
        <v>96043.72</v>
      </c>
      <c r="F11" t="str">
        <f>VLOOKUP(B11,'Profit Loss-Betul-25-26'!$A$9:$F$141,1,0)</f>
        <v>ELECTRICAL ITEM - GARMENT</v>
      </c>
      <c r="G11">
        <f>VLOOKUP(B11,'Profit Loss-Betul-25-26'!$A$9:$F$141,5,0)</f>
        <v>96043.72</v>
      </c>
      <c r="H11">
        <f t="shared" ref="H11:H44" si="0">+C11-G11</f>
        <v>0</v>
      </c>
    </row>
    <row r="12" spans="1:8" x14ac:dyDescent="0.3">
      <c r="A12">
        <v>815</v>
      </c>
      <c r="B12" t="s">
        <v>40</v>
      </c>
      <c r="C12">
        <v>5340</v>
      </c>
      <c r="F12" t="str">
        <f>VLOOKUP(B12,'Profit Loss-Betul-25-26'!$A$9:$F$141,1,0)</f>
        <v>PURCHASE STORES &amp; SPARES</v>
      </c>
      <c r="G12">
        <f>VLOOKUP(B12,'Profit Loss-Betul-25-26'!$A$9:$F$141,5,0)</f>
        <v>5340</v>
      </c>
      <c r="H12">
        <f t="shared" si="0"/>
        <v>0</v>
      </c>
    </row>
    <row r="13" spans="1:8" x14ac:dyDescent="0.3">
      <c r="A13">
        <v>25339</v>
      </c>
      <c r="B13" t="s">
        <v>192</v>
      </c>
      <c r="C13">
        <v>259554</v>
      </c>
      <c r="F13" t="str">
        <f>VLOOKUP(B13,'Profit Loss-Betul-25-26'!$A$9:$F$141,1,0)</f>
        <v>PURCHASE STORES &amp; SPARES (GARMENT)</v>
      </c>
      <c r="G13">
        <f>VLOOKUP(B13,'Profit Loss-Betul-25-26'!$A$9:$F$141,5,0)</f>
        <v>259554</v>
      </c>
      <c r="H13">
        <f t="shared" si="0"/>
        <v>0</v>
      </c>
    </row>
    <row r="14" spans="1:8" x14ac:dyDescent="0.3">
      <c r="A14">
        <v>810</v>
      </c>
      <c r="B14" t="s">
        <v>48</v>
      </c>
      <c r="C14">
        <v>6700</v>
      </c>
      <c r="F14" t="str">
        <f>VLOOKUP(B14,'Profit Loss-Betul-25-26'!$A$9:$F$141,1,0)</f>
        <v>FUEL &amp; OIL</v>
      </c>
      <c r="G14">
        <f>VLOOKUP(B14,'Profit Loss-Betul-25-26'!$A$9:$F$141,5,0)</f>
        <v>6700</v>
      </c>
      <c r="H14">
        <f t="shared" si="0"/>
        <v>0</v>
      </c>
    </row>
    <row r="15" spans="1:8" x14ac:dyDescent="0.3">
      <c r="A15">
        <v>937</v>
      </c>
      <c r="B15" t="s">
        <v>58</v>
      </c>
      <c r="C15">
        <v>4620</v>
      </c>
      <c r="F15" t="str">
        <f>VLOOKUP(B15,'Profit Loss-Betul-25-26'!$A$9:$F$141,1,0)</f>
        <v>ELECTRICITY CHARGES</v>
      </c>
      <c r="G15">
        <f>VLOOKUP(B15,'Profit Loss-Betul-25-26'!$A$9:$F$141,5,0)</f>
        <v>4620</v>
      </c>
      <c r="H15">
        <f t="shared" si="0"/>
        <v>0</v>
      </c>
    </row>
    <row r="16" spans="1:8" x14ac:dyDescent="0.3">
      <c r="A16">
        <v>809</v>
      </c>
      <c r="B16" t="s">
        <v>46</v>
      </c>
      <c r="C16">
        <v>300528</v>
      </c>
      <c r="F16" t="str">
        <f>VLOOKUP(B16,'Profit Loss-Betul-25-26'!$A$9:$F$141,1,0)</f>
        <v>POWER</v>
      </c>
      <c r="G16">
        <f>VLOOKUP(B16,'Profit Loss-Betul-25-26'!$A$9:$F$141,5,0)</f>
        <v>450528</v>
      </c>
      <c r="H16">
        <f t="shared" si="0"/>
        <v>-150000</v>
      </c>
    </row>
    <row r="17" spans="1:8" x14ac:dyDescent="0.3">
      <c r="A17">
        <v>20336</v>
      </c>
      <c r="B17" t="s">
        <v>12</v>
      </c>
      <c r="C17">
        <v>12500</v>
      </c>
      <c r="F17" t="str">
        <f>VLOOKUP(B17,'Profit Loss-Betul-25-26'!$A$9:$F$141,1,0)</f>
        <v>DELIVERY CHARGES ON SALES</v>
      </c>
      <c r="G17">
        <f>VLOOKUP(B17,'Profit Loss-Betul-25-26'!$A$9:$F$141,5,0)</f>
        <v>12500</v>
      </c>
      <c r="H17">
        <f t="shared" si="0"/>
        <v>0</v>
      </c>
    </row>
    <row r="18" spans="1:8" x14ac:dyDescent="0.3">
      <c r="A18">
        <v>894</v>
      </c>
      <c r="B18" t="s">
        <v>70</v>
      </c>
      <c r="C18">
        <v>41376</v>
      </c>
      <c r="F18" t="str">
        <f>VLOOKUP(B18,'Profit Loss-Betul-25-26'!$A$9:$F$141,1,0)</f>
        <v>FACTORY LICENCE FEES</v>
      </c>
      <c r="G18">
        <f>VLOOKUP(B18,'Profit Loss-Betul-25-26'!$A$9:$F$141,5,0)</f>
        <v>41376</v>
      </c>
      <c r="H18">
        <f t="shared" si="0"/>
        <v>0</v>
      </c>
    </row>
    <row r="19" spans="1:8" x14ac:dyDescent="0.3">
      <c r="A19">
        <v>963</v>
      </c>
      <c r="B19" t="s">
        <v>92</v>
      </c>
      <c r="C19">
        <v>93670</v>
      </c>
      <c r="F19" t="str">
        <f>VLOOKUP(B19,'Profit Loss-Betul-25-26'!$A$9:$F$141,1,0)</f>
        <v>LICENCE &amp; LEGAL FEES</v>
      </c>
      <c r="G19">
        <f>VLOOKUP(B19,'Profit Loss-Betul-25-26'!$A$9:$F$141,5,0)</f>
        <v>93670</v>
      </c>
      <c r="H19">
        <f t="shared" si="0"/>
        <v>0</v>
      </c>
    </row>
    <row r="20" spans="1:8" x14ac:dyDescent="0.3">
      <c r="A20">
        <v>821</v>
      </c>
      <c r="B20" t="s">
        <v>113</v>
      </c>
      <c r="C20">
        <v>471100</v>
      </c>
      <c r="F20" t="str">
        <f>VLOOKUP(B20,'Profit Loss-Betul-25-26'!$A$9:$F$141,1,0)</f>
        <v>RENT PAID</v>
      </c>
      <c r="G20">
        <f>VLOOKUP(B20,'Profit Loss-Betul-25-26'!$A$9:$F$141,5,0)</f>
        <v>471100</v>
      </c>
      <c r="H20">
        <f t="shared" si="0"/>
        <v>0</v>
      </c>
    </row>
    <row r="21" spans="1:8" x14ac:dyDescent="0.3">
      <c r="A21">
        <v>904</v>
      </c>
      <c r="B21" t="s">
        <v>67</v>
      </c>
      <c r="C21">
        <v>12117</v>
      </c>
      <c r="F21" t="str">
        <f>VLOOKUP(B21,'Profit Loss-Betul-25-26'!$A$9:$F$141,1,0)</f>
        <v>INSURANCE (GENERAL)</v>
      </c>
      <c r="G21">
        <f>VLOOKUP(B21,'Profit Loss-Betul-25-26'!$A$9:$F$141,5,0)</f>
        <v>12117</v>
      </c>
      <c r="H21">
        <f t="shared" si="0"/>
        <v>0</v>
      </c>
    </row>
    <row r="22" spans="1:8" x14ac:dyDescent="0.3">
      <c r="A22">
        <v>932</v>
      </c>
      <c r="B22" t="s">
        <v>54</v>
      </c>
      <c r="C22">
        <v>19652</v>
      </c>
      <c r="F22" t="str">
        <f>VLOOKUP(B22,'Profit Loss-Betul-25-26'!$A$9:$F$141,1,0)</f>
        <v>PRINTING &amp; STATIONERY</v>
      </c>
      <c r="G22">
        <f>VLOOKUP(B22,'Profit Loss-Betul-25-26'!$A$9:$F$141,5,0)</f>
        <v>19652</v>
      </c>
      <c r="H22">
        <f t="shared" si="0"/>
        <v>0</v>
      </c>
    </row>
    <row r="23" spans="1:8" x14ac:dyDescent="0.3">
      <c r="A23">
        <v>1101</v>
      </c>
      <c r="B23" t="s">
        <v>229</v>
      </c>
      <c r="C23">
        <v>20000</v>
      </c>
      <c r="F23" t="str">
        <f>VLOOKUP(B23,'Profit Loss-Betul-25-26'!$A$9:$F$141,1,0)</f>
        <v>TECHNICAL TRAINING EXPENSES PAID</v>
      </c>
      <c r="G23">
        <f>VLOOKUP(B23,'Profit Loss-Betul-25-26'!$A$9:$F$141,5,0)</f>
        <v>20000</v>
      </c>
      <c r="H23">
        <f t="shared" si="0"/>
        <v>0</v>
      </c>
    </row>
    <row r="24" spans="1:8" x14ac:dyDescent="0.3">
      <c r="A24">
        <v>854</v>
      </c>
      <c r="B24" t="s">
        <v>205</v>
      </c>
      <c r="C24">
        <v>14977</v>
      </c>
      <c r="F24" t="str">
        <f>VLOOKUP(B24,'Profit Loss-Betul-25-26'!$A$9:$F$141,1,0)</f>
        <v>CONVEYANCE RE-IMBURSEMENT</v>
      </c>
      <c r="G24">
        <f>VLOOKUP(B24,'Profit Loss-Betul-25-26'!$A$9:$F$141,5,0)</f>
        <v>14977</v>
      </c>
      <c r="H24">
        <f t="shared" si="0"/>
        <v>0</v>
      </c>
    </row>
    <row r="25" spans="1:8" x14ac:dyDescent="0.3">
      <c r="A25">
        <v>983</v>
      </c>
      <c r="B25" t="s">
        <v>95</v>
      </c>
      <c r="C25">
        <v>3500</v>
      </c>
      <c r="F25" t="str">
        <f>VLOOKUP(B25,'Profit Loss-Betul-25-26'!$A$9:$F$141,1,0)</f>
        <v>TRAVELLING EXPENSES</v>
      </c>
      <c r="G25">
        <f>VLOOKUP(B25,'Profit Loss-Betul-25-26'!$A$9:$F$141,5,0)</f>
        <v>3500</v>
      </c>
      <c r="H25">
        <f t="shared" si="0"/>
        <v>0</v>
      </c>
    </row>
    <row r="26" spans="1:8" x14ac:dyDescent="0.3">
      <c r="A26">
        <v>926</v>
      </c>
      <c r="B26" t="s">
        <v>207</v>
      </c>
      <c r="C26">
        <v>12775</v>
      </c>
      <c r="F26" t="str">
        <f>VLOOKUP(B26,'Profit Loss-Betul-25-26'!$A$9:$F$141,1,0)</f>
        <v>POSTAGE &amp; TELEGRAM</v>
      </c>
      <c r="G26">
        <f>VLOOKUP(B26,'Profit Loss-Betul-25-26'!$A$9:$F$141,5,0)</f>
        <v>12775</v>
      </c>
      <c r="H26">
        <f t="shared" si="0"/>
        <v>0</v>
      </c>
    </row>
    <row r="27" spans="1:8" x14ac:dyDescent="0.3">
      <c r="A27">
        <v>934</v>
      </c>
      <c r="B27" t="s">
        <v>103</v>
      </c>
      <c r="C27">
        <v>1650</v>
      </c>
      <c r="F27" t="str">
        <f>VLOOKUP(B27,'Profit Loss-Betul-25-26'!$A$9:$F$141,1,0)</f>
        <v>TELEPHONE EXPENSES</v>
      </c>
      <c r="G27">
        <f>VLOOKUP(B27,'Profit Loss-Betul-25-26'!$A$9:$F$141,5,0)</f>
        <v>1650</v>
      </c>
      <c r="H27">
        <f t="shared" si="0"/>
        <v>0</v>
      </c>
    </row>
    <row r="28" spans="1:8" x14ac:dyDescent="0.3">
      <c r="A28">
        <v>936</v>
      </c>
      <c r="B28" t="s">
        <v>225</v>
      </c>
      <c r="C28">
        <v>16928.78</v>
      </c>
      <c r="F28" t="str">
        <f>VLOOKUP(B28,'Profit Loss-Betul-25-26'!$A$9:$F$141,1,0)</f>
        <v>OFFICE MAINTENANCE</v>
      </c>
      <c r="G28">
        <f>VLOOKUP(B28,'Profit Loss-Betul-25-26'!$A$9:$F$141,5,0)</f>
        <v>16928.78</v>
      </c>
      <c r="H28">
        <f t="shared" si="0"/>
        <v>0</v>
      </c>
    </row>
    <row r="29" spans="1:8" x14ac:dyDescent="0.3">
      <c r="A29">
        <v>812</v>
      </c>
      <c r="B29" t="s">
        <v>90</v>
      </c>
      <c r="C29">
        <v>36466.69</v>
      </c>
      <c r="F29" t="str">
        <f>VLOOKUP(B29,'Profit Loss-Betul-25-26'!$A$9:$F$141,1,0)</f>
        <v>REPAIRS &amp; MAINTENANCE</v>
      </c>
      <c r="G29">
        <f>VLOOKUP(B29,'Profit Loss-Betul-25-26'!$A$9:$F$141,5,0)</f>
        <v>36466.69</v>
      </c>
      <c r="H29">
        <f t="shared" si="0"/>
        <v>0</v>
      </c>
    </row>
    <row r="30" spans="1:8" x14ac:dyDescent="0.3">
      <c r="A30">
        <v>1021</v>
      </c>
      <c r="B30" t="s">
        <v>57</v>
      </c>
      <c r="C30">
        <v>-2.5</v>
      </c>
      <c r="F30" t="str">
        <f>VLOOKUP(B30,'Profit Loss-Betul-25-26'!$A$9:$F$141,1,0)</f>
        <v>KASAR KHATE</v>
      </c>
      <c r="G30">
        <f>VLOOKUP(B30,'Profit Loss-Betul-25-26'!$A$9:$F$141,5,0)</f>
        <v>-2.5</v>
      </c>
      <c r="H30">
        <f t="shared" si="0"/>
        <v>0</v>
      </c>
    </row>
    <row r="31" spans="1:8" x14ac:dyDescent="0.3">
      <c r="A31">
        <v>948</v>
      </c>
      <c r="B31" t="s">
        <v>72</v>
      </c>
      <c r="C31">
        <v>90527</v>
      </c>
      <c r="F31" t="str">
        <f>VLOOKUP(B31,'Profit Loss-Betul-25-26'!$A$9:$F$141,1,0)</f>
        <v>CONVEYANCE ALLOWANCE</v>
      </c>
      <c r="G31">
        <f>VLOOKUP(B31,'Profit Loss-Betul-25-26'!$A$9:$F$141,5,0)</f>
        <v>90527</v>
      </c>
      <c r="H31">
        <f t="shared" si="0"/>
        <v>0</v>
      </c>
    </row>
    <row r="32" spans="1:8" x14ac:dyDescent="0.3">
      <c r="A32">
        <v>855</v>
      </c>
      <c r="B32" t="s">
        <v>73</v>
      </c>
      <c r="C32">
        <v>86698</v>
      </c>
      <c r="F32" t="str">
        <f>VLOOKUP(B32,'Profit Loss-Betul-25-26'!$A$9:$F$141,1,0)</f>
        <v>EDUCATION ALLOWANCE</v>
      </c>
      <c r="G32">
        <f>VLOOKUP(B32,'Profit Loss-Betul-25-26'!$A$9:$F$141,5,0)</f>
        <v>86698</v>
      </c>
      <c r="H32">
        <f t="shared" si="0"/>
        <v>0</v>
      </c>
    </row>
    <row r="33" spans="1:8" x14ac:dyDescent="0.3">
      <c r="A33">
        <v>853</v>
      </c>
      <c r="B33" t="s">
        <v>74</v>
      </c>
      <c r="C33">
        <v>135257</v>
      </c>
      <c r="F33" t="str">
        <f>VLOOKUP(B33,'Profit Loss-Betul-25-26'!$A$9:$F$141,1,0)</f>
        <v>HOUSE RENT ALLOWANCE</v>
      </c>
      <c r="G33">
        <f>VLOOKUP(B33,'Profit Loss-Betul-25-26'!$A$9:$F$141,5,0)</f>
        <v>135257</v>
      </c>
      <c r="H33">
        <f t="shared" si="0"/>
        <v>0</v>
      </c>
    </row>
    <row r="34" spans="1:8" x14ac:dyDescent="0.3">
      <c r="A34">
        <v>10208</v>
      </c>
      <c r="B34" t="s">
        <v>78</v>
      </c>
      <c r="C34">
        <v>31265</v>
      </c>
      <c r="F34" t="str">
        <f>VLOOKUP(B34,'Profit Loss-Betul-25-26'!$A$9:$F$141,1,0)</f>
        <v>NEWSPAPER &amp; PERIODICAL ALLOWANCE</v>
      </c>
      <c r="G34">
        <f>VLOOKUP(B34,'Profit Loss-Betul-25-26'!$A$9:$F$141,5,0)</f>
        <v>31265</v>
      </c>
      <c r="H34">
        <f t="shared" si="0"/>
        <v>0</v>
      </c>
    </row>
    <row r="35" spans="1:8" x14ac:dyDescent="0.3">
      <c r="A35">
        <v>851</v>
      </c>
      <c r="B35" t="s">
        <v>81</v>
      </c>
      <c r="C35">
        <v>1495652</v>
      </c>
      <c r="F35" t="str">
        <f>VLOOKUP(B35,'Profit Loss-Betul-25-26'!$A$9:$F$141,1,0)</f>
        <v>SALARY &amp; WAGES</v>
      </c>
      <c r="G35">
        <f>VLOOKUP(B35,'Profit Loss-Betul-25-26'!$A$9:$F$141,5,0)</f>
        <v>1495652</v>
      </c>
      <c r="H35">
        <f t="shared" si="0"/>
        <v>0</v>
      </c>
    </row>
    <row r="36" spans="1:8" x14ac:dyDescent="0.3">
      <c r="A36">
        <v>1325</v>
      </c>
      <c r="B36" t="s">
        <v>98</v>
      </c>
      <c r="C36">
        <v>5730773</v>
      </c>
      <c r="F36" t="str">
        <f>VLOOKUP(B36,'Profit Loss-Betul-25-26'!$A$9:$F$141,1,0)</f>
        <v>STIPEND</v>
      </c>
      <c r="G36">
        <f>VLOOKUP(B36,'Profit Loss-Betul-25-26'!$A$9:$F$141,5,0)</f>
        <v>5730773</v>
      </c>
      <c r="H36">
        <f t="shared" si="0"/>
        <v>0</v>
      </c>
    </row>
    <row r="37" spans="1:8" x14ac:dyDescent="0.3">
      <c r="A37">
        <v>39011</v>
      </c>
      <c r="B37" t="s">
        <v>83</v>
      </c>
      <c r="C37">
        <v>23313</v>
      </c>
      <c r="F37" t="str">
        <f>VLOOKUP(B37,'Profit Loss-Betul-25-26'!$A$9:$F$141,1,0)</f>
        <v>COMPANY SHARE OF E.S.I.C ACCOUNT</v>
      </c>
      <c r="G37">
        <f>VLOOKUP(B37,'Profit Loss-Betul-25-26'!$A$9:$F$141,5,0)</f>
        <v>35306</v>
      </c>
      <c r="H37">
        <f t="shared" si="0"/>
        <v>-11993</v>
      </c>
    </row>
    <row r="38" spans="1:8" x14ac:dyDescent="0.3">
      <c r="A38">
        <v>38580</v>
      </c>
      <c r="B38" t="s">
        <v>82</v>
      </c>
      <c r="C38">
        <v>81727</v>
      </c>
      <c r="F38" t="str">
        <f>VLOOKUP(B38,'Profit Loss-Betul-25-26'!$A$9:$F$141,1,0)</f>
        <v>COMPANY SHARE OF PF</v>
      </c>
      <c r="G38">
        <f>VLOOKUP(B38,'Profit Loss-Betul-25-26'!$A$9:$F$141,5,0)</f>
        <v>122915</v>
      </c>
      <c r="H38">
        <f t="shared" si="0"/>
        <v>-41188</v>
      </c>
    </row>
    <row r="39" spans="1:8" x14ac:dyDescent="0.3">
      <c r="A39">
        <v>39010</v>
      </c>
      <c r="B39" t="s">
        <v>85</v>
      </c>
      <c r="C39">
        <v>-2757</v>
      </c>
      <c r="F39" t="str">
        <f>VLOOKUP(B39,'Profit Loss-Betul-25-26'!$A$9:$F$141,1,0)</f>
        <v>EMPLOYEE SHARE OF E.S.I.C ACCOUNT</v>
      </c>
      <c r="G39">
        <f>VLOOKUP(B39,'Profit Loss-Betul-25-26'!$A$9:$F$141,5,0)</f>
        <v>0</v>
      </c>
      <c r="H39">
        <f t="shared" si="0"/>
        <v>-2757</v>
      </c>
    </row>
    <row r="40" spans="1:8" x14ac:dyDescent="0.3">
      <c r="A40">
        <v>38579</v>
      </c>
      <c r="B40" t="s">
        <v>86</v>
      </c>
      <c r="C40">
        <v>-41188</v>
      </c>
      <c r="F40" t="str">
        <f>VLOOKUP(B40,'Profit Loss-Betul-25-26'!$A$9:$F$141,1,0)</f>
        <v>EMPLOYEE SHARE OF PF ACCOUNT</v>
      </c>
      <c r="G40">
        <f>VLOOKUP(B40,'Profit Loss-Betul-25-26'!$A$9:$F$141,5,0)</f>
        <v>0</v>
      </c>
      <c r="H40">
        <f t="shared" si="0"/>
        <v>-41188</v>
      </c>
    </row>
    <row r="41" spans="1:8" x14ac:dyDescent="0.3">
      <c r="A41">
        <v>872</v>
      </c>
      <c r="B41" t="s">
        <v>87</v>
      </c>
      <c r="C41">
        <v>-3500</v>
      </c>
      <c r="F41" t="str">
        <f>VLOOKUP(B41,'Profit Loss-Betul-25-26'!$A$9:$F$141,1,0)</f>
        <v>M.L.W.FUND</v>
      </c>
      <c r="G41">
        <f>VLOOKUP(B41,'Profit Loss-Betul-25-26'!$A$9:$F$141,5,0)</f>
        <v>10500</v>
      </c>
      <c r="H41">
        <f t="shared" si="0"/>
        <v>-14000</v>
      </c>
    </row>
    <row r="42" spans="1:8" x14ac:dyDescent="0.3">
      <c r="A42">
        <v>868</v>
      </c>
      <c r="B42" t="s">
        <v>88</v>
      </c>
      <c r="C42">
        <v>6756</v>
      </c>
      <c r="F42" t="str">
        <f>VLOOKUP(B42,'Profit Loss-Betul-25-26'!$A$9:$F$141,1,0)</f>
        <v>P.F. ADMINISTRATION CHARGES</v>
      </c>
      <c r="G42">
        <f>VLOOKUP(B42,'Profit Loss-Betul-25-26'!$A$9:$F$141,5,0)</f>
        <v>10256</v>
      </c>
      <c r="H42">
        <f t="shared" si="0"/>
        <v>-3500</v>
      </c>
    </row>
    <row r="43" spans="1:8" x14ac:dyDescent="0.3">
      <c r="A43">
        <v>858</v>
      </c>
      <c r="B43" t="s">
        <v>89</v>
      </c>
      <c r="C43">
        <v>125970</v>
      </c>
      <c r="F43" t="str">
        <f>VLOOKUP(B43,'Profit Loss-Betul-25-26'!$A$9:$F$141,1,0)</f>
        <v>STAFF/WORKER WELFARE</v>
      </c>
      <c r="G43">
        <f>VLOOKUP(B43,'Profit Loss-Betul-25-26'!$A$9:$F$141,5,0)</f>
        <v>125970</v>
      </c>
      <c r="H43">
        <f t="shared" si="0"/>
        <v>0</v>
      </c>
    </row>
    <row r="44" spans="1:8" x14ac:dyDescent="0.3">
      <c r="A44">
        <v>981</v>
      </c>
      <c r="B44" t="s">
        <v>109</v>
      </c>
      <c r="C44">
        <v>2302.1799999999998</v>
      </c>
      <c r="F44" t="str">
        <f>VLOOKUP(B44,'Profit Loss-Betul-25-26'!$A$9:$F$141,1,0)</f>
        <v>BANK CHARGES</v>
      </c>
      <c r="G44">
        <f>VLOOKUP(B44,'Profit Loss-Betul-25-26'!$A$9:$F$141,5,0)</f>
        <v>2302.1799999999998</v>
      </c>
      <c r="H44">
        <f t="shared" si="0"/>
        <v>0</v>
      </c>
    </row>
    <row r="45" spans="1:8" x14ac:dyDescent="0.3">
      <c r="A45" t="s">
        <v>325</v>
      </c>
      <c r="B45" t="s">
        <v>326</v>
      </c>
      <c r="C45">
        <f>SUM(C11:C44)</f>
        <v>9192290.8699999992</v>
      </c>
      <c r="D45">
        <v>9192290.8699999992</v>
      </c>
      <c r="E45">
        <f>+C45-D45</f>
        <v>0</v>
      </c>
    </row>
    <row r="46" spans="1:8" x14ac:dyDescent="0.3">
      <c r="A46" t="s">
        <v>317</v>
      </c>
      <c r="B46" t="s">
        <v>246</v>
      </c>
      <c r="C46">
        <f>+C10-C45</f>
        <v>-3906111.8699999992</v>
      </c>
      <c r="D46" t="s">
        <v>255</v>
      </c>
      <c r="E46" t="s">
        <v>256</v>
      </c>
    </row>
    <row r="47" spans="1:8" x14ac:dyDescent="0.3">
      <c r="A47" t="s">
        <v>327</v>
      </c>
      <c r="B47" t="s">
        <v>328</v>
      </c>
      <c r="C47">
        <v>87</v>
      </c>
    </row>
    <row r="48" spans="1:8" x14ac:dyDescent="0.3">
      <c r="A48" t="s">
        <v>329</v>
      </c>
      <c r="B48" t="s">
        <v>249</v>
      </c>
      <c r="C48" t="s">
        <v>250</v>
      </c>
      <c r="D48" t="s">
        <v>259</v>
      </c>
      <c r="E48" t="s">
        <v>330</v>
      </c>
    </row>
    <row r="49" spans="1:5" x14ac:dyDescent="0.3">
      <c r="A49" t="s">
        <v>156</v>
      </c>
      <c r="B49" t="s">
        <v>331</v>
      </c>
      <c r="D49" t="s">
        <v>261</v>
      </c>
      <c r="E49" t="s">
        <v>332</v>
      </c>
    </row>
    <row r="50" spans="1:5" x14ac:dyDescent="0.3">
      <c r="A50" t="s">
        <v>157</v>
      </c>
    </row>
  </sheetData>
  <autoFilter ref="B7:C50" xr:uid="{77783218-1188-4328-B5AB-B4ED5343D5D6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C45-40EE-49A9-A936-ABAC92B77E20}">
  <dimension ref="A1:H109"/>
  <sheetViews>
    <sheetView topLeftCell="A27" workbookViewId="0">
      <selection activeCell="B48" sqref="B48"/>
    </sheetView>
  </sheetViews>
  <sheetFormatPr defaultRowHeight="14.4" x14ac:dyDescent="0.3"/>
  <cols>
    <col min="2" max="2" width="39.33203125" customWidth="1"/>
    <col min="3" max="3" width="13.109375" customWidth="1"/>
    <col min="4" max="4" width="13.88671875" customWidth="1"/>
    <col min="6" max="8" width="23" customWidth="1"/>
  </cols>
  <sheetData>
    <row r="1" spans="1:8" x14ac:dyDescent="0.3">
      <c r="A1" t="s">
        <v>141</v>
      </c>
      <c r="B1" t="s">
        <v>239</v>
      </c>
      <c r="D1" t="s">
        <v>143</v>
      </c>
    </row>
    <row r="2" spans="1:8" x14ac:dyDescent="0.3">
      <c r="A2" t="s">
        <v>141</v>
      </c>
      <c r="B2" t="s">
        <v>240</v>
      </c>
      <c r="D2" t="s">
        <v>143</v>
      </c>
    </row>
    <row r="3" spans="1:8" x14ac:dyDescent="0.3">
      <c r="A3" t="s">
        <v>141</v>
      </c>
      <c r="B3" t="s">
        <v>244</v>
      </c>
      <c r="C3" t="s">
        <v>271</v>
      </c>
      <c r="D3" t="s">
        <v>143</v>
      </c>
    </row>
    <row r="4" spans="1:8" x14ac:dyDescent="0.3">
      <c r="A4" t="s">
        <v>272</v>
      </c>
      <c r="B4" t="s">
        <v>273</v>
      </c>
      <c r="C4" t="s">
        <v>241</v>
      </c>
      <c r="D4" t="s">
        <v>145</v>
      </c>
    </row>
    <row r="5" spans="1:8" x14ac:dyDescent="0.3">
      <c r="A5" t="s">
        <v>274</v>
      </c>
      <c r="B5" t="s">
        <v>275</v>
      </c>
      <c r="C5" t="s">
        <v>147</v>
      </c>
      <c r="D5" t="s">
        <v>148</v>
      </c>
    </row>
    <row r="6" spans="1:8" x14ac:dyDescent="0.3">
      <c r="A6" t="s">
        <v>149</v>
      </c>
      <c r="B6" t="s">
        <v>150</v>
      </c>
      <c r="C6" t="s">
        <v>151</v>
      </c>
      <c r="D6" t="s">
        <v>152</v>
      </c>
    </row>
    <row r="7" spans="1:8" x14ac:dyDescent="0.3">
      <c r="A7" t="s">
        <v>272</v>
      </c>
      <c r="B7" t="s">
        <v>273</v>
      </c>
      <c r="C7" t="s">
        <v>241</v>
      </c>
      <c r="D7" t="s">
        <v>145</v>
      </c>
    </row>
    <row r="8" spans="1:8" x14ac:dyDescent="0.3">
      <c r="A8" t="s">
        <v>3</v>
      </c>
    </row>
    <row r="9" spans="1:8" x14ac:dyDescent="0.3">
      <c r="A9" t="s">
        <v>4</v>
      </c>
    </row>
    <row r="10" spans="1:8" x14ac:dyDescent="0.3">
      <c r="A10">
        <v>21686</v>
      </c>
      <c r="B10" t="s">
        <v>176</v>
      </c>
      <c r="C10">
        <v>17488529</v>
      </c>
      <c r="F10" t="str">
        <f>VLOOKUP(B10,'Profit Loss-Amravati-25-26'!$A$9:$D$190,1,0)</f>
        <v>SALE EXPORT (GARMENT))</v>
      </c>
      <c r="G10">
        <f>VLOOKUP(B10,'Profit Loss-Amravati-25-26'!$A$9:$D$190,3,0)</f>
        <v>17488529</v>
      </c>
      <c r="H10">
        <f>+C10-G10</f>
        <v>0</v>
      </c>
    </row>
    <row r="11" spans="1:8" x14ac:dyDescent="0.3">
      <c r="A11">
        <v>701</v>
      </c>
      <c r="B11" t="s">
        <v>178</v>
      </c>
      <c r="C11">
        <v>162790</v>
      </c>
      <c r="F11" t="str">
        <f>VLOOKUP(B11,'Profit Loss-Amravati-25-26'!$A$9:$D$190,1,0)</f>
        <v>SALE LOCAL</v>
      </c>
      <c r="G11">
        <f>VLOOKUP(B11,'Profit Loss-Amravati-25-26'!$A$9:$D$190,3,0)</f>
        <v>162790</v>
      </c>
      <c r="H11">
        <f t="shared" ref="H11:H74" si="0">+C11-G11</f>
        <v>0</v>
      </c>
    </row>
    <row r="12" spans="1:8" x14ac:dyDescent="0.3">
      <c r="A12">
        <v>16905</v>
      </c>
      <c r="B12" t="s">
        <v>177</v>
      </c>
      <c r="C12">
        <v>93273802</v>
      </c>
      <c r="F12" t="str">
        <f>VLOOKUP(B12,'Profit Loss-Amravati-25-26'!$A$9:$D$190,1,0)</f>
        <v>SALE LOCAL (GARMENT)</v>
      </c>
      <c r="G12">
        <f>VLOOKUP(B12,'Profit Loss-Amravati-25-26'!$A$9:$D$190,3,0)</f>
        <v>93255699</v>
      </c>
      <c r="H12">
        <f t="shared" si="0"/>
        <v>18103</v>
      </c>
    </row>
    <row r="13" spans="1:8" x14ac:dyDescent="0.3">
      <c r="A13">
        <v>26282</v>
      </c>
      <c r="B13" t="s">
        <v>247</v>
      </c>
      <c r="C13">
        <v>21860</v>
      </c>
      <c r="F13" t="str">
        <f>VLOOKUP(B13,'Profit Loss-Amravati-25-26'!$A$9:$D$190,1,0)</f>
        <v>SALE LOCAL - MISCELLANEOUS ITEMS</v>
      </c>
      <c r="G13">
        <f>VLOOKUP(B13,'Profit Loss-Amravati-25-26'!$A$9:$D$190,3,0)</f>
        <v>21860</v>
      </c>
      <c r="H13">
        <f t="shared" si="0"/>
        <v>0</v>
      </c>
    </row>
    <row r="14" spans="1:8" x14ac:dyDescent="0.3">
      <c r="A14">
        <v>35115</v>
      </c>
      <c r="B14" t="s">
        <v>179</v>
      </c>
      <c r="C14">
        <v>1704310</v>
      </c>
      <c r="F14" t="str">
        <f>VLOOKUP(B14,'Profit Loss-Amravati-25-26'!$A$9:$D$190,1,0)</f>
        <v>SALE TRADING - LOCAL - FABRIC</v>
      </c>
      <c r="G14">
        <f>VLOOKUP(B14,'Profit Loss-Amravati-25-26'!$A$9:$D$190,3,0)</f>
        <v>1704310</v>
      </c>
      <c r="H14">
        <f t="shared" si="0"/>
        <v>0</v>
      </c>
    </row>
    <row r="15" spans="1:8" x14ac:dyDescent="0.3">
      <c r="A15">
        <v>1015</v>
      </c>
      <c r="B15" t="s">
        <v>120</v>
      </c>
      <c r="C15">
        <v>-81694.2</v>
      </c>
      <c r="F15" t="str">
        <f>VLOOKUP(B15,'Profit Loss-Amravati-25-26'!$A$9:$D$190,1,0)</f>
        <v>DIFF.IN FOREIGN CURR.</v>
      </c>
      <c r="G15">
        <f>VLOOKUP(B15,'Profit Loss-Amravati-25-26'!$A$9:$D$190,3,0)</f>
        <v>-81694.2</v>
      </c>
      <c r="H15">
        <f t="shared" si="0"/>
        <v>0</v>
      </c>
    </row>
    <row r="16" spans="1:8" x14ac:dyDescent="0.3">
      <c r="A16">
        <v>1002</v>
      </c>
      <c r="B16" t="s">
        <v>28</v>
      </c>
      <c r="C16">
        <v>316074</v>
      </c>
      <c r="F16" t="str">
        <f>VLOOKUP(B16,'Profit Loss-Amravati-25-26'!$A$9:$D$190,1,0)</f>
        <v>DEPB LICENCE SALE</v>
      </c>
      <c r="G16">
        <f>VLOOKUP(B16,'Profit Loss-Amravati-25-26'!$A$9:$D$190,3,0)</f>
        <v>316074</v>
      </c>
      <c r="H16">
        <f t="shared" si="0"/>
        <v>0</v>
      </c>
    </row>
    <row r="17" spans="1:8" x14ac:dyDescent="0.3">
      <c r="A17">
        <v>1227</v>
      </c>
      <c r="B17" t="s">
        <v>182</v>
      </c>
      <c r="C17">
        <v>864560</v>
      </c>
      <c r="F17" t="str">
        <f>VLOOKUP(B17,'Profit Loss-Amravati-25-26'!$A$9:$D$190,1,0)</f>
        <v>SALE FABRIC WASTE</v>
      </c>
      <c r="G17">
        <f>VLOOKUP(B17,'Profit Loss-Amravati-25-26'!$A$9:$D$190,3,0)</f>
        <v>864560</v>
      </c>
      <c r="H17">
        <f t="shared" si="0"/>
        <v>0</v>
      </c>
    </row>
    <row r="18" spans="1:8" x14ac:dyDescent="0.3">
      <c r="A18">
        <v>703</v>
      </c>
      <c r="B18" t="s">
        <v>181</v>
      </c>
      <c r="C18">
        <v>75856</v>
      </c>
      <c r="F18" t="str">
        <f>VLOOKUP(B18,'Profit Loss-Amravati-25-26'!$A$9:$D$190,1,0)</f>
        <v>SALE SCRAP</v>
      </c>
      <c r="G18">
        <f>VLOOKUP(B18,'Profit Loss-Amravati-25-26'!$A$9:$D$190,3,0)</f>
        <v>75856</v>
      </c>
      <c r="H18">
        <f t="shared" si="0"/>
        <v>0</v>
      </c>
    </row>
    <row r="19" spans="1:8" x14ac:dyDescent="0.3">
      <c r="A19">
        <v>1022</v>
      </c>
      <c r="B19" s="69" t="s">
        <v>276</v>
      </c>
      <c r="C19" s="69">
        <v>1</v>
      </c>
      <c r="F19" t="e">
        <f>VLOOKUP(B19,'Profit Loss-Amravati-25-26'!$A$9:$D$190,1,0)</f>
        <v>#N/A</v>
      </c>
      <c r="G19" t="e">
        <f>VLOOKUP(B19,'Profit Loss-Amravati-25-26'!$A$9:$D$190,3,0)</f>
        <v>#N/A</v>
      </c>
      <c r="H19" t="e">
        <f t="shared" si="0"/>
        <v>#N/A</v>
      </c>
    </row>
    <row r="20" spans="1:8" x14ac:dyDescent="0.3">
      <c r="A20">
        <v>1016</v>
      </c>
      <c r="B20" t="s">
        <v>124</v>
      </c>
      <c r="C20">
        <v>1280</v>
      </c>
      <c r="F20" t="str">
        <f>VLOOKUP(B20,'Profit Loss-Amravati-25-26'!$A$9:$D$190,1,0)</f>
        <v>SUNDRY CREDITORS WRITTEN BACK</v>
      </c>
      <c r="G20">
        <f>VLOOKUP(B20,'Profit Loss-Amravati-25-26'!$A$9:$D$190,3,0)</f>
        <v>1280</v>
      </c>
      <c r="H20">
        <f t="shared" si="0"/>
        <v>0</v>
      </c>
    </row>
    <row r="21" spans="1:8" x14ac:dyDescent="0.3">
      <c r="A21" t="s">
        <v>277</v>
      </c>
      <c r="B21" t="s">
        <v>3</v>
      </c>
      <c r="C21">
        <f>SUM(C10:C20)</f>
        <v>113827367.8</v>
      </c>
      <c r="D21">
        <v>113827367.8</v>
      </c>
      <c r="E21">
        <f>+C21-D21</f>
        <v>0</v>
      </c>
      <c r="F21" t="e">
        <f>VLOOKUP(B21,'Profit Loss-Amravati-25-26'!$A$9:$D$190,1,0)</f>
        <v>#N/A</v>
      </c>
      <c r="G21" t="e">
        <f>VLOOKUP(B21,'Profit Loss-Amravati-25-26'!$A$9:$D$190,3,0)</f>
        <v>#N/A</v>
      </c>
      <c r="H21" t="e">
        <f t="shared" si="0"/>
        <v>#N/A</v>
      </c>
    </row>
    <row r="22" spans="1:8" x14ac:dyDescent="0.3">
      <c r="A22">
        <v>18670</v>
      </c>
      <c r="B22" t="s">
        <v>195</v>
      </c>
      <c r="C22">
        <v>2501098</v>
      </c>
      <c r="F22" t="str">
        <f>VLOOKUP(B22,'Profit Loss-Amravati-25-26'!$A$9:$D$190,1,0)</f>
        <v>PURCHASE (JOB WORK) - INTER UNIT</v>
      </c>
      <c r="G22">
        <f>VLOOKUP(B22,'Profit Loss-Amravati-25-26'!$A$9:$D$190,3,0)</f>
        <v>2501098</v>
      </c>
      <c r="H22">
        <f t="shared" si="0"/>
        <v>0</v>
      </c>
    </row>
    <row r="23" spans="1:8" x14ac:dyDescent="0.3">
      <c r="A23">
        <v>772</v>
      </c>
      <c r="B23" t="s">
        <v>198</v>
      </c>
      <c r="C23">
        <v>34440</v>
      </c>
      <c r="F23" t="str">
        <f>VLOOKUP(B23,'Profit Loss-Amravati-25-26'!$A$9:$D$190,1,0)</f>
        <v>CLEARING CHARGES ON IMPORT</v>
      </c>
      <c r="G23">
        <f>VLOOKUP(B23,'Profit Loss-Amravati-25-26'!$A$9:$D$190,3,0)</f>
        <v>34440</v>
      </c>
      <c r="H23">
        <f t="shared" si="0"/>
        <v>0</v>
      </c>
    </row>
    <row r="24" spans="1:8" x14ac:dyDescent="0.3">
      <c r="A24">
        <v>820</v>
      </c>
      <c r="B24" t="s">
        <v>69</v>
      </c>
      <c r="C24">
        <v>11610</v>
      </c>
      <c r="F24" t="str">
        <f>VLOOKUP(B24,'Profit Loss-Amravati-25-26'!$A$9:$D$190,1,0)</f>
        <v>COOLIE &amp; CARTAGE ON PURCHASE</v>
      </c>
      <c r="G24">
        <f>VLOOKUP(B24,'Profit Loss-Amravati-25-26'!$A$9:$D$190,3,0)</f>
        <v>11610</v>
      </c>
      <c r="H24">
        <f t="shared" si="0"/>
        <v>0</v>
      </c>
    </row>
    <row r="25" spans="1:8" x14ac:dyDescent="0.3">
      <c r="A25">
        <v>917</v>
      </c>
      <c r="B25" t="s">
        <v>44</v>
      </c>
      <c r="C25">
        <v>6454</v>
      </c>
      <c r="F25" t="str">
        <f>VLOOKUP(B25,'Profit Loss-Amravati-25-26'!$A$9:$D$190,1,0)</f>
        <v>CUSTOM DUTY ON IMPORT</v>
      </c>
      <c r="G25">
        <f>VLOOKUP(B25,'Profit Loss-Amravati-25-26'!$A$9:$D$190,3,0)</f>
        <v>6454</v>
      </c>
      <c r="H25">
        <f t="shared" si="0"/>
        <v>0</v>
      </c>
    </row>
    <row r="26" spans="1:8" x14ac:dyDescent="0.3">
      <c r="A26">
        <v>36603</v>
      </c>
      <c r="B26" t="s">
        <v>187</v>
      </c>
      <c r="C26">
        <v>155769</v>
      </c>
      <c r="F26" t="str">
        <f>VLOOKUP(B26,'Profit Loss-Amravati-25-26'!$A$9:$D$190,1,0)</f>
        <v>DELIVERY CHARGES - PURCHASE- FABRIC</v>
      </c>
      <c r="G26">
        <f>VLOOKUP(B26,'Profit Loss-Amravati-25-26'!$A$9:$D$190,3,0)</f>
        <v>422014</v>
      </c>
      <c r="H26">
        <f t="shared" si="0"/>
        <v>-266245</v>
      </c>
    </row>
    <row r="27" spans="1:8" x14ac:dyDescent="0.3">
      <c r="A27">
        <v>36604</v>
      </c>
      <c r="B27" t="s">
        <v>188</v>
      </c>
      <c r="C27">
        <v>258906.48</v>
      </c>
      <c r="F27" t="str">
        <f>VLOOKUP(B27,'Profit Loss-Amravati-25-26'!$A$9:$D$190,1,0)</f>
        <v>DELIVERY CHARGES - PURCHASE-GARMENT</v>
      </c>
      <c r="G27">
        <f>VLOOKUP(B27,'Profit Loss-Amravati-25-26'!$A$9:$D$190,3,0)</f>
        <v>258906.48</v>
      </c>
      <c r="H27">
        <f t="shared" si="0"/>
        <v>0</v>
      </c>
    </row>
    <row r="28" spans="1:8" x14ac:dyDescent="0.3">
      <c r="A28">
        <v>20335</v>
      </c>
      <c r="B28" t="s">
        <v>39</v>
      </c>
      <c r="C28">
        <v>130704</v>
      </c>
      <c r="F28" t="str">
        <f>VLOOKUP(B28,'Profit Loss-Amravati-25-26'!$A$9:$D$190,1,0)</f>
        <v>DELIVERY CHARGES ON PURCHASES</v>
      </c>
      <c r="G28">
        <f>VLOOKUP(B28,'Profit Loss-Amravati-25-26'!$A$9:$D$190,3,0)</f>
        <v>130704</v>
      </c>
      <c r="H28">
        <f t="shared" si="0"/>
        <v>0</v>
      </c>
    </row>
    <row r="29" spans="1:8" x14ac:dyDescent="0.3">
      <c r="A29">
        <v>1400</v>
      </c>
      <c r="B29" t="s">
        <v>186</v>
      </c>
      <c r="C29">
        <v>44829480.850000001</v>
      </c>
      <c r="F29" t="str">
        <f>VLOOKUP(B29,'Profit Loss-Amravati-25-26'!$A$9:$D$190,1,0)</f>
        <v>PURCHASE FABRICS &amp; HOSIERY LOCAL</v>
      </c>
      <c r="G29">
        <f>VLOOKUP(B29,'Profit Loss-Amravati-25-26'!$A$9:$D$190,3,0)</f>
        <v>56514482.850000001</v>
      </c>
      <c r="H29">
        <f t="shared" si="0"/>
        <v>-11685002</v>
      </c>
    </row>
    <row r="30" spans="1:8" x14ac:dyDescent="0.3">
      <c r="A30">
        <v>35921</v>
      </c>
      <c r="B30" t="s">
        <v>278</v>
      </c>
      <c r="C30">
        <v>8460079</v>
      </c>
      <c r="F30" t="str">
        <f>VLOOKUP(B30,'Profit Loss-Amravati-25-26'!$A$9:$D$190,1,0)</f>
        <v>PURCHASE FOR TRADING - GARMENT</v>
      </c>
      <c r="G30">
        <f>VLOOKUP(B30,'Profit Loss-Amravati-25-26'!$A$9:$D$190,3,0)</f>
        <v>8460079</v>
      </c>
      <c r="H30">
        <f t="shared" si="0"/>
        <v>0</v>
      </c>
    </row>
    <row r="31" spans="1:8" x14ac:dyDescent="0.3">
      <c r="A31">
        <v>36583</v>
      </c>
      <c r="B31" t="s">
        <v>200</v>
      </c>
      <c r="C31">
        <v>373364.47999999998</v>
      </c>
      <c r="F31" t="str">
        <f>VLOOKUP(B31,'Profit Loss-Amravati-25-26'!$A$9:$D$190,1,0)</f>
        <v>ELECTRICAL ITEM - GARMENT</v>
      </c>
      <c r="G31">
        <f>VLOOKUP(B31,'Profit Loss-Amravati-25-26'!$A$9:$D$190,3,0)</f>
        <v>373364.47999999998</v>
      </c>
      <c r="H31">
        <f t="shared" si="0"/>
        <v>0</v>
      </c>
    </row>
    <row r="32" spans="1:8" x14ac:dyDescent="0.3">
      <c r="A32">
        <v>818</v>
      </c>
      <c r="B32" t="s">
        <v>47</v>
      </c>
      <c r="C32">
        <v>5020.3999999999996</v>
      </c>
      <c r="F32" t="str">
        <f>VLOOKUP(B32,'Profit Loss-Amravati-25-26'!$A$9:$D$190,1,0)</f>
        <v>ELECTRICAL ITEMS</v>
      </c>
      <c r="G32">
        <f>VLOOKUP(B32,'Profit Loss-Amravati-25-26'!$A$9:$D$190,3,0)</f>
        <v>5020.3999999999996</v>
      </c>
      <c r="H32">
        <f t="shared" si="0"/>
        <v>0</v>
      </c>
    </row>
    <row r="33" spans="1:8" x14ac:dyDescent="0.3">
      <c r="A33">
        <v>1612</v>
      </c>
      <c r="B33" t="s">
        <v>189</v>
      </c>
      <c r="C33">
        <v>9408223.5399999991</v>
      </c>
      <c r="F33" t="str">
        <f>VLOOKUP(B33,'Profit Loss-Amravati-25-26'!$A$9:$D$190,1,0)</f>
        <v>PUR. THREAD &amp; TRIM ITEMS</v>
      </c>
      <c r="G33">
        <f>VLOOKUP(B33,'Profit Loss-Amravati-25-26'!$A$9:$D$190,3,0)</f>
        <v>10960900.539999999</v>
      </c>
      <c r="H33">
        <f t="shared" si="0"/>
        <v>-1552677</v>
      </c>
    </row>
    <row r="34" spans="1:8" x14ac:dyDescent="0.3">
      <c r="A34">
        <v>17864</v>
      </c>
      <c r="B34" t="s">
        <v>190</v>
      </c>
      <c r="C34">
        <v>211799.78</v>
      </c>
      <c r="F34" t="str">
        <f>VLOOKUP(B34,'Profit Loss-Amravati-25-26'!$A$9:$D$190,1,0)</f>
        <v>PUR. THREAD &amp; TRIM ITEMS- IMPORT</v>
      </c>
      <c r="G34">
        <f>VLOOKUP(B34,'Profit Loss-Amravati-25-26'!$A$9:$D$190,3,0)</f>
        <v>211799.78</v>
      </c>
      <c r="H34">
        <f t="shared" si="0"/>
        <v>0</v>
      </c>
    </row>
    <row r="35" spans="1:8" x14ac:dyDescent="0.3">
      <c r="A35">
        <v>815</v>
      </c>
      <c r="B35" t="s">
        <v>40</v>
      </c>
      <c r="C35">
        <v>44156</v>
      </c>
      <c r="F35" t="str">
        <f>VLOOKUP(B35,'Profit Loss-Amravati-25-26'!$A$9:$D$190,1,0)</f>
        <v>PURCHASE STORES &amp; SPARES</v>
      </c>
      <c r="G35">
        <f>VLOOKUP(B35,'Profit Loss-Amravati-25-26'!$A$9:$D$190,3,0)</f>
        <v>44156</v>
      </c>
      <c r="H35">
        <f t="shared" si="0"/>
        <v>0</v>
      </c>
    </row>
    <row r="36" spans="1:8" x14ac:dyDescent="0.3">
      <c r="A36">
        <v>25339</v>
      </c>
      <c r="B36" t="s">
        <v>192</v>
      </c>
      <c r="C36">
        <v>1138274</v>
      </c>
      <c r="F36" t="str">
        <f>VLOOKUP(B36,'Profit Loss-Amravati-25-26'!$A$9:$D$190,1,0)</f>
        <v>PURCHASE STORES &amp; SPARES (GARMENT)</v>
      </c>
      <c r="G36">
        <f>VLOOKUP(B36,'Profit Loss-Amravati-25-26'!$A$9:$D$190,3,0)</f>
        <v>1376215</v>
      </c>
      <c r="H36">
        <f t="shared" si="0"/>
        <v>-237941</v>
      </c>
    </row>
    <row r="37" spans="1:8" x14ac:dyDescent="0.3">
      <c r="A37">
        <v>25337</v>
      </c>
      <c r="B37" t="s">
        <v>42</v>
      </c>
      <c r="C37">
        <v>9173153.6199999992</v>
      </c>
      <c r="F37" t="str">
        <f>VLOOKUP(B37,'Profit Loss-Amravati-25-26'!$A$9:$D$190,1,0)</f>
        <v>PURCHASE PACKING MATERIAL (GARMENT)</v>
      </c>
      <c r="G37">
        <f>VLOOKUP(B37,'Profit Loss-Amravati-25-26'!$A$9:$D$190,3,0)</f>
        <v>9323779.6199999992</v>
      </c>
      <c r="H37">
        <f t="shared" si="0"/>
        <v>-150626</v>
      </c>
    </row>
    <row r="38" spans="1:8" x14ac:dyDescent="0.3">
      <c r="A38">
        <v>30653</v>
      </c>
      <c r="B38" t="s">
        <v>191</v>
      </c>
      <c r="C38">
        <v>149392.18</v>
      </c>
      <c r="F38" t="str">
        <f>VLOOKUP(B38,'Profit Loss-Amravati-25-26'!$A$9:$D$190,1,0)</f>
        <v>PURCHASE PACKING MATERIAL-(IMPORT)</v>
      </c>
      <c r="G38">
        <f>VLOOKUP(B38,'Profit Loss-Amravati-25-26'!$A$9:$D$190,3,0)</f>
        <v>149392.18</v>
      </c>
      <c r="H38">
        <f t="shared" si="0"/>
        <v>0</v>
      </c>
    </row>
    <row r="39" spans="1:8" x14ac:dyDescent="0.3">
      <c r="A39">
        <v>937</v>
      </c>
      <c r="B39" t="s">
        <v>58</v>
      </c>
      <c r="C39">
        <v>4930</v>
      </c>
      <c r="F39" t="str">
        <f>VLOOKUP(B39,'Profit Loss-Amravati-25-26'!$A$9:$D$190,1,0)</f>
        <v>ELECTRICITY CHARGES</v>
      </c>
      <c r="G39">
        <f>VLOOKUP(B39,'Profit Loss-Amravati-25-26'!$A$9:$D$190,3,0)</f>
        <v>4930</v>
      </c>
      <c r="H39">
        <f t="shared" si="0"/>
        <v>0</v>
      </c>
    </row>
    <row r="40" spans="1:8" x14ac:dyDescent="0.3">
      <c r="A40">
        <v>809</v>
      </c>
      <c r="B40" t="s">
        <v>46</v>
      </c>
      <c r="C40">
        <v>-1670</v>
      </c>
      <c r="F40" t="str">
        <f>VLOOKUP(B40,'Profit Loss-Amravati-25-26'!$A$9:$D$190,1,0)</f>
        <v>POWER</v>
      </c>
      <c r="G40">
        <f>VLOOKUP(B40,'Profit Loss-Amravati-25-26'!$A$9:$D$190,3,0)</f>
        <v>-1670</v>
      </c>
      <c r="H40">
        <f t="shared" si="0"/>
        <v>0</v>
      </c>
    </row>
    <row r="41" spans="1:8" x14ac:dyDescent="0.3">
      <c r="A41">
        <v>849</v>
      </c>
      <c r="B41" t="s">
        <v>201</v>
      </c>
      <c r="C41">
        <v>177400.46</v>
      </c>
      <c r="F41" t="str">
        <f>VLOOKUP(B41,'Profit Loss-Amravati-25-26'!$A$9:$D$190,1,0)</f>
        <v>LABOUR CHARGES</v>
      </c>
      <c r="G41">
        <f>VLOOKUP(B41,'Profit Loss-Amravati-25-26'!$A$9:$D$190,3,0)</f>
        <v>177400.46</v>
      </c>
      <c r="H41">
        <f t="shared" si="0"/>
        <v>0</v>
      </c>
    </row>
    <row r="42" spans="1:8" x14ac:dyDescent="0.3">
      <c r="A42">
        <v>28769</v>
      </c>
      <c r="B42" t="s">
        <v>60</v>
      </c>
      <c r="C42">
        <v>5775</v>
      </c>
      <c r="F42" t="str">
        <f>VLOOKUP(B42,'Profit Loss-Amravati-25-26'!$A$9:$D$190,1,0)</f>
        <v>CRANE HIRE CHARGES</v>
      </c>
      <c r="G42">
        <f>VLOOKUP(B42,'Profit Loss-Amravati-25-26'!$A$9:$D$190,3,0)</f>
        <v>5775</v>
      </c>
      <c r="H42">
        <f t="shared" si="0"/>
        <v>0</v>
      </c>
    </row>
    <row r="43" spans="1:8" x14ac:dyDescent="0.3">
      <c r="A43">
        <v>970</v>
      </c>
      <c r="B43" t="s">
        <v>55</v>
      </c>
      <c r="C43">
        <v>448759.9</v>
      </c>
      <c r="F43" t="str">
        <f>VLOOKUP(B43,'Profit Loss-Amravati-25-26'!$A$9:$D$190,1,0)</f>
        <v>INSPECTION/TESTING</v>
      </c>
      <c r="G43">
        <f>VLOOKUP(B43,'Profit Loss-Amravati-25-26'!$A$9:$D$190,3,0)</f>
        <v>448759.9</v>
      </c>
      <c r="H43">
        <f t="shared" si="0"/>
        <v>0</v>
      </c>
    </row>
    <row r="44" spans="1:8" x14ac:dyDescent="0.3">
      <c r="A44">
        <v>801</v>
      </c>
      <c r="B44" t="s">
        <v>199</v>
      </c>
      <c r="C44">
        <v>1887401.8</v>
      </c>
      <c r="F44" t="str">
        <f>VLOOKUP(B44,'Profit Loss-Amravati-25-26'!$A$9:$D$190,1,0)</f>
        <v>JOB WORK</v>
      </c>
      <c r="G44">
        <f>VLOOKUP(B44,'Profit Loss-Amravati-25-26'!$A$9:$D$190,3,0)</f>
        <v>2841923.8</v>
      </c>
      <c r="H44">
        <f t="shared" si="0"/>
        <v>-954521.99999999977</v>
      </c>
    </row>
    <row r="45" spans="1:8" x14ac:dyDescent="0.3">
      <c r="A45">
        <v>902</v>
      </c>
      <c r="B45" t="s">
        <v>45</v>
      </c>
      <c r="C45">
        <v>1198</v>
      </c>
      <c r="F45" t="str">
        <f>VLOOKUP(B45,'Profit Loss-Amravati-25-26'!$A$9:$D$190,1,0)</f>
        <v>WATER CHARGES</v>
      </c>
      <c r="G45">
        <f>VLOOKUP(B45,'Profit Loss-Amravati-25-26'!$A$9:$D$190,3,0)</f>
        <v>1198</v>
      </c>
      <c r="H45">
        <f t="shared" si="0"/>
        <v>0</v>
      </c>
    </row>
    <row r="46" spans="1:8" x14ac:dyDescent="0.3">
      <c r="A46">
        <v>909</v>
      </c>
      <c r="B46" t="s">
        <v>16</v>
      </c>
      <c r="C46">
        <v>5184</v>
      </c>
      <c r="F46" t="str">
        <f>VLOOKUP(B46,'Profit Loss-Amravati-25-26'!$A$9:$D$190,1,0)</f>
        <v>CLEARING CHARGES ON EXPORT</v>
      </c>
      <c r="G46">
        <f>VLOOKUP(B46,'Profit Loss-Amravati-25-26'!$A$9:$D$190,3,0)</f>
        <v>0</v>
      </c>
      <c r="H46">
        <f t="shared" si="0"/>
        <v>5184</v>
      </c>
    </row>
    <row r="47" spans="1:8" x14ac:dyDescent="0.3">
      <c r="A47">
        <v>918</v>
      </c>
      <c r="B47" t="s">
        <v>13</v>
      </c>
      <c r="C47">
        <v>10000</v>
      </c>
      <c r="F47" t="str">
        <f>VLOOKUP(B47,'Profit Loss-Amravati-25-26'!$A$9:$D$190,1,0)</f>
        <v>DOCUMENTATION CHARGES</v>
      </c>
      <c r="G47">
        <f>VLOOKUP(B47,'Profit Loss-Amravati-25-26'!$A$9:$D$190,3,0)</f>
        <v>0</v>
      </c>
      <c r="H47">
        <f t="shared" si="0"/>
        <v>10000</v>
      </c>
    </row>
    <row r="48" spans="1:8" x14ac:dyDescent="0.3">
      <c r="A48">
        <v>907</v>
      </c>
      <c r="B48" t="s">
        <v>14</v>
      </c>
      <c r="C48">
        <v>-2955944</v>
      </c>
      <c r="F48" t="str">
        <f>VLOOKUP(B48,'Profit Loss-Amravati-25-26'!$A$9:$D$190,1,0)</f>
        <v>FREIGHT ON EXPORT</v>
      </c>
      <c r="G48">
        <f>VLOOKUP(B48,'Profit Loss-Amravati-25-26'!$A$9:$D$190,3,0)</f>
        <v>0</v>
      </c>
      <c r="H48">
        <f t="shared" si="0"/>
        <v>-2955944</v>
      </c>
    </row>
    <row r="49" spans="1:8" x14ac:dyDescent="0.3">
      <c r="A49">
        <v>27281</v>
      </c>
      <c r="B49" t="s">
        <v>180</v>
      </c>
      <c r="C49">
        <v>146565.22</v>
      </c>
      <c r="F49" t="str">
        <f>VLOOKUP(B49,'Profit Loss-Amravati-25-26'!$A$9:$D$190,1,0)</f>
        <v>FREIGHT ON EXPORT - (AIR)</v>
      </c>
      <c r="G49">
        <f>VLOOKUP(B49,'Profit Loss-Amravati-25-26'!$A$9:$D$190,3,0)</f>
        <v>0</v>
      </c>
      <c r="H49">
        <f t="shared" si="0"/>
        <v>146565.22</v>
      </c>
    </row>
    <row r="50" spans="1:8" x14ac:dyDescent="0.3">
      <c r="A50">
        <v>908</v>
      </c>
      <c r="B50" t="s">
        <v>15</v>
      </c>
      <c r="C50">
        <v>45961</v>
      </c>
      <c r="F50" t="str">
        <f>VLOOKUP(B50,'Profit Loss-Amravati-25-26'!$A$9:$D$190,1,0)</f>
        <v>TERMINAL HANDLING CHARGES</v>
      </c>
      <c r="G50">
        <f>VLOOKUP(B50,'Profit Loss-Amravati-25-26'!$A$9:$D$190,3,0)</f>
        <v>0</v>
      </c>
      <c r="H50">
        <f t="shared" si="0"/>
        <v>45961</v>
      </c>
    </row>
    <row r="51" spans="1:8" x14ac:dyDescent="0.3">
      <c r="A51">
        <v>36614</v>
      </c>
      <c r="B51" t="s">
        <v>11</v>
      </c>
      <c r="C51">
        <v>382533.84</v>
      </c>
      <c r="F51" t="str">
        <f>VLOOKUP(B51,'Profit Loss-Amravati-25-26'!$A$9:$D$190,1,0)</f>
        <v>DELIVERY CHARGES  ON SALE -GARMENT</v>
      </c>
      <c r="G51">
        <f>VLOOKUP(B51,'Profit Loss-Amravati-25-26'!$A$9:$D$190,3,0)</f>
        <v>382533.84</v>
      </c>
      <c r="H51">
        <f t="shared" si="0"/>
        <v>0</v>
      </c>
    </row>
    <row r="52" spans="1:8" x14ac:dyDescent="0.3">
      <c r="A52">
        <v>20336</v>
      </c>
      <c r="B52" t="s">
        <v>12</v>
      </c>
      <c r="C52">
        <v>224810.23999999999</v>
      </c>
      <c r="F52" t="str">
        <f>VLOOKUP(B52,'Profit Loss-Amravati-25-26'!$A$9:$D$190,1,0)</f>
        <v>DELIVERY CHARGES ON SALES</v>
      </c>
      <c r="G52">
        <f>VLOOKUP(B52,'Profit Loss-Amravati-25-26'!$A$9:$D$190,3,0)</f>
        <v>304524.24</v>
      </c>
      <c r="H52">
        <f t="shared" si="0"/>
        <v>-79714</v>
      </c>
    </row>
    <row r="53" spans="1:8" x14ac:dyDescent="0.3">
      <c r="A53">
        <v>817</v>
      </c>
      <c r="B53" t="s">
        <v>21</v>
      </c>
      <c r="C53">
        <v>370</v>
      </c>
      <c r="F53" t="str">
        <f>VLOOKUP(B53,'Profit Loss-Amravati-25-26'!$A$9:$D$190,1,0)</f>
        <v>PACKING EXPENSES</v>
      </c>
      <c r="G53">
        <f>VLOOKUP(B53,'Profit Loss-Amravati-25-26'!$A$9:$D$190,3,0)</f>
        <v>370</v>
      </c>
      <c r="H53">
        <f t="shared" si="0"/>
        <v>0</v>
      </c>
    </row>
    <row r="54" spans="1:8" x14ac:dyDescent="0.3">
      <c r="A54">
        <v>962</v>
      </c>
      <c r="B54" t="s">
        <v>61</v>
      </c>
      <c r="C54">
        <v>704695</v>
      </c>
      <c r="F54" t="str">
        <f>VLOOKUP(B54,'Profit Loss-Amravati-25-26'!$A$9:$D$190,1,0)</f>
        <v>CONSULTANCY CHARGES</v>
      </c>
      <c r="G54">
        <f>VLOOKUP(B54,'Profit Loss-Amravati-25-26'!$A$9:$D$190,3,0)</f>
        <v>704695</v>
      </c>
      <c r="H54">
        <f t="shared" si="0"/>
        <v>0</v>
      </c>
    </row>
    <row r="55" spans="1:8" x14ac:dyDescent="0.3">
      <c r="A55">
        <v>961</v>
      </c>
      <c r="B55" t="s">
        <v>91</v>
      </c>
      <c r="C55">
        <v>520307.44</v>
      </c>
      <c r="F55" t="str">
        <f>VLOOKUP(B55,'Profit Loss-Amravati-25-26'!$A$9:$D$190,1,0)</f>
        <v>PROFESSIONAL FEES</v>
      </c>
      <c r="G55">
        <f>VLOOKUP(B55,'Profit Loss-Amravati-25-26'!$A$9:$D$190,3,0)</f>
        <v>520307.44</v>
      </c>
      <c r="H55">
        <f t="shared" si="0"/>
        <v>0</v>
      </c>
    </row>
    <row r="56" spans="1:8" x14ac:dyDescent="0.3">
      <c r="A56">
        <v>964</v>
      </c>
      <c r="B56" t="s">
        <v>63</v>
      </c>
      <c r="C56">
        <v>10500</v>
      </c>
      <c r="F56" t="str">
        <f>VLOOKUP(B56,'Profit Loss-Amravati-25-26'!$A$9:$D$190,1,0)</f>
        <v>ASSOCIATION MEMBERSHIP FEES</v>
      </c>
      <c r="G56">
        <f>VLOOKUP(B56,'Profit Loss-Amravati-25-26'!$A$9:$D$190,3,0)</f>
        <v>10500</v>
      </c>
      <c r="H56">
        <f t="shared" si="0"/>
        <v>0</v>
      </c>
    </row>
    <row r="57" spans="1:8" x14ac:dyDescent="0.3">
      <c r="A57">
        <v>969</v>
      </c>
      <c r="B57" t="s">
        <v>64</v>
      </c>
      <c r="C57">
        <v>608.26</v>
      </c>
      <c r="F57" t="str">
        <f>VLOOKUP(B57,'Profit Loss-Amravati-25-26'!$A$9:$D$190,1,0)</f>
        <v>FILING FEES</v>
      </c>
      <c r="G57">
        <f>VLOOKUP(B57,'Profit Loss-Amravati-25-26'!$A$9:$D$190,3,0)</f>
        <v>608.26</v>
      </c>
      <c r="H57">
        <f t="shared" si="0"/>
        <v>0</v>
      </c>
    </row>
    <row r="58" spans="1:8" x14ac:dyDescent="0.3">
      <c r="A58">
        <v>963</v>
      </c>
      <c r="B58" t="s">
        <v>92</v>
      </c>
      <c r="C58">
        <v>13094</v>
      </c>
      <c r="F58" t="str">
        <f>VLOOKUP(B58,'Profit Loss-Amravati-25-26'!$A$9:$D$190,1,0)</f>
        <v>LICENCE &amp; LEGAL FEES</v>
      </c>
      <c r="G58">
        <f>VLOOKUP(B58,'Profit Loss-Amravati-25-26'!$A$9:$D$190,3,0)</f>
        <v>13094</v>
      </c>
      <c r="H58">
        <f t="shared" si="0"/>
        <v>0</v>
      </c>
    </row>
    <row r="59" spans="1:8" x14ac:dyDescent="0.3">
      <c r="A59">
        <v>29063</v>
      </c>
      <c r="B59" t="s">
        <v>206</v>
      </c>
      <c r="C59">
        <v>49108.94</v>
      </c>
      <c r="F59" t="str">
        <f>VLOOKUP(B59,'Profit Loss-Amravati-25-26'!$A$9:$D$190,1,0)</f>
        <v>GST EXPENSES-NOT CLAIMABLE-REVENUE</v>
      </c>
      <c r="G59">
        <f>VLOOKUP(B59,'Profit Loss-Amravati-25-26'!$A$9:$D$190,3,0)</f>
        <v>49108.94</v>
      </c>
      <c r="H59">
        <f t="shared" si="0"/>
        <v>0</v>
      </c>
    </row>
    <row r="60" spans="1:8" x14ac:dyDescent="0.3">
      <c r="A60">
        <v>915</v>
      </c>
      <c r="B60" t="s">
        <v>65</v>
      </c>
      <c r="C60">
        <v>2500</v>
      </c>
      <c r="F60" t="str">
        <f>VLOOKUP(B60,'Profit Loss-Amravati-25-26'!$A$9:$D$190,1,0)</f>
        <v>PROFESSIONAL TAX</v>
      </c>
      <c r="G60">
        <f>VLOOKUP(B60,'Profit Loss-Amravati-25-26'!$A$9:$D$190,3,0)</f>
        <v>2500</v>
      </c>
      <c r="H60">
        <f t="shared" si="0"/>
        <v>0</v>
      </c>
    </row>
    <row r="61" spans="1:8" x14ac:dyDescent="0.3">
      <c r="A61">
        <v>821</v>
      </c>
      <c r="B61" t="s">
        <v>113</v>
      </c>
      <c r="C61">
        <v>358914</v>
      </c>
      <c r="F61" t="str">
        <f>VLOOKUP(B61,'Profit Loss-Amravati-25-26'!$A$9:$D$190,1,0)</f>
        <v>RENT PAID</v>
      </c>
      <c r="G61">
        <f>VLOOKUP(B61,'Profit Loss-Amravati-25-26'!$A$9:$D$190,3,0)</f>
        <v>631914</v>
      </c>
      <c r="H61">
        <f t="shared" si="0"/>
        <v>-273000</v>
      </c>
    </row>
    <row r="62" spans="1:8" x14ac:dyDescent="0.3">
      <c r="A62">
        <v>932</v>
      </c>
      <c r="B62" t="s">
        <v>54</v>
      </c>
      <c r="C62">
        <v>106504.42</v>
      </c>
      <c r="F62" t="str">
        <f>VLOOKUP(B62,'Profit Loss-Amravati-25-26'!$A$9:$D$190,1,0)</f>
        <v>PRINTING &amp; STATIONERY</v>
      </c>
      <c r="G62">
        <f>VLOOKUP(B62,'Profit Loss-Amravati-25-26'!$A$9:$D$190,3,0)</f>
        <v>154895.41999999998</v>
      </c>
      <c r="H62">
        <f t="shared" si="0"/>
        <v>-48390.999999999985</v>
      </c>
    </row>
    <row r="63" spans="1:8" x14ac:dyDescent="0.3">
      <c r="A63">
        <v>20113</v>
      </c>
      <c r="B63" t="s">
        <v>223</v>
      </c>
      <c r="C63">
        <v>7275</v>
      </c>
      <c r="F63" t="str">
        <f>VLOOKUP(B63,'Profit Loss-Amravati-25-26'!$A$9:$D$190,1,0)</f>
        <v>SOFTWARE RENEWAL CHARGES PAID</v>
      </c>
      <c r="G63">
        <f>VLOOKUP(B63,'Profit Loss-Amravati-25-26'!$A$9:$D$190,3,0)</f>
        <v>64245</v>
      </c>
      <c r="H63">
        <f t="shared" si="0"/>
        <v>-56970</v>
      </c>
    </row>
    <row r="64" spans="1:8" x14ac:dyDescent="0.3">
      <c r="A64">
        <v>854</v>
      </c>
      <c r="B64" t="s">
        <v>205</v>
      </c>
      <c r="C64">
        <v>314618</v>
      </c>
      <c r="F64" t="str">
        <f>VLOOKUP(B64,'Profit Loss-Amravati-25-26'!$A$9:$D$190,1,0)</f>
        <v>CONVEYANCE RE-IMBURSEMENT</v>
      </c>
      <c r="G64">
        <f>VLOOKUP(B64,'Profit Loss-Amravati-25-26'!$A$9:$D$190,3,0)</f>
        <v>314618</v>
      </c>
      <c r="H64">
        <f t="shared" si="0"/>
        <v>0</v>
      </c>
    </row>
    <row r="65" spans="1:8" x14ac:dyDescent="0.3">
      <c r="A65">
        <v>984</v>
      </c>
      <c r="B65" t="s">
        <v>234</v>
      </c>
      <c r="C65">
        <v>299666</v>
      </c>
      <c r="F65" t="str">
        <f>VLOOKUP(B65,'Profit Loss-Amravati-25-26'!$A$9:$D$190,1,0)</f>
        <v>FOREIGN TRAVELLING</v>
      </c>
      <c r="G65">
        <f>VLOOKUP(B65,'Profit Loss-Amravati-25-26'!$A$9:$D$190,3,0)</f>
        <v>299666</v>
      </c>
      <c r="H65">
        <f t="shared" si="0"/>
        <v>0</v>
      </c>
    </row>
    <row r="66" spans="1:8" x14ac:dyDescent="0.3">
      <c r="A66">
        <v>983</v>
      </c>
      <c r="B66" t="s">
        <v>95</v>
      </c>
      <c r="C66">
        <v>723256.55</v>
      </c>
      <c r="F66" t="str">
        <f>VLOOKUP(B66,'Profit Loss-Amravati-25-26'!$A$9:$D$190,1,0)</f>
        <v>TRAVELLING EXPENSES</v>
      </c>
      <c r="G66">
        <f>VLOOKUP(B66,'Profit Loss-Amravati-25-26'!$A$9:$D$190,3,0)</f>
        <v>723256.55</v>
      </c>
      <c r="H66">
        <f t="shared" si="0"/>
        <v>0</v>
      </c>
    </row>
    <row r="67" spans="1:8" x14ac:dyDescent="0.3">
      <c r="A67">
        <v>35339</v>
      </c>
      <c r="B67" t="s">
        <v>224</v>
      </c>
      <c r="C67">
        <v>3930</v>
      </c>
      <c r="F67" t="str">
        <f>VLOOKUP(B67,'Profit Loss-Amravati-25-26'!$A$9:$D$190,1,0)</f>
        <v>HYUNDAI VENUE CAR (MH02FN9024) -EXP</v>
      </c>
      <c r="G67">
        <f>VLOOKUP(B67,'Profit Loss-Amravati-25-26'!$A$9:$D$190,3,0)</f>
        <v>3930</v>
      </c>
      <c r="H67">
        <f t="shared" si="0"/>
        <v>0</v>
      </c>
    </row>
    <row r="68" spans="1:8" x14ac:dyDescent="0.3">
      <c r="A68">
        <v>1074</v>
      </c>
      <c r="B68" t="s">
        <v>202</v>
      </c>
      <c r="C68">
        <v>163613</v>
      </c>
      <c r="F68" t="str">
        <f>VLOOKUP(B68,'Profit Loss-Amravati-25-26'!$A$9:$D$190,1,0)</f>
        <v>JEEP HIRE EXPENSES</v>
      </c>
      <c r="G68">
        <f>VLOOKUP(B68,'Profit Loss-Amravati-25-26'!$A$9:$D$190,3,0)</f>
        <v>163613</v>
      </c>
      <c r="H68">
        <f t="shared" si="0"/>
        <v>0</v>
      </c>
    </row>
    <row r="69" spans="1:8" x14ac:dyDescent="0.3">
      <c r="A69">
        <v>37928</v>
      </c>
      <c r="B69" t="s">
        <v>230</v>
      </c>
      <c r="C69">
        <v>44000</v>
      </c>
      <c r="F69" t="e">
        <f>VLOOKUP(B69,'Profit Loss-Amravati-25-26'!$A$9:$D$190,1,0)</f>
        <v>#N/A</v>
      </c>
      <c r="G69" t="e">
        <f>VLOOKUP(B69,'Profit Loss-Amravati-25-26'!$A$9:$D$190,3,0)</f>
        <v>#N/A</v>
      </c>
      <c r="H69" t="e">
        <f t="shared" si="0"/>
        <v>#N/A</v>
      </c>
    </row>
    <row r="70" spans="1:8" x14ac:dyDescent="0.3">
      <c r="A70">
        <v>926</v>
      </c>
      <c r="B70" t="s">
        <v>207</v>
      </c>
      <c r="C70">
        <v>405140.26</v>
      </c>
      <c r="F70" t="str">
        <f>VLOOKUP(B70,'Profit Loss-Amravati-25-26'!$A$9:$D$190,1,0)</f>
        <v>POSTAGE &amp; TELEGRAM</v>
      </c>
      <c r="G70">
        <f>VLOOKUP(B70,'Profit Loss-Amravati-25-26'!$A$9:$D$190,3,0)</f>
        <v>405140.26</v>
      </c>
      <c r="H70">
        <f t="shared" si="0"/>
        <v>0</v>
      </c>
    </row>
    <row r="71" spans="1:8" x14ac:dyDescent="0.3">
      <c r="A71">
        <v>934</v>
      </c>
      <c r="B71" t="s">
        <v>103</v>
      </c>
      <c r="C71">
        <v>-17094.5</v>
      </c>
      <c r="F71" t="str">
        <f>VLOOKUP(B71,'Profit Loss-Amravati-25-26'!$A$9:$D$190,1,0)</f>
        <v>TELEPHONE EXPENSES</v>
      </c>
      <c r="G71">
        <f>VLOOKUP(B71,'Profit Loss-Amravati-25-26'!$A$9:$D$190,3,0)</f>
        <v>-17094.5</v>
      </c>
      <c r="H71">
        <f t="shared" si="0"/>
        <v>0</v>
      </c>
    </row>
    <row r="72" spans="1:8" x14ac:dyDescent="0.3">
      <c r="A72">
        <v>685</v>
      </c>
      <c r="B72" t="s">
        <v>97</v>
      </c>
      <c r="C72">
        <v>26300</v>
      </c>
      <c r="F72" t="str">
        <f>VLOOKUP(B72,'Profit Loss-Amravati-25-26'!$A$9:$D$190,1,0)</f>
        <v>COMPUTER EXPENSES PAID</v>
      </c>
      <c r="G72">
        <f>VLOOKUP(B72,'Profit Loss-Amravati-25-26'!$A$9:$D$190,3,0)</f>
        <v>26300</v>
      </c>
      <c r="H72">
        <f t="shared" si="0"/>
        <v>0</v>
      </c>
    </row>
    <row r="73" spans="1:8" x14ac:dyDescent="0.3">
      <c r="A73">
        <v>920</v>
      </c>
      <c r="B73" t="s">
        <v>153</v>
      </c>
      <c r="C73">
        <v>66675</v>
      </c>
      <c r="F73" t="str">
        <f>VLOOKUP(B73,'Profit Loss-Amravati-25-26'!$A$9:$D$190,1,0)</f>
        <v>FACTORY CLEANING CHARGES</v>
      </c>
      <c r="G73">
        <f>VLOOKUP(B73,'Profit Loss-Amravati-25-26'!$A$9:$D$190,3,0)</f>
        <v>66675</v>
      </c>
      <c r="H73">
        <f t="shared" si="0"/>
        <v>0</v>
      </c>
    </row>
    <row r="74" spans="1:8" x14ac:dyDescent="0.3">
      <c r="A74">
        <v>936</v>
      </c>
      <c r="B74" t="s">
        <v>225</v>
      </c>
      <c r="C74">
        <v>16247.98</v>
      </c>
      <c r="F74" t="str">
        <f>VLOOKUP(B74,'Profit Loss-Amravati-25-26'!$A$9:$D$190,1,0)</f>
        <v>OFFICE MAINTENANCE</v>
      </c>
      <c r="G74">
        <f>VLOOKUP(B74,'Profit Loss-Amravati-25-26'!$A$9:$D$190,3,0)</f>
        <v>16247.98</v>
      </c>
      <c r="H74">
        <f t="shared" si="0"/>
        <v>0</v>
      </c>
    </row>
    <row r="75" spans="1:8" x14ac:dyDescent="0.3">
      <c r="A75">
        <v>812</v>
      </c>
      <c r="B75" t="s">
        <v>90</v>
      </c>
      <c r="C75">
        <v>76998</v>
      </c>
      <c r="F75" t="str">
        <f>VLOOKUP(B75,'Profit Loss-Amravati-25-26'!$A$9:$D$190,1,0)</f>
        <v>REPAIRS &amp; MAINTENANCE</v>
      </c>
      <c r="G75">
        <f>VLOOKUP(B75,'Profit Loss-Amravati-25-26'!$A$9:$D$190,3,0)</f>
        <v>85273</v>
      </c>
      <c r="H75">
        <f t="shared" ref="H75:H104" si="1">+C75-G75</f>
        <v>-8275</v>
      </c>
    </row>
    <row r="76" spans="1:8" x14ac:dyDescent="0.3">
      <c r="A76">
        <v>1110</v>
      </c>
      <c r="B76" t="s">
        <v>102</v>
      </c>
      <c r="C76">
        <v>77880</v>
      </c>
      <c r="F76" t="str">
        <f>VLOOKUP(B76,'Profit Loss-Amravati-25-26'!$A$9:$D$190,1,0)</f>
        <v>SECURITY CHARGES</v>
      </c>
      <c r="G76">
        <f>VLOOKUP(B76,'Profit Loss-Amravati-25-26'!$A$9:$D$190,3,0)</f>
        <v>77880</v>
      </c>
      <c r="H76">
        <f t="shared" si="1"/>
        <v>0</v>
      </c>
    </row>
    <row r="77" spans="1:8" x14ac:dyDescent="0.3">
      <c r="A77">
        <v>1021</v>
      </c>
      <c r="B77" t="s">
        <v>57</v>
      </c>
      <c r="C77">
        <v>1.37</v>
      </c>
      <c r="F77" t="str">
        <f>VLOOKUP(B77,'Profit Loss-Amravati-25-26'!$A$9:$D$190,1,0)</f>
        <v>KASAR KHATE</v>
      </c>
      <c r="G77">
        <f>VLOOKUP(B77,'Profit Loss-Amravati-25-26'!$A$9:$D$190,3,0)</f>
        <v>1.37</v>
      </c>
      <c r="H77">
        <f t="shared" si="1"/>
        <v>0</v>
      </c>
    </row>
    <row r="78" spans="1:8" x14ac:dyDescent="0.3">
      <c r="A78">
        <v>935</v>
      </c>
      <c r="B78" t="s">
        <v>228</v>
      </c>
      <c r="C78">
        <v>5163</v>
      </c>
      <c r="F78" t="str">
        <f>VLOOKUP(B78,'Profit Loss-Amravati-25-26'!$A$9:$D$190,1,0)</f>
        <v>POOJA EXPENSES</v>
      </c>
      <c r="G78">
        <f>VLOOKUP(B78,'Profit Loss-Amravati-25-26'!$A$9:$D$190,3,0)</f>
        <v>5163</v>
      </c>
      <c r="H78">
        <f t="shared" si="1"/>
        <v>0</v>
      </c>
    </row>
    <row r="79" spans="1:8" x14ac:dyDescent="0.3">
      <c r="A79">
        <v>882</v>
      </c>
      <c r="B79" t="s">
        <v>216</v>
      </c>
      <c r="C79">
        <v>474354</v>
      </c>
      <c r="F79" t="str">
        <f>VLOOKUP(B79,'Profit Loss-Amravati-25-26'!$A$9:$D$190,1,0)</f>
        <v>ATTENDENCE BONUS</v>
      </c>
      <c r="G79">
        <f>VLOOKUP(B79,'Profit Loss-Amravati-25-26'!$A$9:$D$190,3,0)</f>
        <v>474354</v>
      </c>
      <c r="H79">
        <f t="shared" si="1"/>
        <v>0</v>
      </c>
    </row>
    <row r="80" spans="1:8" x14ac:dyDescent="0.3">
      <c r="A80">
        <v>862</v>
      </c>
      <c r="B80" t="s">
        <v>79</v>
      </c>
      <c r="C80">
        <v>12773</v>
      </c>
      <c r="F80" t="str">
        <f>VLOOKUP(B80,'Profit Loss-Amravati-25-26'!$A$9:$D$190,1,0)</f>
        <v>BONUS</v>
      </c>
      <c r="G80">
        <f>VLOOKUP(B80,'Profit Loss-Amravati-25-26'!$A$9:$D$190,3,0)</f>
        <v>1533367.3</v>
      </c>
      <c r="H80">
        <f t="shared" si="1"/>
        <v>-1520594.3</v>
      </c>
    </row>
    <row r="81" spans="1:8" x14ac:dyDescent="0.3">
      <c r="A81">
        <v>948</v>
      </c>
      <c r="B81" t="s">
        <v>72</v>
      </c>
      <c r="C81">
        <v>2215001</v>
      </c>
      <c r="F81" t="str">
        <f>VLOOKUP(B81,'Profit Loss-Amravati-25-26'!$A$9:$D$190,1,0)</f>
        <v>CONVEYANCE ALLOWANCE</v>
      </c>
      <c r="G81">
        <f>VLOOKUP(B81,'Profit Loss-Amravati-25-26'!$A$9:$D$190,3,0)</f>
        <v>2215001</v>
      </c>
      <c r="H81">
        <f t="shared" si="1"/>
        <v>0</v>
      </c>
    </row>
    <row r="82" spans="1:8" x14ac:dyDescent="0.3">
      <c r="A82">
        <v>855</v>
      </c>
      <c r="B82" t="s">
        <v>73</v>
      </c>
      <c r="C82">
        <v>647185</v>
      </c>
      <c r="F82" t="str">
        <f>VLOOKUP(B82,'Profit Loss-Amravati-25-26'!$A$9:$D$190,1,0)</f>
        <v>EDUCATION ALLOWANCE</v>
      </c>
      <c r="G82">
        <f>VLOOKUP(B82,'Profit Loss-Amravati-25-26'!$A$9:$D$190,3,0)</f>
        <v>647185</v>
      </c>
      <c r="H82">
        <f t="shared" si="1"/>
        <v>0</v>
      </c>
    </row>
    <row r="83" spans="1:8" x14ac:dyDescent="0.3">
      <c r="A83">
        <v>853</v>
      </c>
      <c r="B83" t="s">
        <v>74</v>
      </c>
      <c r="C83">
        <v>2329648</v>
      </c>
      <c r="F83" t="str">
        <f>VLOOKUP(B83,'Profit Loss-Amravati-25-26'!$A$9:$D$190,1,0)</f>
        <v>HOUSE RENT ALLOWANCE</v>
      </c>
      <c r="G83">
        <f>VLOOKUP(B83,'Profit Loss-Amravati-25-26'!$A$9:$D$190,3,0)</f>
        <v>2329648</v>
      </c>
      <c r="H83">
        <f t="shared" si="1"/>
        <v>0</v>
      </c>
    </row>
    <row r="84" spans="1:8" x14ac:dyDescent="0.3">
      <c r="A84">
        <v>975</v>
      </c>
      <c r="B84" t="s">
        <v>77</v>
      </c>
      <c r="C84">
        <v>1990</v>
      </c>
      <c r="F84" t="str">
        <f>VLOOKUP(B84,'Profit Loss-Amravati-25-26'!$A$9:$D$190,1,0)</f>
        <v>MEDICAL ALLOWANCE</v>
      </c>
      <c r="G84">
        <f>VLOOKUP(B84,'Profit Loss-Amravati-25-26'!$A$9:$D$190,3,0)</f>
        <v>1990</v>
      </c>
      <c r="H84">
        <f t="shared" si="1"/>
        <v>0</v>
      </c>
    </row>
    <row r="85" spans="1:8" x14ac:dyDescent="0.3">
      <c r="A85">
        <v>10208</v>
      </c>
      <c r="B85" t="s">
        <v>78</v>
      </c>
      <c r="C85">
        <v>179757</v>
      </c>
      <c r="F85" t="str">
        <f>VLOOKUP(B85,'Profit Loss-Amravati-25-26'!$A$9:$D$190,1,0)</f>
        <v>NEWSPAPER &amp; PERIODICAL ALLOWANCE</v>
      </c>
      <c r="G85">
        <f>VLOOKUP(B85,'Profit Loss-Amravati-25-26'!$A$9:$D$190,3,0)</f>
        <v>179757</v>
      </c>
      <c r="H85">
        <f t="shared" si="1"/>
        <v>0</v>
      </c>
    </row>
    <row r="86" spans="1:8" x14ac:dyDescent="0.3">
      <c r="A86">
        <v>31408</v>
      </c>
      <c r="B86" t="s">
        <v>227</v>
      </c>
      <c r="C86">
        <v>-1293</v>
      </c>
      <c r="F86" t="str">
        <f>VLOOKUP(B86,'Profit Loss-Amravati-25-26'!$A$9:$D$190,1,0)</f>
        <v>ONE DAY SALARY DEDUCTION</v>
      </c>
      <c r="G86">
        <f>VLOOKUP(B86,'Profit Loss-Amravati-25-26'!$A$9:$D$190,3,0)</f>
        <v>-1293</v>
      </c>
      <c r="H86">
        <f t="shared" si="1"/>
        <v>0</v>
      </c>
    </row>
    <row r="87" spans="1:8" x14ac:dyDescent="0.3">
      <c r="A87">
        <v>718</v>
      </c>
      <c r="B87" t="s">
        <v>217</v>
      </c>
      <c r="C87">
        <v>617993</v>
      </c>
      <c r="F87" t="str">
        <f>VLOOKUP(B87,'Profit Loss-Amravati-25-26'!$A$9:$D$190,1,0)</f>
        <v>PRODUCTION INCENTIVE</v>
      </c>
      <c r="G87">
        <f>VLOOKUP(B87,'Profit Loss-Amravati-25-26'!$A$9:$D$190,3,0)</f>
        <v>617993</v>
      </c>
      <c r="H87">
        <f t="shared" si="1"/>
        <v>0</v>
      </c>
    </row>
    <row r="88" spans="1:8" x14ac:dyDescent="0.3">
      <c r="A88">
        <v>851</v>
      </c>
      <c r="B88" t="s">
        <v>81</v>
      </c>
      <c r="C88">
        <v>15205943</v>
      </c>
      <c r="F88" t="str">
        <f>VLOOKUP(B88,'Profit Loss-Amravati-25-26'!$A$9:$D$190,1,0)</f>
        <v>SALARY &amp; WAGES</v>
      </c>
      <c r="G88">
        <f>VLOOKUP(B88,'Profit Loss-Amravati-25-26'!$A$9:$D$190,3,0)</f>
        <v>15205943</v>
      </c>
      <c r="H88">
        <f t="shared" si="1"/>
        <v>0</v>
      </c>
    </row>
    <row r="89" spans="1:8" x14ac:dyDescent="0.3">
      <c r="A89">
        <v>852</v>
      </c>
      <c r="B89" t="s">
        <v>215</v>
      </c>
      <c r="C89">
        <v>312704</v>
      </c>
      <c r="F89" t="str">
        <f>VLOOKUP(B89,'Profit Loss-Amravati-25-26'!$A$9:$D$190,1,0)</f>
        <v>SALARY &amp; WAGES (OVER TIME)</v>
      </c>
      <c r="G89">
        <f>VLOOKUP(B89,'Profit Loss-Amravati-25-26'!$A$9:$D$190,3,0)</f>
        <v>312704</v>
      </c>
      <c r="H89">
        <f t="shared" si="1"/>
        <v>0</v>
      </c>
    </row>
    <row r="90" spans="1:8" x14ac:dyDescent="0.3">
      <c r="A90">
        <v>881</v>
      </c>
      <c r="B90" t="s">
        <v>210</v>
      </c>
      <c r="C90">
        <v>424</v>
      </c>
      <c r="F90" t="str">
        <f>VLOOKUP(B90,'Profit Loss-Amravati-25-26'!$A$9:$D$190,1,0)</f>
        <v>SHIFT ALLOWANCE</v>
      </c>
      <c r="G90">
        <f>VLOOKUP(B90,'Profit Loss-Amravati-25-26'!$A$9:$D$190,3,0)</f>
        <v>424</v>
      </c>
      <c r="H90">
        <f t="shared" si="1"/>
        <v>0</v>
      </c>
    </row>
    <row r="91" spans="1:8" x14ac:dyDescent="0.3">
      <c r="A91">
        <v>689</v>
      </c>
      <c r="B91" t="s">
        <v>75</v>
      </c>
      <c r="C91">
        <v>320170</v>
      </c>
      <c r="F91" t="str">
        <f>VLOOKUP(B91,'Profit Loss-Amravati-25-26'!$A$9:$D$190,1,0)</f>
        <v>SPECIAL ALLOWANCE</v>
      </c>
      <c r="G91">
        <f>VLOOKUP(B91,'Profit Loss-Amravati-25-26'!$A$9:$D$190,3,0)</f>
        <v>320170</v>
      </c>
      <c r="H91">
        <f t="shared" si="1"/>
        <v>0</v>
      </c>
    </row>
    <row r="92" spans="1:8" x14ac:dyDescent="0.3">
      <c r="A92">
        <v>1325</v>
      </c>
      <c r="B92" t="s">
        <v>98</v>
      </c>
      <c r="C92">
        <v>5012103</v>
      </c>
      <c r="F92" t="str">
        <f>VLOOKUP(B92,'Profit Loss-Amravati-25-26'!$A$9:$D$190,1,0)</f>
        <v>STIPEND</v>
      </c>
      <c r="G92">
        <f>VLOOKUP(B92,'Profit Loss-Amravati-25-26'!$A$9:$D$190,3,0)</f>
        <v>5012103</v>
      </c>
      <c r="H92">
        <f t="shared" si="1"/>
        <v>0</v>
      </c>
    </row>
    <row r="93" spans="1:8" x14ac:dyDescent="0.3">
      <c r="A93">
        <v>11722</v>
      </c>
      <c r="B93" t="s">
        <v>211</v>
      </c>
      <c r="C93">
        <v>300</v>
      </c>
      <c r="F93" t="str">
        <f>VLOOKUP(B93,'Profit Loss-Amravati-25-26'!$A$9:$D$190,1,0)</f>
        <v>TELEPHONE ALLOWANCE</v>
      </c>
      <c r="G93">
        <f>VLOOKUP(B93,'Profit Loss-Amravati-25-26'!$A$9:$D$190,3,0)</f>
        <v>300</v>
      </c>
      <c r="H93">
        <f t="shared" si="1"/>
        <v>0</v>
      </c>
    </row>
    <row r="94" spans="1:8" x14ac:dyDescent="0.3">
      <c r="A94">
        <v>39011</v>
      </c>
      <c r="B94" t="s">
        <v>83</v>
      </c>
      <c r="C94">
        <v>212889</v>
      </c>
      <c r="F94" t="str">
        <f>VLOOKUP(B94,'Profit Loss-Amravati-25-26'!$A$9:$D$190,1,0)</f>
        <v>COMPANY SHARE OF E.S.I.C ACCOUNT</v>
      </c>
      <c r="G94">
        <f>VLOOKUP(B94,'Profit Loss-Amravati-25-26'!$A$9:$D$190,3,0)</f>
        <v>436141</v>
      </c>
      <c r="H94">
        <f t="shared" si="1"/>
        <v>-223252</v>
      </c>
    </row>
    <row r="95" spans="1:8" x14ac:dyDescent="0.3">
      <c r="A95">
        <v>38580</v>
      </c>
      <c r="B95" t="s">
        <v>82</v>
      </c>
      <c r="C95">
        <v>831633</v>
      </c>
      <c r="F95" t="str">
        <f>VLOOKUP(B95,'Profit Loss-Amravati-25-26'!$A$9:$D$190,1,0)</f>
        <v>COMPANY SHARE OF PF</v>
      </c>
      <c r="G95">
        <f>VLOOKUP(B95,'Profit Loss-Amravati-25-26'!$A$9:$D$190,3,0)</f>
        <v>1697704</v>
      </c>
      <c r="H95">
        <f t="shared" si="1"/>
        <v>-866071</v>
      </c>
    </row>
    <row r="96" spans="1:8" x14ac:dyDescent="0.3">
      <c r="A96">
        <v>39010</v>
      </c>
      <c r="B96" t="s">
        <v>85</v>
      </c>
      <c r="C96">
        <v>-51407</v>
      </c>
      <c r="F96" t="str">
        <f>VLOOKUP(B96,'Profit Loss-Amravati-25-26'!$A$9:$D$190,1,0)</f>
        <v>EMPLOYEE SHARE OF E.S.I.C ACCOUNT</v>
      </c>
      <c r="G96">
        <f>VLOOKUP(B96,'Profit Loss-Amravati-25-26'!$A$9:$D$190,3,0)</f>
        <v>0</v>
      </c>
      <c r="H96">
        <f t="shared" si="1"/>
        <v>-51407</v>
      </c>
    </row>
    <row r="97" spans="1:8" x14ac:dyDescent="0.3">
      <c r="A97">
        <v>38579</v>
      </c>
      <c r="B97" t="s">
        <v>86</v>
      </c>
      <c r="C97">
        <v>-905466</v>
      </c>
      <c r="F97" t="str">
        <f>VLOOKUP(B97,'Profit Loss-Amravati-25-26'!$A$9:$D$190,1,0)</f>
        <v>EMPLOYEE SHARE OF PF ACCOUNT</v>
      </c>
      <c r="G97">
        <f>VLOOKUP(B97,'Profit Loss-Amravati-25-26'!$A$9:$D$190,3,0)</f>
        <v>0</v>
      </c>
      <c r="H97">
        <f t="shared" si="1"/>
        <v>-905466</v>
      </c>
    </row>
    <row r="98" spans="1:8" x14ac:dyDescent="0.3">
      <c r="A98">
        <v>868</v>
      </c>
      <c r="B98" t="s">
        <v>88</v>
      </c>
      <c r="C98">
        <v>66297</v>
      </c>
      <c r="F98" t="str">
        <f>VLOOKUP(B98,'Profit Loss-Amravati-25-26'!$A$9:$D$190,1,0)</f>
        <v>P.F. ADMINISTRATION CHARGES</v>
      </c>
      <c r="G98">
        <f>VLOOKUP(B98,'Profit Loss-Amravati-25-26'!$A$9:$D$190,3,0)</f>
        <v>135848</v>
      </c>
      <c r="H98">
        <f t="shared" si="1"/>
        <v>-69551</v>
      </c>
    </row>
    <row r="99" spans="1:8" x14ac:dyDescent="0.3">
      <c r="A99">
        <v>1107</v>
      </c>
      <c r="B99" t="s">
        <v>105</v>
      </c>
      <c r="C99">
        <v>49530</v>
      </c>
      <c r="F99" t="str">
        <f>VLOOKUP(B99,'Profit Loss-Amravati-25-26'!$A$9:$D$190,1,0)</f>
        <v>GUEST HOUSE EXPENSES</v>
      </c>
      <c r="G99">
        <f>VLOOKUP(B99,'Profit Loss-Amravati-25-26'!$A$9:$D$190,3,0)</f>
        <v>49530</v>
      </c>
      <c r="H99">
        <f t="shared" si="1"/>
        <v>0</v>
      </c>
    </row>
    <row r="100" spans="1:8" x14ac:dyDescent="0.3">
      <c r="A100">
        <v>859</v>
      </c>
      <c r="B100" t="s">
        <v>220</v>
      </c>
      <c r="C100">
        <v>25048</v>
      </c>
      <c r="F100" t="str">
        <f>VLOOKUP(B100,'Profit Loss-Amravati-25-26'!$A$9:$D$190,1,0)</f>
        <v>STAFF/WORKER MEDICAL</v>
      </c>
      <c r="G100">
        <f>VLOOKUP(B100,'Profit Loss-Amravati-25-26'!$A$9:$D$190,3,0)</f>
        <v>25048</v>
      </c>
      <c r="H100">
        <f t="shared" si="1"/>
        <v>0</v>
      </c>
    </row>
    <row r="101" spans="1:8" x14ac:dyDescent="0.3">
      <c r="A101">
        <v>858</v>
      </c>
      <c r="B101" t="s">
        <v>89</v>
      </c>
      <c r="C101">
        <v>136820</v>
      </c>
      <c r="F101" t="str">
        <f>VLOOKUP(B101,'Profit Loss-Amravati-25-26'!$A$9:$D$190,1,0)</f>
        <v>STAFF/WORKER WELFARE</v>
      </c>
      <c r="G101">
        <f>VLOOKUP(B101,'Profit Loss-Amravati-25-26'!$A$9:$D$190,3,0)</f>
        <v>136820</v>
      </c>
      <c r="H101">
        <f t="shared" si="1"/>
        <v>0</v>
      </c>
    </row>
    <row r="102" spans="1:8" x14ac:dyDescent="0.3">
      <c r="A102">
        <v>981</v>
      </c>
      <c r="B102" t="s">
        <v>109</v>
      </c>
      <c r="C102">
        <v>72288.34</v>
      </c>
      <c r="F102" t="str">
        <f>VLOOKUP(B102,'Profit Loss-Amravati-25-26'!$A$9:$D$190,1,0)</f>
        <v>BANK CHARGES</v>
      </c>
      <c r="G102">
        <f>VLOOKUP(B102,'Profit Loss-Amravati-25-26'!$A$9:$D$190,3,0)</f>
        <v>72288.34</v>
      </c>
      <c r="H102">
        <f t="shared" si="1"/>
        <v>0</v>
      </c>
    </row>
    <row r="103" spans="1:8" x14ac:dyDescent="0.3">
      <c r="A103">
        <v>25273</v>
      </c>
      <c r="B103" t="s">
        <v>112</v>
      </c>
      <c r="C103">
        <v>307114.27</v>
      </c>
      <c r="F103" t="str">
        <f>VLOOKUP(B103,'Profit Loss-Amravati-25-26'!$A$9:$D$190,1,0)</f>
        <v>CASH DISCOUNT PAID</v>
      </c>
      <c r="G103">
        <f>VLOOKUP(B103,'Profit Loss-Amravati-25-26'!$A$9:$D$190,3,0)</f>
        <v>307114.27</v>
      </c>
      <c r="H103">
        <f t="shared" si="1"/>
        <v>0</v>
      </c>
    </row>
    <row r="104" spans="1:8" x14ac:dyDescent="0.3">
      <c r="A104" t="s">
        <v>277</v>
      </c>
      <c r="B104" t="s">
        <v>279</v>
      </c>
      <c r="C104">
        <f>SUM(C22:C103)</f>
        <v>109328901.12000002</v>
      </c>
      <c r="D104">
        <v>109328901.12</v>
      </c>
      <c r="E104">
        <f>+C104-D104</f>
        <v>0</v>
      </c>
      <c r="F104" t="e">
        <f>VLOOKUP(B104,'Profit Loss-Amravati-25-26'!$A$9:$D$190,1,0)</f>
        <v>#N/A</v>
      </c>
      <c r="G104" t="e">
        <f>VLOOKUP(B104,'Profit Loss-Amravati-25-26'!$A$9:$D$190,3,0)</f>
        <v>#N/A</v>
      </c>
      <c r="H104" t="e">
        <f t="shared" si="1"/>
        <v>#N/A</v>
      </c>
    </row>
    <row r="105" spans="1:8" x14ac:dyDescent="0.3">
      <c r="C105">
        <f>+C21-C104</f>
        <v>4498466.6799999774</v>
      </c>
    </row>
    <row r="106" spans="1:8" x14ac:dyDescent="0.3">
      <c r="A106" t="s">
        <v>280</v>
      </c>
      <c r="B106" t="s">
        <v>281</v>
      </c>
      <c r="C106">
        <v>0.68</v>
      </c>
    </row>
    <row r="107" spans="1:8" x14ac:dyDescent="0.3">
      <c r="A107" t="s">
        <v>282</v>
      </c>
      <c r="B107" t="s">
        <v>283</v>
      </c>
      <c r="C107" t="s">
        <v>242</v>
      </c>
      <c r="D107" t="s">
        <v>155</v>
      </c>
    </row>
    <row r="108" spans="1:8" x14ac:dyDescent="0.3">
      <c r="A108" t="s">
        <v>284</v>
      </c>
      <c r="B108" t="s">
        <v>285</v>
      </c>
      <c r="D108" t="s">
        <v>286</v>
      </c>
    </row>
    <row r="109" spans="1:8" x14ac:dyDescent="0.3">
      <c r="A109" t="s">
        <v>157</v>
      </c>
    </row>
  </sheetData>
  <autoFilter ref="A7:C109" xr:uid="{F64BDC45-40EE-49A9-A936-ABAC92B77E2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33C1-F417-454B-862F-D1E8D17D544D}">
  <dimension ref="A1:G96"/>
  <sheetViews>
    <sheetView workbookViewId="0">
      <selection activeCell="B24" sqref="B24"/>
    </sheetView>
  </sheetViews>
  <sheetFormatPr defaultRowHeight="14.4" x14ac:dyDescent="0.3"/>
  <cols>
    <col min="2" max="2" width="45" customWidth="1"/>
  </cols>
  <sheetData>
    <row r="1" spans="1:7" x14ac:dyDescent="0.3">
      <c r="A1" t="s">
        <v>141</v>
      </c>
      <c r="B1" t="s">
        <v>239</v>
      </c>
      <c r="D1" t="s">
        <v>143</v>
      </c>
    </row>
    <row r="2" spans="1:7" x14ac:dyDescent="0.3">
      <c r="A2" t="s">
        <v>141</v>
      </c>
      <c r="B2" t="s">
        <v>254</v>
      </c>
      <c r="D2" t="s">
        <v>143</v>
      </c>
    </row>
    <row r="3" spans="1:7" x14ac:dyDescent="0.3">
      <c r="A3" t="s">
        <v>141</v>
      </c>
      <c r="B3" t="s">
        <v>160</v>
      </c>
      <c r="C3" t="s">
        <v>289</v>
      </c>
      <c r="D3" t="s">
        <v>143</v>
      </c>
    </row>
    <row r="4" spans="1:7" x14ac:dyDescent="0.3">
      <c r="A4" t="s">
        <v>162</v>
      </c>
      <c r="B4" t="s">
        <v>290</v>
      </c>
      <c r="C4" t="s">
        <v>255</v>
      </c>
      <c r="D4" t="s">
        <v>145</v>
      </c>
    </row>
    <row r="5" spans="1:7" x14ac:dyDescent="0.3">
      <c r="A5" t="s">
        <v>146</v>
      </c>
      <c r="B5" t="s">
        <v>146</v>
      </c>
      <c r="C5" t="s">
        <v>147</v>
      </c>
      <c r="D5" t="s">
        <v>148</v>
      </c>
    </row>
    <row r="6" spans="1:7" x14ac:dyDescent="0.3">
      <c r="A6" t="s">
        <v>149</v>
      </c>
      <c r="B6" t="s">
        <v>150</v>
      </c>
      <c r="C6" t="s">
        <v>151</v>
      </c>
      <c r="D6" t="s">
        <v>152</v>
      </c>
    </row>
    <row r="7" spans="1:7" x14ac:dyDescent="0.3">
      <c r="A7" t="s">
        <v>291</v>
      </c>
      <c r="B7" t="s">
        <v>290</v>
      </c>
      <c r="C7" t="s">
        <v>255</v>
      </c>
      <c r="D7" t="s">
        <v>145</v>
      </c>
    </row>
    <row r="8" spans="1:7" x14ac:dyDescent="0.3">
      <c r="A8" t="s">
        <v>3</v>
      </c>
    </row>
    <row r="9" spans="1:7" x14ac:dyDescent="0.3">
      <c r="A9">
        <v>18669</v>
      </c>
      <c r="B9" t="s">
        <v>257</v>
      </c>
      <c r="C9">
        <v>2501098</v>
      </c>
      <c r="E9" t="str">
        <f>VLOOKUP(B9,'Profit Loss-Betul-25-26'!$A$9:$D$141,1,0)</f>
        <v>SALES (LABOUR JOB) - INTER UNIT</v>
      </c>
      <c r="F9">
        <f>VLOOKUP(B9,'Profit Loss-Betul-25-26'!$A$9:$D$141,3,0)</f>
        <v>2501098</v>
      </c>
      <c r="G9">
        <f>+C9-F9</f>
        <v>0</v>
      </c>
    </row>
    <row r="10" spans="1:7" x14ac:dyDescent="0.3">
      <c r="A10" t="s">
        <v>165</v>
      </c>
      <c r="B10" t="s">
        <v>164</v>
      </c>
      <c r="C10">
        <v>2501098</v>
      </c>
      <c r="E10" t="e">
        <f>VLOOKUP(B10,'Profit Loss-Betul-25-26'!$A$9:$D$141,1,0)</f>
        <v>#N/A</v>
      </c>
      <c r="F10" t="e">
        <f>VLOOKUP(B10,'Profit Loss-Betul-25-26'!$A$9:$D$141,3,0)</f>
        <v>#N/A</v>
      </c>
      <c r="G10" t="e">
        <f t="shared" ref="G10:G39" si="0">+C10-F10</f>
        <v>#N/A</v>
      </c>
    </row>
    <row r="11" spans="1:7" x14ac:dyDescent="0.3">
      <c r="A11">
        <v>36583</v>
      </c>
      <c r="B11" t="s">
        <v>200</v>
      </c>
      <c r="C11">
        <v>18120</v>
      </c>
      <c r="E11" t="str">
        <f>VLOOKUP(B11,'Profit Loss-Betul-25-26'!$A$9:$D$141,1,0)</f>
        <v>ELECTRICAL ITEM - GARMENT</v>
      </c>
      <c r="F11">
        <f>VLOOKUP(B11,'Profit Loss-Betul-25-26'!$A$9:$D$141,3,0)</f>
        <v>18120</v>
      </c>
      <c r="G11">
        <f t="shared" si="0"/>
        <v>0</v>
      </c>
    </row>
    <row r="12" spans="1:7" x14ac:dyDescent="0.3">
      <c r="A12">
        <v>815</v>
      </c>
      <c r="B12" t="s">
        <v>40</v>
      </c>
      <c r="C12">
        <v>5340</v>
      </c>
      <c r="E12" t="str">
        <f>VLOOKUP(B12,'Profit Loss-Betul-25-26'!$A$9:$D$141,1,0)</f>
        <v>PURCHASE STORES &amp; SPARES</v>
      </c>
      <c r="F12">
        <f>VLOOKUP(B12,'Profit Loss-Betul-25-26'!$A$9:$D$141,3,0)</f>
        <v>5340</v>
      </c>
      <c r="G12">
        <f t="shared" si="0"/>
        <v>0</v>
      </c>
    </row>
    <row r="13" spans="1:7" x14ac:dyDescent="0.3">
      <c r="A13">
        <v>25339</v>
      </c>
      <c r="B13" t="s">
        <v>192</v>
      </c>
      <c r="C13">
        <v>170665.58</v>
      </c>
      <c r="E13" t="str">
        <f>VLOOKUP(B13,'Profit Loss-Betul-25-26'!$A$9:$D$141,1,0)</f>
        <v>PURCHASE STORES &amp; SPARES (GARMENT)</v>
      </c>
      <c r="F13">
        <f>VLOOKUP(B13,'Profit Loss-Betul-25-26'!$A$9:$D$141,3,0)</f>
        <v>170665.58</v>
      </c>
      <c r="G13">
        <f t="shared" si="0"/>
        <v>0</v>
      </c>
    </row>
    <row r="14" spans="1:7" x14ac:dyDescent="0.3">
      <c r="A14">
        <v>810</v>
      </c>
      <c r="B14" s="69" t="s">
        <v>48</v>
      </c>
      <c r="C14" s="69">
        <v>6700</v>
      </c>
      <c r="E14" t="str">
        <f>VLOOKUP(B14,'Profit Loss-Betul-25-26'!$A$9:$D$141,1,0)</f>
        <v>FUEL &amp; OIL</v>
      </c>
      <c r="F14">
        <f>VLOOKUP(B14,'Profit Loss-Betul-25-26'!$A$9:$D$141,3,0)</f>
        <v>6700</v>
      </c>
      <c r="G14">
        <f t="shared" si="0"/>
        <v>0</v>
      </c>
    </row>
    <row r="15" spans="1:7" x14ac:dyDescent="0.3">
      <c r="A15">
        <v>937</v>
      </c>
      <c r="B15" t="s">
        <v>58</v>
      </c>
      <c r="C15">
        <v>4620</v>
      </c>
      <c r="E15" t="str">
        <f>VLOOKUP(B15,'Profit Loss-Betul-25-26'!$A$9:$D$141,1,0)</f>
        <v>ELECTRICITY CHARGES</v>
      </c>
      <c r="F15">
        <f>VLOOKUP(B15,'Profit Loss-Betul-25-26'!$A$9:$D$141,3,0)</f>
        <v>4620</v>
      </c>
      <c r="G15">
        <f t="shared" si="0"/>
        <v>0</v>
      </c>
    </row>
    <row r="16" spans="1:7" x14ac:dyDescent="0.3">
      <c r="A16">
        <v>809</v>
      </c>
      <c r="B16" t="s">
        <v>46</v>
      </c>
      <c r="C16">
        <v>146247</v>
      </c>
      <c r="E16" t="str">
        <f>VLOOKUP(B16,'Profit Loss-Betul-25-26'!$A$9:$D$141,1,0)</f>
        <v>POWER</v>
      </c>
      <c r="F16">
        <f>VLOOKUP(B16,'Profit Loss-Betul-25-26'!$A$9:$D$141,3,0)</f>
        <v>300528</v>
      </c>
      <c r="G16">
        <f t="shared" si="0"/>
        <v>-154281</v>
      </c>
    </row>
    <row r="17" spans="1:7" x14ac:dyDescent="0.3">
      <c r="A17">
        <v>821</v>
      </c>
      <c r="B17" t="s">
        <v>113</v>
      </c>
      <c r="C17">
        <v>322900</v>
      </c>
      <c r="E17" t="str">
        <f>VLOOKUP(B17,'Profit Loss-Betul-25-26'!$A$9:$D$141,1,0)</f>
        <v>RENT PAID</v>
      </c>
      <c r="F17">
        <f>VLOOKUP(B17,'Profit Loss-Betul-25-26'!$A$9:$D$141,3,0)</f>
        <v>322900</v>
      </c>
      <c r="G17">
        <f t="shared" si="0"/>
        <v>0</v>
      </c>
    </row>
    <row r="18" spans="1:7" x14ac:dyDescent="0.3">
      <c r="A18">
        <v>932</v>
      </c>
      <c r="B18" t="s">
        <v>54</v>
      </c>
      <c r="C18">
        <v>18752</v>
      </c>
      <c r="E18" t="str">
        <f>VLOOKUP(B18,'Profit Loss-Betul-25-26'!$A$9:$D$141,1,0)</f>
        <v>PRINTING &amp; STATIONERY</v>
      </c>
      <c r="F18">
        <f>VLOOKUP(B18,'Profit Loss-Betul-25-26'!$A$9:$D$141,3,0)</f>
        <v>18752</v>
      </c>
      <c r="G18">
        <f t="shared" si="0"/>
        <v>0</v>
      </c>
    </row>
    <row r="19" spans="1:7" x14ac:dyDescent="0.3">
      <c r="A19">
        <v>1101</v>
      </c>
      <c r="B19" s="69" t="s">
        <v>229</v>
      </c>
      <c r="C19" s="69">
        <v>20000</v>
      </c>
      <c r="E19" t="str">
        <f>VLOOKUP(B19,'Profit Loss-Betul-25-26'!$A$9:$D$141,1,0)</f>
        <v>TECHNICAL TRAINING EXPENSES PAID</v>
      </c>
      <c r="F19">
        <f>VLOOKUP(B19,'Profit Loss-Betul-25-26'!$A$9:$D$141,3,0)</f>
        <v>20000</v>
      </c>
      <c r="G19">
        <f t="shared" si="0"/>
        <v>0</v>
      </c>
    </row>
    <row r="20" spans="1:7" x14ac:dyDescent="0.3">
      <c r="A20">
        <v>854</v>
      </c>
      <c r="B20" t="s">
        <v>205</v>
      </c>
      <c r="C20">
        <v>14977</v>
      </c>
      <c r="E20" t="str">
        <f>VLOOKUP(B20,'Profit Loss-Betul-25-26'!$A$9:$D$141,1,0)</f>
        <v>CONVEYANCE RE-IMBURSEMENT</v>
      </c>
      <c r="F20">
        <f>VLOOKUP(B20,'Profit Loss-Betul-25-26'!$A$9:$D$141,3,0)</f>
        <v>14977</v>
      </c>
      <c r="G20">
        <f t="shared" si="0"/>
        <v>0</v>
      </c>
    </row>
    <row r="21" spans="1:7" x14ac:dyDescent="0.3">
      <c r="A21">
        <v>983</v>
      </c>
      <c r="B21" t="s">
        <v>95</v>
      </c>
      <c r="C21">
        <v>3500</v>
      </c>
      <c r="E21" t="str">
        <f>VLOOKUP(B21,'Profit Loss-Betul-25-26'!$A$9:$D$141,1,0)</f>
        <v>TRAVELLING EXPENSES</v>
      </c>
      <c r="F21">
        <f>VLOOKUP(B21,'Profit Loss-Betul-25-26'!$A$9:$D$141,3,0)</f>
        <v>3500</v>
      </c>
      <c r="G21">
        <f t="shared" si="0"/>
        <v>0</v>
      </c>
    </row>
    <row r="22" spans="1:7" x14ac:dyDescent="0.3">
      <c r="A22">
        <v>926</v>
      </c>
      <c r="B22" t="s">
        <v>207</v>
      </c>
      <c r="C22">
        <v>12775</v>
      </c>
      <c r="E22" t="str">
        <f>VLOOKUP(B22,'Profit Loss-Betul-25-26'!$A$9:$D$141,1,0)</f>
        <v>POSTAGE &amp; TELEGRAM</v>
      </c>
      <c r="F22">
        <f>VLOOKUP(B22,'Profit Loss-Betul-25-26'!$A$9:$D$141,3,0)</f>
        <v>12775</v>
      </c>
      <c r="G22">
        <f t="shared" si="0"/>
        <v>0</v>
      </c>
    </row>
    <row r="23" spans="1:7" x14ac:dyDescent="0.3">
      <c r="A23">
        <v>934</v>
      </c>
      <c r="B23" t="s">
        <v>103</v>
      </c>
      <c r="C23">
        <v>1650</v>
      </c>
      <c r="E23" t="str">
        <f>VLOOKUP(B23,'Profit Loss-Betul-25-26'!$A$9:$D$141,1,0)</f>
        <v>TELEPHONE EXPENSES</v>
      </c>
      <c r="F23">
        <f>VLOOKUP(B23,'Profit Loss-Betul-25-26'!$A$9:$D$141,3,0)</f>
        <v>1650</v>
      </c>
      <c r="G23">
        <f t="shared" si="0"/>
        <v>0</v>
      </c>
    </row>
    <row r="24" spans="1:7" x14ac:dyDescent="0.3">
      <c r="A24">
        <v>936</v>
      </c>
      <c r="B24" s="69" t="s">
        <v>225</v>
      </c>
      <c r="C24" s="69">
        <v>5549.18</v>
      </c>
      <c r="E24" t="str">
        <f>VLOOKUP(B24,'Profit Loss-Betul-25-26'!$A$9:$D$141,1,0)</f>
        <v>OFFICE MAINTENANCE</v>
      </c>
      <c r="F24">
        <f>VLOOKUP(B24,'Profit Loss-Betul-25-26'!$A$9:$D$141,3,0)</f>
        <v>5549.18</v>
      </c>
      <c r="G24">
        <f t="shared" si="0"/>
        <v>0</v>
      </c>
    </row>
    <row r="25" spans="1:7" x14ac:dyDescent="0.3">
      <c r="A25">
        <v>812</v>
      </c>
      <c r="B25" t="s">
        <v>90</v>
      </c>
      <c r="C25">
        <v>36466.69</v>
      </c>
      <c r="E25" t="str">
        <f>VLOOKUP(B25,'Profit Loss-Betul-25-26'!$A$9:$D$141,1,0)</f>
        <v>REPAIRS &amp; MAINTENANCE</v>
      </c>
      <c r="F25">
        <f>VLOOKUP(B25,'Profit Loss-Betul-25-26'!$A$9:$D$141,3,0)</f>
        <v>36466.69</v>
      </c>
      <c r="G25">
        <f t="shared" si="0"/>
        <v>0</v>
      </c>
    </row>
    <row r="26" spans="1:7" x14ac:dyDescent="0.3">
      <c r="A26">
        <v>1021</v>
      </c>
      <c r="B26" t="s">
        <v>57</v>
      </c>
      <c r="C26">
        <v>2.5</v>
      </c>
      <c r="E26" t="str">
        <f>VLOOKUP(B26,'Profit Loss-Betul-25-26'!$A$9:$D$141,1,0)</f>
        <v>KASAR KHATE</v>
      </c>
      <c r="F26">
        <f>VLOOKUP(B26,'Profit Loss-Betul-25-26'!$A$9:$D$141,3,0)</f>
        <v>2.5</v>
      </c>
      <c r="G26">
        <f t="shared" si="0"/>
        <v>0</v>
      </c>
    </row>
    <row r="27" spans="1:7" x14ac:dyDescent="0.3">
      <c r="A27">
        <v>948</v>
      </c>
      <c r="B27" t="s">
        <v>72</v>
      </c>
      <c r="C27">
        <v>56508</v>
      </c>
      <c r="E27" t="str">
        <f>VLOOKUP(B27,'Profit Loss-Betul-25-26'!$A$9:$D$141,1,0)</f>
        <v>CONVEYANCE ALLOWANCE</v>
      </c>
      <c r="F27">
        <f>VLOOKUP(B27,'Profit Loss-Betul-25-26'!$A$9:$D$141,3,0)</f>
        <v>56508</v>
      </c>
      <c r="G27">
        <f t="shared" si="0"/>
        <v>0</v>
      </c>
    </row>
    <row r="28" spans="1:7" x14ac:dyDescent="0.3">
      <c r="A28">
        <v>855</v>
      </c>
      <c r="B28" t="s">
        <v>73</v>
      </c>
      <c r="C28">
        <v>54424</v>
      </c>
      <c r="E28" t="str">
        <f>VLOOKUP(B28,'Profit Loss-Betul-25-26'!$A$9:$D$141,1,0)</f>
        <v>EDUCATION ALLOWANCE</v>
      </c>
      <c r="F28">
        <f>VLOOKUP(B28,'Profit Loss-Betul-25-26'!$A$9:$D$141,3,0)</f>
        <v>54424</v>
      </c>
      <c r="G28">
        <f t="shared" si="0"/>
        <v>0</v>
      </c>
    </row>
    <row r="29" spans="1:7" x14ac:dyDescent="0.3">
      <c r="A29">
        <v>853</v>
      </c>
      <c r="B29" t="s">
        <v>74</v>
      </c>
      <c r="C29">
        <v>85090</v>
      </c>
      <c r="E29" t="str">
        <f>VLOOKUP(B29,'Profit Loss-Betul-25-26'!$A$9:$D$141,1,0)</f>
        <v>HOUSE RENT ALLOWANCE</v>
      </c>
      <c r="F29">
        <f>VLOOKUP(B29,'Profit Loss-Betul-25-26'!$A$9:$D$141,3,0)</f>
        <v>85090</v>
      </c>
      <c r="G29">
        <f t="shared" si="0"/>
        <v>0</v>
      </c>
    </row>
    <row r="30" spans="1:7" x14ac:dyDescent="0.3">
      <c r="A30">
        <v>10208</v>
      </c>
      <c r="B30" t="s">
        <v>78</v>
      </c>
      <c r="C30">
        <v>19246</v>
      </c>
      <c r="E30" t="str">
        <f>VLOOKUP(B30,'Profit Loss-Betul-25-26'!$A$9:$D$141,1,0)</f>
        <v>NEWSPAPER &amp; PERIODICAL ALLOWANCE</v>
      </c>
      <c r="F30">
        <f>VLOOKUP(B30,'Profit Loss-Betul-25-26'!$A$9:$D$141,3,0)</f>
        <v>19246</v>
      </c>
      <c r="G30">
        <f t="shared" si="0"/>
        <v>0</v>
      </c>
    </row>
    <row r="31" spans="1:7" x14ac:dyDescent="0.3">
      <c r="A31">
        <v>851</v>
      </c>
      <c r="B31" t="s">
        <v>81</v>
      </c>
      <c r="C31">
        <v>970022</v>
      </c>
      <c r="E31" t="str">
        <f>VLOOKUP(B31,'Profit Loss-Betul-25-26'!$A$9:$D$141,1,0)</f>
        <v>SALARY &amp; WAGES</v>
      </c>
      <c r="F31">
        <f>VLOOKUP(B31,'Profit Loss-Betul-25-26'!$A$9:$D$141,3,0)</f>
        <v>970022</v>
      </c>
      <c r="G31">
        <f t="shared" si="0"/>
        <v>0</v>
      </c>
    </row>
    <row r="32" spans="1:7" x14ac:dyDescent="0.3">
      <c r="A32">
        <v>1325</v>
      </c>
      <c r="B32" t="s">
        <v>98</v>
      </c>
      <c r="C32">
        <v>3641843</v>
      </c>
      <c r="E32" t="str">
        <f>VLOOKUP(B32,'Profit Loss-Betul-25-26'!$A$9:$D$141,1,0)</f>
        <v>STIPEND</v>
      </c>
      <c r="F32">
        <f>VLOOKUP(B32,'Profit Loss-Betul-25-26'!$A$9:$D$141,3,0)</f>
        <v>3641843</v>
      </c>
      <c r="G32">
        <f t="shared" si="0"/>
        <v>0</v>
      </c>
    </row>
    <row r="33" spans="1:7" x14ac:dyDescent="0.3">
      <c r="A33">
        <v>39011</v>
      </c>
      <c r="B33" t="s">
        <v>83</v>
      </c>
      <c r="C33">
        <v>12294</v>
      </c>
      <c r="E33" t="str">
        <f>VLOOKUP(B33,'Profit Loss-Betul-25-26'!$A$9:$D$141,1,0)</f>
        <v>COMPANY SHARE OF E.S.I.C ACCOUNT</v>
      </c>
      <c r="F33">
        <f>VLOOKUP(B33,'Profit Loss-Betul-25-26'!$A$9:$D$141,3,0)</f>
        <v>23313</v>
      </c>
      <c r="G33">
        <f t="shared" si="0"/>
        <v>-11019</v>
      </c>
    </row>
    <row r="34" spans="1:7" x14ac:dyDescent="0.3">
      <c r="A34">
        <v>38580</v>
      </c>
      <c r="B34" t="s">
        <v>82</v>
      </c>
      <c r="C34">
        <v>42165</v>
      </c>
      <c r="E34" t="str">
        <f>VLOOKUP(B34,'Profit Loss-Betul-25-26'!$A$9:$D$141,1,0)</f>
        <v>COMPANY SHARE OF PF</v>
      </c>
      <c r="F34">
        <f>VLOOKUP(B34,'Profit Loss-Betul-25-26'!$A$9:$D$141,3,0)</f>
        <v>81727</v>
      </c>
      <c r="G34">
        <f t="shared" si="0"/>
        <v>-39562</v>
      </c>
    </row>
    <row r="35" spans="1:7" x14ac:dyDescent="0.3">
      <c r="A35">
        <v>39010</v>
      </c>
      <c r="B35" t="s">
        <v>85</v>
      </c>
      <c r="C35">
        <v>-2524</v>
      </c>
      <c r="E35" t="str">
        <f>VLOOKUP(B35,'Profit Loss-Betul-25-26'!$A$9:$D$141,1,0)</f>
        <v>EMPLOYEE SHARE OF E.S.I.C ACCOUNT</v>
      </c>
      <c r="F35">
        <f>VLOOKUP(B35,'Profit Loss-Betul-25-26'!$A$9:$D$141,3,0)</f>
        <v>0</v>
      </c>
      <c r="G35">
        <f t="shared" si="0"/>
        <v>-2524</v>
      </c>
    </row>
    <row r="36" spans="1:7" x14ac:dyDescent="0.3">
      <c r="A36">
        <v>38579</v>
      </c>
      <c r="B36" t="s">
        <v>86</v>
      </c>
      <c r="C36">
        <v>-39562</v>
      </c>
      <c r="E36" t="str">
        <f>VLOOKUP(B36,'Profit Loss-Betul-25-26'!$A$9:$D$141,1,0)</f>
        <v>EMPLOYEE SHARE OF PF ACCOUNT</v>
      </c>
      <c r="F36">
        <f>VLOOKUP(B36,'Profit Loss-Betul-25-26'!$A$9:$D$141,3,0)</f>
        <v>0</v>
      </c>
      <c r="G36">
        <f t="shared" si="0"/>
        <v>-39562</v>
      </c>
    </row>
    <row r="37" spans="1:7" x14ac:dyDescent="0.3">
      <c r="A37">
        <v>868</v>
      </c>
      <c r="B37" t="s">
        <v>88</v>
      </c>
      <c r="C37">
        <v>3490</v>
      </c>
      <c r="E37" t="str">
        <f>VLOOKUP(B37,'Profit Loss-Betul-25-26'!$A$9:$D$141,1,0)</f>
        <v>P.F. ADMINISTRATION CHARGES</v>
      </c>
      <c r="F37">
        <f>VLOOKUP(B37,'Profit Loss-Betul-25-26'!$A$9:$D$141,3,0)</f>
        <v>6756</v>
      </c>
      <c r="G37">
        <f t="shared" si="0"/>
        <v>-3266</v>
      </c>
    </row>
    <row r="38" spans="1:7" x14ac:dyDescent="0.3">
      <c r="A38">
        <v>858</v>
      </c>
      <c r="B38" t="s">
        <v>89</v>
      </c>
      <c r="C38">
        <v>65954</v>
      </c>
      <c r="E38" t="str">
        <f>VLOOKUP(B38,'Profit Loss-Betul-25-26'!$A$9:$D$141,1,0)</f>
        <v>STAFF/WORKER WELFARE</v>
      </c>
      <c r="F38">
        <f>VLOOKUP(B38,'Profit Loss-Betul-25-26'!$A$9:$D$141,3,0)</f>
        <v>65954</v>
      </c>
      <c r="G38">
        <f t="shared" si="0"/>
        <v>0</v>
      </c>
    </row>
    <row r="39" spans="1:7" x14ac:dyDescent="0.3">
      <c r="A39">
        <v>981</v>
      </c>
      <c r="B39" t="s">
        <v>109</v>
      </c>
      <c r="C39">
        <v>1498.6</v>
      </c>
      <c r="E39" t="str">
        <f>VLOOKUP(B39,'Profit Loss-Betul-25-26'!$A$9:$D$141,1,0)</f>
        <v>BANK CHARGES</v>
      </c>
      <c r="F39">
        <f>VLOOKUP(B39,'Profit Loss-Betul-25-26'!$A$9:$D$141,3,0)</f>
        <v>1498.6</v>
      </c>
      <c r="G39">
        <f t="shared" si="0"/>
        <v>0</v>
      </c>
    </row>
    <row r="40" spans="1:7" x14ac:dyDescent="0.3">
      <c r="C40">
        <f>SUM(C11:C39)</f>
        <v>5698713.5499999998</v>
      </c>
    </row>
    <row r="41" spans="1:7" x14ac:dyDescent="0.3">
      <c r="C41">
        <f>+C10-C40</f>
        <v>-3197615.55</v>
      </c>
    </row>
    <row r="43" spans="1:7" x14ac:dyDescent="0.3">
      <c r="A43" t="s">
        <v>169</v>
      </c>
      <c r="B43" t="s">
        <v>293</v>
      </c>
      <c r="C43">
        <v>0.55000000000000004</v>
      </c>
    </row>
    <row r="94" spans="1:4" x14ac:dyDescent="0.3">
      <c r="A94" t="s">
        <v>171</v>
      </c>
      <c r="B94" t="s">
        <v>294</v>
      </c>
      <c r="C94" t="s">
        <v>259</v>
      </c>
      <c r="D94" t="s">
        <v>155</v>
      </c>
    </row>
    <row r="95" spans="1:4" x14ac:dyDescent="0.3">
      <c r="A95" t="s">
        <v>156</v>
      </c>
      <c r="B95" t="s">
        <v>292</v>
      </c>
      <c r="D95" t="s">
        <v>173</v>
      </c>
    </row>
    <row r="96" spans="1:4" x14ac:dyDescent="0.3">
      <c r="A96" t="s">
        <v>157</v>
      </c>
    </row>
  </sheetData>
  <autoFilter ref="A7:C49" xr:uid="{D66733C1-F417-454B-862F-D1E8D17D544D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54DC-6380-49C0-8CD0-89AFF4C29DC9}">
  <dimension ref="A1:E59"/>
  <sheetViews>
    <sheetView topLeftCell="A6" workbookViewId="0">
      <selection activeCell="B11" sqref="B11:B13"/>
    </sheetView>
  </sheetViews>
  <sheetFormatPr defaultRowHeight="14.4" x14ac:dyDescent="0.3"/>
  <cols>
    <col min="2" max="2" width="44.5546875" customWidth="1"/>
    <col min="3" max="3" width="15.44140625" customWidth="1"/>
    <col min="4" max="4" width="14.109375" customWidth="1"/>
    <col min="6" max="6" width="10" bestFit="1" customWidth="1"/>
  </cols>
  <sheetData>
    <row r="1" spans="1:5" x14ac:dyDescent="0.3">
      <c r="A1" t="s">
        <v>141</v>
      </c>
      <c r="B1" t="s">
        <v>239</v>
      </c>
      <c r="D1" t="s">
        <v>143</v>
      </c>
    </row>
    <row r="2" spans="1:5" x14ac:dyDescent="0.3">
      <c r="A2" t="s">
        <v>141</v>
      </c>
      <c r="B2" t="s">
        <v>254</v>
      </c>
      <c r="D2" t="s">
        <v>143</v>
      </c>
    </row>
    <row r="3" spans="1:5" x14ac:dyDescent="0.3">
      <c r="A3" t="s">
        <v>141</v>
      </c>
      <c r="B3" t="s">
        <v>244</v>
      </c>
      <c r="C3" t="s">
        <v>245</v>
      </c>
      <c r="D3" t="s">
        <v>143</v>
      </c>
    </row>
    <row r="4" spans="1:5" x14ac:dyDescent="0.3">
      <c r="A4" t="s">
        <v>162</v>
      </c>
      <c r="B4" t="s">
        <v>246</v>
      </c>
      <c r="C4" t="s">
        <v>241</v>
      </c>
      <c r="D4" t="s">
        <v>255</v>
      </c>
      <c r="E4" t="s">
        <v>256</v>
      </c>
    </row>
    <row r="5" spans="1:5" x14ac:dyDescent="0.3">
      <c r="A5" t="s">
        <v>146</v>
      </c>
      <c r="B5" t="s">
        <v>146</v>
      </c>
      <c r="C5" t="s">
        <v>147</v>
      </c>
      <c r="D5" t="s">
        <v>148</v>
      </c>
    </row>
    <row r="6" spans="1:5" x14ac:dyDescent="0.3">
      <c r="A6" t="s">
        <v>149</v>
      </c>
      <c r="B6" t="s">
        <v>150</v>
      </c>
      <c r="C6" t="s">
        <v>151</v>
      </c>
      <c r="D6" t="s">
        <v>152</v>
      </c>
    </row>
    <row r="7" spans="1:5" x14ac:dyDescent="0.3">
      <c r="A7" t="s">
        <v>162</v>
      </c>
      <c r="B7" t="s">
        <v>246</v>
      </c>
      <c r="C7" t="s">
        <v>241</v>
      </c>
      <c r="D7" t="s">
        <v>255</v>
      </c>
      <c r="E7" t="s">
        <v>256</v>
      </c>
    </row>
    <row r="8" spans="1:5" x14ac:dyDescent="0.3">
      <c r="A8" t="s">
        <v>3</v>
      </c>
    </row>
    <row r="9" spans="1:5" x14ac:dyDescent="0.3">
      <c r="A9">
        <v>18669</v>
      </c>
      <c r="B9" t="s">
        <v>257</v>
      </c>
      <c r="C9">
        <v>1501872</v>
      </c>
    </row>
    <row r="10" spans="1:5" x14ac:dyDescent="0.3">
      <c r="A10" t="s">
        <v>165</v>
      </c>
      <c r="B10" t="s">
        <v>174</v>
      </c>
      <c r="C10">
        <v>1501872</v>
      </c>
    </row>
    <row r="11" spans="1:5" x14ac:dyDescent="0.3">
      <c r="A11">
        <v>36583</v>
      </c>
      <c r="B11" t="s">
        <v>200</v>
      </c>
      <c r="C11">
        <v>18120</v>
      </c>
    </row>
    <row r="12" spans="1:5" x14ac:dyDescent="0.3">
      <c r="A12">
        <v>815</v>
      </c>
      <c r="B12" t="s">
        <v>40</v>
      </c>
      <c r="C12">
        <v>2730</v>
      </c>
    </row>
    <row r="13" spans="1:5" x14ac:dyDescent="0.3">
      <c r="A13">
        <v>25339</v>
      </c>
      <c r="B13" t="s">
        <v>192</v>
      </c>
      <c r="C13">
        <v>32203.919999999998</v>
      </c>
    </row>
    <row r="14" spans="1:5" x14ac:dyDescent="0.3">
      <c r="A14">
        <v>937</v>
      </c>
      <c r="B14" t="s">
        <v>58</v>
      </c>
      <c r="C14">
        <v>910</v>
      </c>
    </row>
    <row r="15" spans="1:5" x14ac:dyDescent="0.3">
      <c r="A15">
        <v>821</v>
      </c>
      <c r="B15" t="s">
        <v>113</v>
      </c>
      <c r="C15">
        <v>151700</v>
      </c>
    </row>
    <row r="16" spans="1:5" x14ac:dyDescent="0.3">
      <c r="A16">
        <v>932</v>
      </c>
      <c r="B16" t="s">
        <v>54</v>
      </c>
      <c r="C16">
        <v>18532</v>
      </c>
    </row>
    <row r="17" spans="1:3" x14ac:dyDescent="0.3">
      <c r="A17">
        <v>854</v>
      </c>
      <c r="B17" t="s">
        <v>205</v>
      </c>
      <c r="C17">
        <v>3742</v>
      </c>
    </row>
    <row r="18" spans="1:3" x14ac:dyDescent="0.3">
      <c r="A18">
        <v>983</v>
      </c>
      <c r="B18" t="s">
        <v>95</v>
      </c>
      <c r="C18">
        <v>3500</v>
      </c>
    </row>
    <row r="19" spans="1:3" x14ac:dyDescent="0.3">
      <c r="A19">
        <v>926</v>
      </c>
      <c r="B19" t="s">
        <v>207</v>
      </c>
      <c r="C19">
        <v>5185</v>
      </c>
    </row>
    <row r="20" spans="1:3" x14ac:dyDescent="0.3">
      <c r="A20">
        <v>934</v>
      </c>
      <c r="B20" t="s">
        <v>103</v>
      </c>
      <c r="C20">
        <v>825</v>
      </c>
    </row>
    <row r="21" spans="1:3" x14ac:dyDescent="0.3">
      <c r="A21">
        <v>812</v>
      </c>
      <c r="B21" t="s">
        <v>90</v>
      </c>
      <c r="C21">
        <v>9860</v>
      </c>
    </row>
    <row r="22" spans="1:3" x14ac:dyDescent="0.3">
      <c r="A22">
        <v>1021</v>
      </c>
      <c r="B22" t="s">
        <v>57</v>
      </c>
      <c r="C22">
        <v>-3.08</v>
      </c>
    </row>
    <row r="23" spans="1:3" x14ac:dyDescent="0.3">
      <c r="A23">
        <v>948</v>
      </c>
      <c r="B23" t="s">
        <v>72</v>
      </c>
      <c r="C23">
        <v>28254</v>
      </c>
    </row>
    <row r="24" spans="1:3" x14ac:dyDescent="0.3">
      <c r="A24">
        <v>855</v>
      </c>
      <c r="B24" t="s">
        <v>73</v>
      </c>
      <c r="C24">
        <v>27212</v>
      </c>
    </row>
    <row r="25" spans="1:3" x14ac:dyDescent="0.3">
      <c r="A25">
        <v>853</v>
      </c>
      <c r="B25" t="s">
        <v>74</v>
      </c>
      <c r="C25">
        <v>42545</v>
      </c>
    </row>
    <row r="26" spans="1:3" x14ac:dyDescent="0.3">
      <c r="A26">
        <v>10208</v>
      </c>
      <c r="B26" t="s">
        <v>78</v>
      </c>
      <c r="C26">
        <v>9623</v>
      </c>
    </row>
    <row r="27" spans="1:3" x14ac:dyDescent="0.3">
      <c r="A27">
        <v>851</v>
      </c>
      <c r="B27" t="s">
        <v>81</v>
      </c>
      <c r="C27">
        <v>493048</v>
      </c>
    </row>
    <row r="28" spans="1:3" x14ac:dyDescent="0.3">
      <c r="A28">
        <v>1325</v>
      </c>
      <c r="B28" t="s">
        <v>98</v>
      </c>
      <c r="C28">
        <v>1881930</v>
      </c>
    </row>
    <row r="29" spans="1:3" x14ac:dyDescent="0.3">
      <c r="A29">
        <v>39010</v>
      </c>
      <c r="B29" t="s">
        <v>85</v>
      </c>
      <c r="C29">
        <v>-2838</v>
      </c>
    </row>
    <row r="30" spans="1:3" x14ac:dyDescent="0.3">
      <c r="A30">
        <v>38579</v>
      </c>
      <c r="B30" t="s">
        <v>86</v>
      </c>
      <c r="C30">
        <v>-42165</v>
      </c>
    </row>
    <row r="31" spans="1:3" x14ac:dyDescent="0.3">
      <c r="A31">
        <v>858</v>
      </c>
      <c r="B31" t="s">
        <v>89</v>
      </c>
      <c r="C31">
        <v>5867</v>
      </c>
    </row>
    <row r="32" spans="1:3" x14ac:dyDescent="0.3">
      <c r="A32">
        <v>981</v>
      </c>
      <c r="B32" t="s">
        <v>109</v>
      </c>
      <c r="C32">
        <v>765.82</v>
      </c>
    </row>
    <row r="33" spans="1:5" x14ac:dyDescent="0.3">
      <c r="B33" t="s">
        <v>263</v>
      </c>
      <c r="C33">
        <f>SUM(C11:C32)</f>
        <v>2691546.6599999997</v>
      </c>
      <c r="D33">
        <v>2691546.66</v>
      </c>
    </row>
    <row r="34" spans="1:5" x14ac:dyDescent="0.3">
      <c r="C34">
        <f>+C10-C33</f>
        <v>-1189674.6599999997</v>
      </c>
    </row>
    <row r="35" spans="1:5" x14ac:dyDescent="0.3">
      <c r="A35" t="s">
        <v>169</v>
      </c>
      <c r="B35" t="s">
        <v>258</v>
      </c>
      <c r="C35">
        <v>0.66</v>
      </c>
    </row>
    <row r="38" spans="1:5" x14ac:dyDescent="0.3">
      <c r="A38" t="s">
        <v>171</v>
      </c>
      <c r="B38" t="s">
        <v>249</v>
      </c>
      <c r="C38" t="s">
        <v>242</v>
      </c>
      <c r="D38" t="s">
        <v>259</v>
      </c>
      <c r="E38" t="s">
        <v>242</v>
      </c>
    </row>
    <row r="39" spans="1:5" x14ac:dyDescent="0.3">
      <c r="A39" t="s">
        <v>156</v>
      </c>
      <c r="B39" t="s">
        <v>260</v>
      </c>
      <c r="D39" t="s">
        <v>261</v>
      </c>
      <c r="E39" t="s">
        <v>262</v>
      </c>
    </row>
    <row r="40" spans="1:5" x14ac:dyDescent="0.3">
      <c r="A40" t="s">
        <v>157</v>
      </c>
    </row>
    <row r="59" spans="2:3" x14ac:dyDescent="0.3">
      <c r="B59" s="53"/>
      <c r="C59" s="53"/>
    </row>
  </sheetData>
  <autoFilter ref="A7:C43" xr:uid="{27DC54DC-6380-49C0-8CD0-89AFF4C29DC9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83F7-088C-4FC4-8211-74497B9FA2B6}">
  <dimension ref="A1:C156"/>
  <sheetViews>
    <sheetView zoomScaleNormal="100" zoomScaleSheetLayoutView="100" workbookViewId="0">
      <selection activeCell="B8" sqref="B8:B157"/>
    </sheetView>
  </sheetViews>
  <sheetFormatPr defaultRowHeight="14.4" x14ac:dyDescent="0.3"/>
  <cols>
    <col min="1" max="1" width="45.88671875" customWidth="1"/>
    <col min="2" max="2" width="17.88671875" style="2" customWidth="1"/>
    <col min="3" max="3" width="12" bestFit="1" customWidth="1"/>
  </cols>
  <sheetData>
    <row r="1" spans="1:3" x14ac:dyDescent="0.3">
      <c r="A1" s="1" t="s">
        <v>0</v>
      </c>
    </row>
    <row r="2" spans="1:3" x14ac:dyDescent="0.3">
      <c r="A2" s="3"/>
    </row>
    <row r="3" spans="1:3" x14ac:dyDescent="0.3">
      <c r="A3" s="4" t="s">
        <v>158</v>
      </c>
    </row>
    <row r="4" spans="1:3" x14ac:dyDescent="0.3">
      <c r="B4" s="5" t="s">
        <v>1</v>
      </c>
    </row>
    <row r="5" spans="1:3" x14ac:dyDescent="0.3">
      <c r="A5" s="6" t="s">
        <v>2</v>
      </c>
      <c r="B5" s="7" t="s">
        <v>159</v>
      </c>
    </row>
    <row r="6" spans="1:3" x14ac:dyDescent="0.3">
      <c r="A6" s="8" t="s">
        <v>3</v>
      </c>
      <c r="B6" s="9"/>
    </row>
    <row r="7" spans="1:3" x14ac:dyDescent="0.3">
      <c r="A7" s="8" t="s">
        <v>4</v>
      </c>
      <c r="B7" s="9"/>
    </row>
    <row r="8" spans="1:3" x14ac:dyDescent="0.3">
      <c r="A8" s="10" t="s">
        <v>5</v>
      </c>
      <c r="B8" s="11"/>
    </row>
    <row r="9" spans="1:3" x14ac:dyDescent="0.3">
      <c r="A9" s="10" t="s">
        <v>6</v>
      </c>
      <c r="B9" s="11"/>
    </row>
    <row r="10" spans="1:3" x14ac:dyDescent="0.3">
      <c r="A10" s="10" t="s">
        <v>7</v>
      </c>
      <c r="B10" s="11"/>
    </row>
    <row r="11" spans="1:3" x14ac:dyDescent="0.3">
      <c r="A11" s="10" t="s">
        <v>8</v>
      </c>
      <c r="B11" s="11"/>
    </row>
    <row r="12" spans="1:3" s="15" customFormat="1" x14ac:dyDescent="0.3">
      <c r="A12" s="13" t="s">
        <v>9</v>
      </c>
      <c r="B12" s="14"/>
      <c r="C12" s="12">
        <f>+'April,25.'!C15-B12-B133</f>
        <v>162521559.21000001</v>
      </c>
    </row>
    <row r="13" spans="1:3" s="15" customFormat="1" x14ac:dyDescent="0.3">
      <c r="A13" s="8" t="s">
        <v>10</v>
      </c>
      <c r="B13" s="16"/>
    </row>
    <row r="14" spans="1:3" x14ac:dyDescent="0.3">
      <c r="A14" t="s">
        <v>11</v>
      </c>
      <c r="B14" s="11"/>
    </row>
    <row r="15" spans="1:3" x14ac:dyDescent="0.3">
      <c r="A15" s="10" t="s">
        <v>12</v>
      </c>
      <c r="B15" s="11"/>
    </row>
    <row r="16" spans="1:3" x14ac:dyDescent="0.3">
      <c r="A16" s="10" t="s">
        <v>13</v>
      </c>
      <c r="B16" s="11"/>
    </row>
    <row r="17" spans="1:2" x14ac:dyDescent="0.3">
      <c r="A17" s="10" t="s">
        <v>14</v>
      </c>
      <c r="B17" s="11"/>
    </row>
    <row r="18" spans="1:2" x14ac:dyDescent="0.3">
      <c r="A18" s="10" t="s">
        <v>15</v>
      </c>
      <c r="B18" s="11"/>
    </row>
    <row r="19" spans="1:2" x14ac:dyDescent="0.3">
      <c r="A19" s="10" t="s">
        <v>16</v>
      </c>
      <c r="B19" s="11"/>
    </row>
    <row r="20" spans="1:2" x14ac:dyDescent="0.3">
      <c r="A20" t="s">
        <v>17</v>
      </c>
      <c r="B20" s="11"/>
    </row>
    <row r="21" spans="1:2" x14ac:dyDescent="0.3">
      <c r="A21" s="10" t="s">
        <v>18</v>
      </c>
      <c r="B21" s="11"/>
    </row>
    <row r="22" spans="1:2" x14ac:dyDescent="0.3">
      <c r="A22" s="10" t="s">
        <v>19</v>
      </c>
      <c r="B22" s="11"/>
    </row>
    <row r="23" spans="1:2" x14ac:dyDescent="0.3">
      <c r="A23" t="s">
        <v>20</v>
      </c>
      <c r="B23" s="11"/>
    </row>
    <row r="24" spans="1:2" x14ac:dyDescent="0.3">
      <c r="A24" s="10" t="s">
        <v>21</v>
      </c>
      <c r="B24" s="11"/>
    </row>
    <row r="25" spans="1:2" x14ac:dyDescent="0.3">
      <c r="A25" t="s">
        <v>22</v>
      </c>
      <c r="B25" s="11"/>
    </row>
    <row r="26" spans="1:2" x14ac:dyDescent="0.3">
      <c r="A26" s="10" t="s">
        <v>23</v>
      </c>
      <c r="B26" s="11"/>
    </row>
    <row r="27" spans="1:2" s="15" customFormat="1" x14ac:dyDescent="0.3">
      <c r="A27" s="13" t="s">
        <v>24</v>
      </c>
      <c r="B27" s="14"/>
    </row>
    <row r="28" spans="1:2" s="15" customFormat="1" x14ac:dyDescent="0.3">
      <c r="A28" s="17" t="s">
        <v>25</v>
      </c>
      <c r="B28" s="18"/>
    </row>
    <row r="29" spans="1:2" s="15" customFormat="1" x14ac:dyDescent="0.3">
      <c r="A29" s="8" t="s">
        <v>26</v>
      </c>
      <c r="B29" s="16"/>
    </row>
    <row r="30" spans="1:2" s="15" customFormat="1" x14ac:dyDescent="0.3">
      <c r="A30" s="10" t="s">
        <v>27</v>
      </c>
      <c r="B30" s="11"/>
    </row>
    <row r="31" spans="1:2" s="15" customFormat="1" x14ac:dyDescent="0.3">
      <c r="A31" t="s">
        <v>28</v>
      </c>
      <c r="B31" s="11"/>
    </row>
    <row r="32" spans="1:2" s="15" customFormat="1" x14ac:dyDescent="0.3">
      <c r="A32" t="s">
        <v>29</v>
      </c>
      <c r="B32" s="11"/>
    </row>
    <row r="33" spans="1:2" s="15" customFormat="1" x14ac:dyDescent="0.3">
      <c r="A33" s="10" t="s">
        <v>30</v>
      </c>
      <c r="B33" s="11"/>
    </row>
    <row r="34" spans="1:2" s="15" customFormat="1" x14ac:dyDescent="0.3">
      <c r="A34" s="10" t="s">
        <v>30</v>
      </c>
      <c r="B34" s="11"/>
    </row>
    <row r="35" spans="1:2" x14ac:dyDescent="0.3">
      <c r="A35" s="13" t="s">
        <v>31</v>
      </c>
      <c r="B35" s="14"/>
    </row>
    <row r="36" spans="1:2" x14ac:dyDescent="0.3">
      <c r="A36" s="17" t="s">
        <v>32</v>
      </c>
      <c r="B36" s="18"/>
    </row>
    <row r="37" spans="1:2" x14ac:dyDescent="0.3">
      <c r="A37" s="8"/>
      <c r="B37" s="16"/>
    </row>
    <row r="38" spans="1:2" x14ac:dyDescent="0.3">
      <c r="A38" s="8" t="s">
        <v>33</v>
      </c>
      <c r="B38" s="16"/>
    </row>
    <row r="39" spans="1:2" x14ac:dyDescent="0.3">
      <c r="A39" s="13" t="s">
        <v>34</v>
      </c>
      <c r="B39" s="19"/>
    </row>
    <row r="40" spans="1:2" x14ac:dyDescent="0.3">
      <c r="A40" s="10" t="s">
        <v>35</v>
      </c>
      <c r="B40" s="11"/>
    </row>
    <row r="41" spans="1:2" x14ac:dyDescent="0.3">
      <c r="A41" s="10" t="s">
        <v>36</v>
      </c>
      <c r="B41" s="11"/>
    </row>
    <row r="42" spans="1:2" x14ac:dyDescent="0.3">
      <c r="A42" s="10" t="s">
        <v>37</v>
      </c>
      <c r="B42" s="11"/>
    </row>
    <row r="43" spans="1:2" x14ac:dyDescent="0.3">
      <c r="A43" t="s">
        <v>38</v>
      </c>
      <c r="B43" s="11"/>
    </row>
    <row r="44" spans="1:2" x14ac:dyDescent="0.3">
      <c r="A44" s="20" t="s">
        <v>39</v>
      </c>
      <c r="B44" s="11"/>
    </row>
    <row r="45" spans="1:2" x14ac:dyDescent="0.3">
      <c r="A45" s="10" t="s">
        <v>40</v>
      </c>
      <c r="B45" s="11"/>
    </row>
    <row r="46" spans="1:2" x14ac:dyDescent="0.3">
      <c r="A46" t="s">
        <v>41</v>
      </c>
      <c r="B46" s="11"/>
    </row>
    <row r="47" spans="1:2" x14ac:dyDescent="0.3">
      <c r="A47" s="10" t="s">
        <v>42</v>
      </c>
      <c r="B47" s="11"/>
    </row>
    <row r="48" spans="1:2" x14ac:dyDescent="0.3">
      <c r="A48" s="10" t="s">
        <v>43</v>
      </c>
      <c r="B48" s="11"/>
    </row>
    <row r="49" spans="1:2" x14ac:dyDescent="0.3">
      <c r="A49" s="10" t="s">
        <v>44</v>
      </c>
      <c r="B49" s="11"/>
    </row>
    <row r="50" spans="1:2" x14ac:dyDescent="0.3">
      <c r="A50" s="10" t="s">
        <v>69</v>
      </c>
      <c r="B50" s="11"/>
    </row>
    <row r="51" spans="1:2" x14ac:dyDescent="0.3">
      <c r="A51" s="10" t="s">
        <v>46</v>
      </c>
      <c r="B51" s="11"/>
    </row>
    <row r="52" spans="1:2" x14ac:dyDescent="0.3">
      <c r="A52" s="10" t="s">
        <v>47</v>
      </c>
      <c r="B52" s="11"/>
    </row>
    <row r="53" spans="1:2" x14ac:dyDescent="0.3">
      <c r="A53" s="10" t="s">
        <v>48</v>
      </c>
      <c r="B53" s="11"/>
    </row>
    <row r="54" spans="1:2" x14ac:dyDescent="0.3">
      <c r="A54" s="10" t="s">
        <v>49</v>
      </c>
      <c r="B54" s="11"/>
    </row>
    <row r="55" spans="1:2" x14ac:dyDescent="0.3">
      <c r="A55" s="13" t="s">
        <v>50</v>
      </c>
      <c r="B55" s="14"/>
    </row>
    <row r="56" spans="1:2" x14ac:dyDescent="0.3">
      <c r="A56" s="21" t="s">
        <v>51</v>
      </c>
      <c r="B56" s="22"/>
    </row>
    <row r="57" spans="1:2" x14ac:dyDescent="0.3">
      <c r="A57" s="21" t="s">
        <v>52</v>
      </c>
      <c r="B57" s="23"/>
    </row>
    <row r="58" spans="1:2" x14ac:dyDescent="0.3">
      <c r="A58" s="24" t="s">
        <v>53</v>
      </c>
      <c r="B58" s="16"/>
    </row>
    <row r="59" spans="1:2" x14ac:dyDescent="0.3">
      <c r="A59" s="10" t="s">
        <v>54</v>
      </c>
      <c r="B59" s="11"/>
    </row>
    <row r="60" spans="1:2" x14ac:dyDescent="0.3">
      <c r="A60" s="10" t="s">
        <v>55</v>
      </c>
      <c r="B60" s="11"/>
    </row>
    <row r="61" spans="1:2" x14ac:dyDescent="0.3">
      <c r="A61" s="10" t="s">
        <v>56</v>
      </c>
      <c r="B61" s="11"/>
    </row>
    <row r="62" spans="1:2" x14ac:dyDescent="0.3">
      <c r="A62" s="10" t="s">
        <v>57</v>
      </c>
      <c r="B62" s="11"/>
    </row>
    <row r="63" spans="1:2" x14ac:dyDescent="0.3">
      <c r="A63" s="10" t="s">
        <v>58</v>
      </c>
      <c r="B63" s="11"/>
    </row>
    <row r="64" spans="1:2" x14ac:dyDescent="0.3">
      <c r="A64" s="10" t="s">
        <v>59</v>
      </c>
      <c r="B64" s="11"/>
    </row>
    <row r="65" spans="1:2" x14ac:dyDescent="0.3">
      <c r="A65" s="10" t="s">
        <v>45</v>
      </c>
      <c r="B65" s="11"/>
    </row>
    <row r="66" spans="1:2" x14ac:dyDescent="0.3">
      <c r="A66" s="10" t="s">
        <v>60</v>
      </c>
      <c r="B66" s="11"/>
    </row>
    <row r="67" spans="1:2" x14ac:dyDescent="0.3">
      <c r="A67" t="s">
        <v>61</v>
      </c>
      <c r="B67" s="11"/>
    </row>
    <row r="68" spans="1:2" x14ac:dyDescent="0.3">
      <c r="A68" s="10" t="s">
        <v>62</v>
      </c>
      <c r="B68" s="11"/>
    </row>
    <row r="69" spans="1:2" x14ac:dyDescent="0.3">
      <c r="A69" s="10" t="s">
        <v>63</v>
      </c>
      <c r="B69" s="11"/>
    </row>
    <row r="70" spans="1:2" x14ac:dyDescent="0.3">
      <c r="A70" s="10" t="s">
        <v>64</v>
      </c>
      <c r="B70" s="11"/>
    </row>
    <row r="71" spans="1:2" x14ac:dyDescent="0.3">
      <c r="A71" s="10" t="s">
        <v>65</v>
      </c>
      <c r="B71" s="11"/>
    </row>
    <row r="72" spans="1:2" x14ac:dyDescent="0.3">
      <c r="A72" s="10" t="s">
        <v>66</v>
      </c>
      <c r="B72" s="11"/>
    </row>
    <row r="73" spans="1:2" x14ac:dyDescent="0.3">
      <c r="A73" s="10" t="s">
        <v>67</v>
      </c>
      <c r="B73" s="11"/>
    </row>
    <row r="74" spans="1:2" x14ac:dyDescent="0.3">
      <c r="A74" s="10" t="s">
        <v>68</v>
      </c>
      <c r="B74" s="11"/>
    </row>
    <row r="75" spans="1:2" x14ac:dyDescent="0.3">
      <c r="A75" s="10" t="s">
        <v>70</v>
      </c>
      <c r="B75" s="11"/>
    </row>
    <row r="76" spans="1:2" x14ac:dyDescent="0.3">
      <c r="A76" s="10" t="s">
        <v>71</v>
      </c>
      <c r="B76" s="11"/>
    </row>
    <row r="77" spans="1:2" x14ac:dyDescent="0.3">
      <c r="A77" s="10" t="s">
        <v>72</v>
      </c>
      <c r="B77" s="11"/>
    </row>
    <row r="78" spans="1:2" x14ac:dyDescent="0.3">
      <c r="A78" s="10" t="s">
        <v>73</v>
      </c>
      <c r="B78" s="11"/>
    </row>
    <row r="79" spans="1:2" x14ac:dyDescent="0.3">
      <c r="A79" s="10" t="s">
        <v>74</v>
      </c>
      <c r="B79" s="11"/>
    </row>
    <row r="80" spans="1:2" x14ac:dyDescent="0.3">
      <c r="A80" t="s">
        <v>75</v>
      </c>
      <c r="B80" s="11"/>
    </row>
    <row r="81" spans="1:2" x14ac:dyDescent="0.3">
      <c r="A81" s="20" t="s">
        <v>76</v>
      </c>
      <c r="B81" s="11"/>
    </row>
    <row r="82" spans="1:2" x14ac:dyDescent="0.3">
      <c r="A82" s="20" t="s">
        <v>77</v>
      </c>
      <c r="B82" s="11"/>
    </row>
    <row r="83" spans="1:2" x14ac:dyDescent="0.3">
      <c r="A83" s="10" t="s">
        <v>78</v>
      </c>
      <c r="B83" s="11"/>
    </row>
    <row r="84" spans="1:2" x14ac:dyDescent="0.3">
      <c r="A84" s="10" t="s">
        <v>79</v>
      </c>
      <c r="B84" s="11"/>
    </row>
    <row r="85" spans="1:2" x14ac:dyDescent="0.3">
      <c r="A85" s="10" t="s">
        <v>80</v>
      </c>
      <c r="B85" s="11"/>
    </row>
    <row r="86" spans="1:2" x14ac:dyDescent="0.3">
      <c r="A86" s="10" t="s">
        <v>81</v>
      </c>
      <c r="B86" s="11"/>
    </row>
    <row r="87" spans="1:2" x14ac:dyDescent="0.3">
      <c r="A87" s="10" t="s">
        <v>82</v>
      </c>
      <c r="B87" s="11"/>
    </row>
    <row r="88" spans="1:2" x14ac:dyDescent="0.3">
      <c r="A88" s="10" t="s">
        <v>83</v>
      </c>
      <c r="B88" s="11"/>
    </row>
    <row r="89" spans="1:2" x14ac:dyDescent="0.3">
      <c r="A89" s="10" t="s">
        <v>84</v>
      </c>
      <c r="B89" s="11"/>
    </row>
    <row r="90" spans="1:2" x14ac:dyDescent="0.3">
      <c r="A90" s="10" t="s">
        <v>85</v>
      </c>
      <c r="B90" s="11"/>
    </row>
    <row r="91" spans="1:2" x14ac:dyDescent="0.3">
      <c r="A91" s="25" t="s">
        <v>86</v>
      </c>
      <c r="B91" s="11"/>
    </row>
    <row r="92" spans="1:2" x14ac:dyDescent="0.3">
      <c r="A92" s="10" t="s">
        <v>87</v>
      </c>
      <c r="B92" s="11"/>
    </row>
    <row r="93" spans="1:2" x14ac:dyDescent="0.3">
      <c r="A93" s="10" t="s">
        <v>88</v>
      </c>
      <c r="B93" s="11"/>
    </row>
    <row r="94" spans="1:2" x14ac:dyDescent="0.3">
      <c r="A94" s="10" t="s">
        <v>89</v>
      </c>
      <c r="B94" s="11"/>
    </row>
    <row r="95" spans="1:2" x14ac:dyDescent="0.3">
      <c r="A95" s="10" t="s">
        <v>90</v>
      </c>
      <c r="B95" s="11"/>
    </row>
    <row r="96" spans="1:2" x14ac:dyDescent="0.3">
      <c r="A96" s="10" t="s">
        <v>91</v>
      </c>
      <c r="B96" s="11"/>
    </row>
    <row r="97" spans="1:2" x14ac:dyDescent="0.3">
      <c r="A97" s="10" t="s">
        <v>92</v>
      </c>
      <c r="B97" s="11"/>
    </row>
    <row r="98" spans="1:2" x14ac:dyDescent="0.3">
      <c r="A98" t="s">
        <v>93</v>
      </c>
      <c r="B98" s="11"/>
    </row>
    <row r="99" spans="1:2" x14ac:dyDescent="0.3">
      <c r="A99" s="10" t="s">
        <v>94</v>
      </c>
      <c r="B99" s="11"/>
    </row>
    <row r="100" spans="1:2" x14ac:dyDescent="0.3">
      <c r="A100" s="10" t="s">
        <v>95</v>
      </c>
      <c r="B100" s="11"/>
    </row>
    <row r="101" spans="1:2" x14ac:dyDescent="0.3">
      <c r="A101" t="s">
        <v>96</v>
      </c>
      <c r="B101" s="11"/>
    </row>
    <row r="102" spans="1:2" x14ac:dyDescent="0.3">
      <c r="A102" s="10" t="s">
        <v>97</v>
      </c>
      <c r="B102" s="11"/>
    </row>
    <row r="103" spans="1:2" x14ac:dyDescent="0.3">
      <c r="A103" s="10" t="s">
        <v>98</v>
      </c>
      <c r="B103" s="11"/>
    </row>
    <row r="104" spans="1:2" x14ac:dyDescent="0.3">
      <c r="A104" t="s">
        <v>99</v>
      </c>
      <c r="B104" s="11"/>
    </row>
    <row r="105" spans="1:2" x14ac:dyDescent="0.3">
      <c r="A105" t="s">
        <v>100</v>
      </c>
      <c r="B105" s="11"/>
    </row>
    <row r="106" spans="1:2" x14ac:dyDescent="0.3">
      <c r="A106" t="s">
        <v>101</v>
      </c>
      <c r="B106" s="11"/>
    </row>
    <row r="107" spans="1:2" x14ac:dyDescent="0.3">
      <c r="A107" t="s">
        <v>102</v>
      </c>
      <c r="B107" s="11"/>
    </row>
    <row r="108" spans="1:2" x14ac:dyDescent="0.3">
      <c r="A108" s="10" t="s">
        <v>103</v>
      </c>
      <c r="B108" s="11"/>
    </row>
    <row r="109" spans="1:2" x14ac:dyDescent="0.3">
      <c r="A109" t="s">
        <v>104</v>
      </c>
      <c r="B109" s="11"/>
    </row>
    <row r="110" spans="1:2" x14ac:dyDescent="0.3">
      <c r="A110" s="10" t="s">
        <v>105</v>
      </c>
      <c r="B110" s="11"/>
    </row>
    <row r="111" spans="1:2" x14ac:dyDescent="0.3">
      <c r="A111" s="10" t="s">
        <v>106</v>
      </c>
      <c r="B111" s="11"/>
    </row>
    <row r="112" spans="1:2" x14ac:dyDescent="0.3">
      <c r="A112" s="10" t="s">
        <v>107</v>
      </c>
      <c r="B112" s="11"/>
    </row>
    <row r="113" spans="1:2" x14ac:dyDescent="0.3">
      <c r="A113" s="25" t="s">
        <v>108</v>
      </c>
      <c r="B113" s="11"/>
    </row>
    <row r="114" spans="1:2" x14ac:dyDescent="0.3">
      <c r="A114" s="10" t="s">
        <v>109</v>
      </c>
      <c r="B114" s="11"/>
    </row>
    <row r="115" spans="1:2" x14ac:dyDescent="0.3">
      <c r="A115" s="10" t="s">
        <v>110</v>
      </c>
      <c r="B115" s="11"/>
    </row>
    <row r="116" spans="1:2" x14ac:dyDescent="0.3">
      <c r="A116" t="s">
        <v>111</v>
      </c>
      <c r="B116" s="11"/>
    </row>
    <row r="117" spans="1:2" x14ac:dyDescent="0.3">
      <c r="A117" s="10" t="s">
        <v>112</v>
      </c>
      <c r="B117" s="11"/>
    </row>
    <row r="118" spans="1:2" x14ac:dyDescent="0.3">
      <c r="A118" t="s">
        <v>113</v>
      </c>
      <c r="B118" s="11"/>
    </row>
    <row r="119" spans="1:2" x14ac:dyDescent="0.3">
      <c r="A119" s="10" t="s">
        <v>114</v>
      </c>
      <c r="B119" s="11"/>
    </row>
    <row r="120" spans="1:2" x14ac:dyDescent="0.3">
      <c r="A120" s="10" t="s">
        <v>115</v>
      </c>
      <c r="B120" s="16"/>
    </row>
    <row r="121" spans="1:2" x14ac:dyDescent="0.3">
      <c r="A121" s="13" t="s">
        <v>116</v>
      </c>
      <c r="B121" s="14"/>
    </row>
    <row r="122" spans="1:2" x14ac:dyDescent="0.3">
      <c r="A122" s="8"/>
      <c r="B122" s="16"/>
    </row>
    <row r="123" spans="1:2" x14ac:dyDescent="0.3">
      <c r="A123" s="13" t="s">
        <v>117</v>
      </c>
      <c r="B123" s="14"/>
    </row>
    <row r="124" spans="1:2" x14ac:dyDescent="0.3">
      <c r="A124" s="8"/>
      <c r="B124" s="16"/>
    </row>
    <row r="125" spans="1:2" x14ac:dyDescent="0.3">
      <c r="A125" s="8" t="s">
        <v>118</v>
      </c>
      <c r="B125" s="11"/>
    </row>
    <row r="126" spans="1:2" x14ac:dyDescent="0.3">
      <c r="A126" s="10" t="s">
        <v>119</v>
      </c>
      <c r="B126" s="11"/>
    </row>
    <row r="127" spans="1:2" x14ac:dyDescent="0.3">
      <c r="A127" s="10" t="s">
        <v>120</v>
      </c>
      <c r="B127" s="11"/>
    </row>
    <row r="128" spans="1:2" x14ac:dyDescent="0.3">
      <c r="A128" s="10" t="s">
        <v>121</v>
      </c>
      <c r="B128" s="11"/>
    </row>
    <row r="129" spans="1:2" x14ac:dyDescent="0.3">
      <c r="A129" s="10" t="s">
        <v>122</v>
      </c>
      <c r="B129" s="11"/>
    </row>
    <row r="130" spans="1:2" x14ac:dyDescent="0.3">
      <c r="A130" s="10" t="s">
        <v>123</v>
      </c>
      <c r="B130" s="11"/>
    </row>
    <row r="131" spans="1:2" ht="16.2" customHeight="1" x14ac:dyDescent="0.3">
      <c r="A131" s="10" t="s">
        <v>124</v>
      </c>
      <c r="B131" s="11"/>
    </row>
    <row r="132" spans="1:2" x14ac:dyDescent="0.3">
      <c r="A132" s="10" t="s">
        <v>125</v>
      </c>
      <c r="B132" s="11"/>
    </row>
    <row r="133" spans="1:2" x14ac:dyDescent="0.3">
      <c r="A133" s="13" t="s">
        <v>126</v>
      </c>
      <c r="B133" s="14"/>
    </row>
    <row r="134" spans="1:2" x14ac:dyDescent="0.3">
      <c r="A134" s="8"/>
      <c r="B134" s="16"/>
    </row>
    <row r="135" spans="1:2" s="15" customFormat="1" x14ac:dyDescent="0.3">
      <c r="A135" s="17" t="s">
        <v>127</v>
      </c>
      <c r="B135" s="18"/>
    </row>
    <row r="136" spans="1:2" s="15" customFormat="1" x14ac:dyDescent="0.3">
      <c r="B136" s="5"/>
    </row>
    <row r="137" spans="1:2" s="15" customFormat="1" x14ac:dyDescent="0.3">
      <c r="B137" s="5"/>
    </row>
    <row r="138" spans="1:2" s="15" customFormat="1" x14ac:dyDescent="0.3">
      <c r="B138" s="5"/>
    </row>
    <row r="139" spans="1:2" s="15" customFormat="1" x14ac:dyDescent="0.3">
      <c r="A139" s="15" t="s">
        <v>128</v>
      </c>
      <c r="B139" s="5"/>
    </row>
    <row r="140" spans="1:2" s="15" customFormat="1" x14ac:dyDescent="0.3">
      <c r="B140" s="5"/>
    </row>
    <row r="141" spans="1:2" s="15" customFormat="1" x14ac:dyDescent="0.3">
      <c r="A141" s="10" t="s">
        <v>129</v>
      </c>
      <c r="B141" s="26"/>
    </row>
    <row r="142" spans="1:2" s="15" customFormat="1" x14ac:dyDescent="0.3">
      <c r="A142" s="10" t="s">
        <v>130</v>
      </c>
      <c r="B142" s="26"/>
    </row>
    <row r="143" spans="1:2" s="15" customFormat="1" x14ac:dyDescent="0.3">
      <c r="A143" s="10" t="s">
        <v>131</v>
      </c>
      <c r="B143" s="26"/>
    </row>
    <row r="144" spans="1:2" s="15" customFormat="1" x14ac:dyDescent="0.3">
      <c r="A144" s="10" t="s">
        <v>132</v>
      </c>
      <c r="B144" s="26"/>
    </row>
    <row r="145" spans="1:2" s="15" customFormat="1" x14ac:dyDescent="0.3">
      <c r="A145" s="10" t="s">
        <v>133</v>
      </c>
      <c r="B145" s="26"/>
    </row>
    <row r="146" spans="1:2" s="15" customFormat="1" x14ac:dyDescent="0.3">
      <c r="A146" s="10" t="s">
        <v>134</v>
      </c>
      <c r="B146" s="26"/>
    </row>
    <row r="147" spans="1:2" s="15" customFormat="1" x14ac:dyDescent="0.3">
      <c r="A147" s="10" t="s">
        <v>135</v>
      </c>
      <c r="B147" s="26"/>
    </row>
    <row r="148" spans="1:2" s="15" customFormat="1" x14ac:dyDescent="0.3">
      <c r="A148" s="8" t="s">
        <v>136</v>
      </c>
      <c r="B148" s="27"/>
    </row>
    <row r="149" spans="1:2" s="15" customFormat="1" x14ac:dyDescent="0.3">
      <c r="B149" s="2"/>
    </row>
    <row r="150" spans="1:2" s="15" customFormat="1" x14ac:dyDescent="0.3">
      <c r="A150" s="8" t="s">
        <v>137</v>
      </c>
      <c r="B150" s="27"/>
    </row>
    <row r="151" spans="1:2" s="15" customFormat="1" x14ac:dyDescent="0.3">
      <c r="B151" s="5"/>
    </row>
    <row r="152" spans="1:2" x14ac:dyDescent="0.3">
      <c r="A152" s="17" t="s">
        <v>138</v>
      </c>
      <c r="B152" s="28"/>
    </row>
    <row r="154" spans="1:2" x14ac:dyDescent="0.3">
      <c r="A154" s="17" t="s">
        <v>139</v>
      </c>
      <c r="B154" s="28"/>
    </row>
    <row r="156" spans="1:2" x14ac:dyDescent="0.3">
      <c r="A156" s="29" t="s">
        <v>140</v>
      </c>
      <c r="B156" s="29"/>
    </row>
  </sheetData>
  <pageMargins left="0.70866141732283472" right="0.70866141732283472" top="0.74803149606299213" bottom="0.74803149606299213" header="0.31496062992125984" footer="0.31496062992125984"/>
  <pageSetup paperSize="9" scale="3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8E2E-7A7F-45FB-8D7F-EE0780003E6D}">
  <dimension ref="A1:H90"/>
  <sheetViews>
    <sheetView topLeftCell="A7" workbookViewId="0">
      <selection activeCell="B114" sqref="B114"/>
    </sheetView>
  </sheetViews>
  <sheetFormatPr defaultRowHeight="14.4" x14ac:dyDescent="0.3"/>
  <cols>
    <col min="2" max="2" width="44.5546875" customWidth="1"/>
    <col min="3" max="3" width="15.44140625" customWidth="1"/>
    <col min="4" max="4" width="14.109375" customWidth="1"/>
    <col min="6" max="6" width="10" bestFit="1" customWidth="1"/>
  </cols>
  <sheetData>
    <row r="1" spans="1:8" x14ac:dyDescent="0.3">
      <c r="A1" t="s">
        <v>141</v>
      </c>
      <c r="B1" t="s">
        <v>239</v>
      </c>
      <c r="D1" t="s">
        <v>143</v>
      </c>
    </row>
    <row r="2" spans="1:8" x14ac:dyDescent="0.3">
      <c r="A2" t="s">
        <v>141</v>
      </c>
      <c r="B2" t="s">
        <v>240</v>
      </c>
      <c r="D2" t="s">
        <v>143</v>
      </c>
    </row>
    <row r="3" spans="1:8" x14ac:dyDescent="0.3">
      <c r="A3" t="s">
        <v>141</v>
      </c>
      <c r="B3" t="s">
        <v>244</v>
      </c>
      <c r="C3" t="s">
        <v>245</v>
      </c>
      <c r="D3" t="s">
        <v>143</v>
      </c>
    </row>
    <row r="4" spans="1:8" x14ac:dyDescent="0.3">
      <c r="A4" t="s">
        <v>162</v>
      </c>
      <c r="B4" t="s">
        <v>246</v>
      </c>
      <c r="C4" t="s">
        <v>241</v>
      </c>
      <c r="D4" t="s">
        <v>144</v>
      </c>
      <c r="E4" t="s">
        <v>144</v>
      </c>
    </row>
    <row r="5" spans="1:8" x14ac:dyDescent="0.3">
      <c r="A5" t="s">
        <v>146</v>
      </c>
      <c r="B5" t="s">
        <v>146</v>
      </c>
      <c r="C5" t="s">
        <v>147</v>
      </c>
      <c r="D5" t="s">
        <v>148</v>
      </c>
    </row>
    <row r="6" spans="1:8" x14ac:dyDescent="0.3">
      <c r="A6" t="s">
        <v>149</v>
      </c>
      <c r="B6" t="s">
        <v>150</v>
      </c>
      <c r="C6" t="s">
        <v>151</v>
      </c>
      <c r="D6" t="s">
        <v>152</v>
      </c>
    </row>
    <row r="7" spans="1:8" x14ac:dyDescent="0.3">
      <c r="A7" t="s">
        <v>162</v>
      </c>
      <c r="B7" t="s">
        <v>246</v>
      </c>
      <c r="C7" t="s">
        <v>241</v>
      </c>
      <c r="D7" t="s">
        <v>144</v>
      </c>
      <c r="E7" t="s">
        <v>144</v>
      </c>
    </row>
    <row r="8" spans="1:8" x14ac:dyDescent="0.3">
      <c r="A8" t="s">
        <v>3</v>
      </c>
    </row>
    <row r="9" spans="1:8" x14ac:dyDescent="0.3">
      <c r="A9">
        <v>701</v>
      </c>
      <c r="B9" t="s">
        <v>178</v>
      </c>
      <c r="C9">
        <v>26900</v>
      </c>
      <c r="F9" t="str">
        <f>VLOOKUP(B9,'Profit Loss-Amravati-25-26'!$A$13:$B$200,1,0)</f>
        <v>SALE LOCAL</v>
      </c>
      <c r="G9">
        <f>VLOOKUP(B9,'Profit Loss-Amravati-25-26'!$A$13:$B$200,2,0)</f>
        <v>26900</v>
      </c>
      <c r="H9">
        <f>+C9-G9</f>
        <v>0</v>
      </c>
    </row>
    <row r="10" spans="1:8" x14ac:dyDescent="0.3">
      <c r="A10">
        <v>16905</v>
      </c>
      <c r="B10" t="s">
        <v>177</v>
      </c>
      <c r="C10">
        <v>47838868.75</v>
      </c>
      <c r="F10" t="str">
        <f>VLOOKUP(B10,'Profit Loss-Amravati-25-26'!$A$13:$B$200,1,0)</f>
        <v>SALE LOCAL (GARMENT)</v>
      </c>
      <c r="G10">
        <f>VLOOKUP(B10,'Profit Loss-Amravati-25-26'!$A$13:$B$200,2,0)</f>
        <v>47838868.75</v>
      </c>
      <c r="H10">
        <f t="shared" ref="H10:H73" si="0">+C10-G10</f>
        <v>0</v>
      </c>
    </row>
    <row r="11" spans="1:8" x14ac:dyDescent="0.3">
      <c r="A11">
        <v>26282</v>
      </c>
      <c r="B11" t="s">
        <v>247</v>
      </c>
      <c r="C11">
        <v>21860</v>
      </c>
      <c r="F11" t="str">
        <f>VLOOKUP(B11,'Profit Loss-Amravati-25-26'!$A$13:$B$200,1,0)</f>
        <v>SALE LOCAL - MISCELLANEOUS ITEMS</v>
      </c>
      <c r="G11">
        <f>VLOOKUP(B11,'Profit Loss-Amravati-25-26'!$A$13:$B$200,2,0)</f>
        <v>21860</v>
      </c>
      <c r="H11">
        <f t="shared" si="0"/>
        <v>0</v>
      </c>
    </row>
    <row r="12" spans="1:8" x14ac:dyDescent="0.3">
      <c r="A12">
        <v>35115</v>
      </c>
      <c r="B12" t="s">
        <v>179</v>
      </c>
      <c r="C12">
        <v>1704310</v>
      </c>
      <c r="F12" t="str">
        <f>VLOOKUP(B12,'Profit Loss-Amravati-25-26'!$A$13:$B$200,1,0)</f>
        <v>SALE TRADING - LOCAL - FABRIC</v>
      </c>
      <c r="G12">
        <f>VLOOKUP(B12,'Profit Loss-Amravati-25-26'!$A$13:$B$200,2,0)</f>
        <v>1704310</v>
      </c>
      <c r="H12">
        <f t="shared" si="0"/>
        <v>0</v>
      </c>
    </row>
    <row r="13" spans="1:8" x14ac:dyDescent="0.3">
      <c r="A13">
        <v>1015</v>
      </c>
      <c r="B13" t="s">
        <v>120</v>
      </c>
      <c r="C13">
        <v>8.1300000000000008</v>
      </c>
      <c r="F13" t="str">
        <f>VLOOKUP(B13,'Profit Loss-Amravati-25-26'!$A$13:$B$200,1,0)</f>
        <v>DIFF.IN FOREIGN CURR.</v>
      </c>
      <c r="G13">
        <f>VLOOKUP(B13,'Profit Loss-Amravati-25-26'!$A$13:$B$200,2,0)</f>
        <v>8.1300000000000008</v>
      </c>
      <c r="H13">
        <f t="shared" si="0"/>
        <v>0</v>
      </c>
    </row>
    <row r="14" spans="1:8" x14ac:dyDescent="0.3">
      <c r="A14">
        <v>1227</v>
      </c>
      <c r="B14" t="s">
        <v>182</v>
      </c>
      <c r="C14">
        <v>235670</v>
      </c>
      <c r="F14" t="str">
        <f>VLOOKUP(B14,'Profit Loss-Amravati-25-26'!$A$13:$B$200,1,0)</f>
        <v>SALE FABRIC WASTE</v>
      </c>
      <c r="G14">
        <f>VLOOKUP(B14,'Profit Loss-Amravati-25-26'!$A$13:$B$200,2,0)</f>
        <v>235670</v>
      </c>
      <c r="H14">
        <f t="shared" si="0"/>
        <v>0</v>
      </c>
    </row>
    <row r="15" spans="1:8" x14ac:dyDescent="0.3">
      <c r="A15">
        <v>703</v>
      </c>
      <c r="B15" t="s">
        <v>181</v>
      </c>
      <c r="C15">
        <v>21100</v>
      </c>
      <c r="F15" t="str">
        <f>VLOOKUP(B15,'Profit Loss-Amravati-25-26'!$A$13:$B$200,1,0)</f>
        <v>SALE SCRAP</v>
      </c>
      <c r="G15">
        <f>VLOOKUP(B15,'Profit Loss-Amravati-25-26'!$A$13:$B$200,2,0)</f>
        <v>21100</v>
      </c>
      <c r="H15">
        <f t="shared" si="0"/>
        <v>0</v>
      </c>
    </row>
    <row r="16" spans="1:8" x14ac:dyDescent="0.3">
      <c r="A16">
        <v>1016</v>
      </c>
      <c r="B16" t="s">
        <v>124</v>
      </c>
      <c r="C16">
        <v>1280</v>
      </c>
      <c r="F16" t="str">
        <f>VLOOKUP(B16,'Profit Loss-Amravati-25-26'!$A$13:$B$200,1,0)</f>
        <v>SUNDRY CREDITORS WRITTEN BACK</v>
      </c>
      <c r="G16">
        <f>VLOOKUP(B16,'Profit Loss-Amravati-25-26'!$A$13:$B$200,2,0)</f>
        <v>1280</v>
      </c>
      <c r="H16">
        <f t="shared" si="0"/>
        <v>0</v>
      </c>
    </row>
    <row r="17" spans="1:8" x14ac:dyDescent="0.3">
      <c r="A17" t="s">
        <v>165</v>
      </c>
      <c r="B17" t="s">
        <v>164</v>
      </c>
      <c r="C17">
        <f>SUM(C9:C16)</f>
        <v>49849996.880000003</v>
      </c>
      <c r="D17">
        <v>49849996.880000003</v>
      </c>
      <c r="E17">
        <f>+C17-D17</f>
        <v>0</v>
      </c>
      <c r="F17" t="e">
        <f>VLOOKUP(B17,'Profit Loss-Amravati-25-26'!$A$13:$B$200,1,0)</f>
        <v>#N/A</v>
      </c>
      <c r="G17" t="e">
        <f>VLOOKUP(B17,'Profit Loss-Amravati-25-26'!$A$13:$B$200,2,0)</f>
        <v>#N/A</v>
      </c>
      <c r="H17" t="e">
        <f t="shared" si="0"/>
        <v>#N/A</v>
      </c>
    </row>
    <row r="18" spans="1:8" x14ac:dyDescent="0.3">
      <c r="A18">
        <v>18670</v>
      </c>
      <c r="B18" t="s">
        <v>195</v>
      </c>
      <c r="C18">
        <v>1501872</v>
      </c>
      <c r="F18" t="str">
        <f>VLOOKUP(B18,'Profit Loss-Amravati-25-26'!$A$13:$B$200,1,0)</f>
        <v>PURCHASE (JOB WORK) - INTER UNIT</v>
      </c>
      <c r="G18">
        <f>VLOOKUP(B18,'Profit Loss-Amravati-25-26'!$A$13:$B$200,2,0)</f>
        <v>1501872</v>
      </c>
      <c r="H18">
        <f t="shared" si="0"/>
        <v>0</v>
      </c>
    </row>
    <row r="19" spans="1:8" x14ac:dyDescent="0.3">
      <c r="A19">
        <v>772</v>
      </c>
      <c r="B19" t="s">
        <v>198</v>
      </c>
      <c r="C19">
        <v>31619</v>
      </c>
      <c r="F19" t="str">
        <f>VLOOKUP(B19,'Profit Loss-Amravati-25-26'!$A$13:$B$200,1,0)</f>
        <v>CLEARING CHARGES ON IMPORT</v>
      </c>
      <c r="G19">
        <f>VLOOKUP(B19,'Profit Loss-Amravati-25-26'!$A$13:$B$200,2,0)</f>
        <v>31619</v>
      </c>
      <c r="H19">
        <f t="shared" si="0"/>
        <v>0</v>
      </c>
    </row>
    <row r="20" spans="1:8" x14ac:dyDescent="0.3">
      <c r="A20">
        <v>820</v>
      </c>
      <c r="B20" t="s">
        <v>69</v>
      </c>
      <c r="C20">
        <v>2740</v>
      </c>
      <c r="F20" t="str">
        <f>VLOOKUP(B20,'Profit Loss-Amravati-25-26'!$A$13:$B$200,1,0)</f>
        <v>COOLIE &amp; CARTAGE ON PURCHASE</v>
      </c>
      <c r="G20">
        <f>VLOOKUP(B20,'Profit Loss-Amravati-25-26'!$A$13:$B$200,2,0)</f>
        <v>2740</v>
      </c>
      <c r="H20">
        <f t="shared" si="0"/>
        <v>0</v>
      </c>
    </row>
    <row r="21" spans="1:8" x14ac:dyDescent="0.3">
      <c r="A21">
        <v>917</v>
      </c>
      <c r="B21" t="s">
        <v>44</v>
      </c>
      <c r="C21">
        <v>1857</v>
      </c>
      <c r="F21" t="str">
        <f>VLOOKUP(B21,'Profit Loss-Amravati-25-26'!$A$13:$B$200,1,0)</f>
        <v>CUSTOM DUTY ON IMPORT</v>
      </c>
      <c r="G21">
        <f>VLOOKUP(B21,'Profit Loss-Amravati-25-26'!$A$13:$B$200,2,0)</f>
        <v>1857</v>
      </c>
      <c r="H21">
        <f t="shared" si="0"/>
        <v>0</v>
      </c>
    </row>
    <row r="22" spans="1:8" x14ac:dyDescent="0.3">
      <c r="A22">
        <v>36604</v>
      </c>
      <c r="B22" t="s">
        <v>188</v>
      </c>
      <c r="C22">
        <v>136918.62</v>
      </c>
      <c r="F22" t="str">
        <f>VLOOKUP(B22,'Profit Loss-Amravati-25-26'!$A$13:$B$200,1,0)</f>
        <v>DELIVERY CHARGES - PURCHASE-GARMENT</v>
      </c>
      <c r="G22">
        <f>VLOOKUP(B22,'Profit Loss-Amravati-25-26'!$A$13:$B$200,2,0)</f>
        <v>136918.62</v>
      </c>
      <c r="H22">
        <f t="shared" si="0"/>
        <v>0</v>
      </c>
    </row>
    <row r="23" spans="1:8" x14ac:dyDescent="0.3">
      <c r="A23">
        <v>20335</v>
      </c>
      <c r="B23" t="s">
        <v>39</v>
      </c>
      <c r="C23">
        <v>49560</v>
      </c>
      <c r="F23" t="str">
        <f>VLOOKUP(B23,'Profit Loss-Amravati-25-26'!$A$13:$B$200,1,0)</f>
        <v>DELIVERY CHARGES ON PURCHASES</v>
      </c>
      <c r="G23">
        <f>VLOOKUP(B23,'Profit Loss-Amravati-25-26'!$A$13:$B$200,2,0)</f>
        <v>49560</v>
      </c>
      <c r="H23">
        <f t="shared" si="0"/>
        <v>0</v>
      </c>
    </row>
    <row r="24" spans="1:8" x14ac:dyDescent="0.3">
      <c r="A24">
        <v>1400</v>
      </c>
      <c r="B24" t="s">
        <v>186</v>
      </c>
      <c r="C24">
        <v>13858655.130000001</v>
      </c>
      <c r="F24" t="str">
        <f>VLOOKUP(B24,'Profit Loss-Amravati-25-26'!$A$13:$B$200,1,0)</f>
        <v>PURCHASE FABRICS &amp; HOSIERY LOCAL</v>
      </c>
      <c r="G24">
        <f>VLOOKUP(B24,'Profit Loss-Amravati-25-26'!$A$13:$B$200,2,0)</f>
        <v>21624068.130000003</v>
      </c>
      <c r="H24">
        <f t="shared" si="0"/>
        <v>-7765413.0000000019</v>
      </c>
    </row>
    <row r="25" spans="1:8" x14ac:dyDescent="0.3">
      <c r="A25">
        <v>36583</v>
      </c>
      <c r="B25" t="s">
        <v>200</v>
      </c>
      <c r="C25">
        <v>59130.6</v>
      </c>
      <c r="F25" t="str">
        <f>VLOOKUP(B25,'Profit Loss-Amravati-25-26'!$A$13:$B$200,1,0)</f>
        <v>ELECTRICAL ITEM - GARMENT</v>
      </c>
      <c r="G25">
        <f>VLOOKUP(B25,'Profit Loss-Amravati-25-26'!$A$13:$B$200,2,0)</f>
        <v>59130.6</v>
      </c>
      <c r="H25">
        <f t="shared" si="0"/>
        <v>0</v>
      </c>
    </row>
    <row r="26" spans="1:8" x14ac:dyDescent="0.3">
      <c r="A26">
        <v>818</v>
      </c>
      <c r="B26" t="s">
        <v>47</v>
      </c>
      <c r="C26">
        <v>5020.3999999999996</v>
      </c>
      <c r="F26" t="str">
        <f>VLOOKUP(B26,'Profit Loss-Amravati-25-26'!$A$13:$B$200,1,0)</f>
        <v>ELECTRICAL ITEMS</v>
      </c>
      <c r="G26">
        <f>VLOOKUP(B26,'Profit Loss-Amravati-25-26'!$A$13:$B$200,2,0)</f>
        <v>5020.3999999999996</v>
      </c>
      <c r="H26">
        <f t="shared" si="0"/>
        <v>0</v>
      </c>
    </row>
    <row r="27" spans="1:8" x14ac:dyDescent="0.3">
      <c r="A27">
        <v>1612</v>
      </c>
      <c r="B27" t="s">
        <v>189</v>
      </c>
      <c r="C27">
        <v>4485411.41</v>
      </c>
      <c r="F27" t="str">
        <f>VLOOKUP(B27,'Profit Loss-Amravati-25-26'!$A$13:$B$200,1,0)</f>
        <v>PUR. THREAD &amp; TRIM ITEMS</v>
      </c>
      <c r="G27">
        <f>VLOOKUP(B27,'Profit Loss-Amravati-25-26'!$A$13:$B$200,2,0)</f>
        <v>6052378.4100000001</v>
      </c>
      <c r="H27">
        <f t="shared" si="0"/>
        <v>-1566967</v>
      </c>
    </row>
    <row r="28" spans="1:8" x14ac:dyDescent="0.3">
      <c r="A28">
        <v>17864</v>
      </c>
      <c r="B28" t="s">
        <v>190</v>
      </c>
      <c r="C28">
        <v>211799.78</v>
      </c>
      <c r="F28" t="str">
        <f>VLOOKUP(B28,'Profit Loss-Amravati-25-26'!$A$13:$B$200,1,0)</f>
        <v>PUR. THREAD &amp; TRIM ITEMS- IMPORT</v>
      </c>
      <c r="G28">
        <f>VLOOKUP(B28,'Profit Loss-Amravati-25-26'!$A$13:$B$200,2,0)</f>
        <v>211799.78</v>
      </c>
      <c r="H28">
        <f t="shared" si="0"/>
        <v>0</v>
      </c>
    </row>
    <row r="29" spans="1:8" x14ac:dyDescent="0.3">
      <c r="A29">
        <v>25339</v>
      </c>
      <c r="B29" t="s">
        <v>192</v>
      </c>
      <c r="C29">
        <v>389630.86</v>
      </c>
      <c r="F29" t="str">
        <f>VLOOKUP(B29,'Profit Loss-Amravati-25-26'!$A$13:$B$200,1,0)</f>
        <v>PURCHASE STORES &amp; SPARES (GARMENT)</v>
      </c>
      <c r="G29">
        <f>VLOOKUP(B29,'Profit Loss-Amravati-25-26'!$A$13:$B$200,2,0)</f>
        <v>661568.86</v>
      </c>
      <c r="H29">
        <f t="shared" si="0"/>
        <v>-271938</v>
      </c>
    </row>
    <row r="30" spans="1:8" x14ac:dyDescent="0.3">
      <c r="A30">
        <v>25337</v>
      </c>
      <c r="B30" t="s">
        <v>42</v>
      </c>
      <c r="C30">
        <v>1900536.58</v>
      </c>
      <c r="F30" t="str">
        <f>VLOOKUP(B30,'Profit Loss-Amravati-25-26'!$A$13:$B$200,1,0)</f>
        <v>PURCHASE PACKING MATERIAL (GARMENT)</v>
      </c>
      <c r="G30">
        <f>VLOOKUP(B30,'Profit Loss-Amravati-25-26'!$A$13:$B$200,2,0)</f>
        <v>3621747.58</v>
      </c>
      <c r="H30">
        <f t="shared" si="0"/>
        <v>-1721211</v>
      </c>
    </row>
    <row r="31" spans="1:8" x14ac:dyDescent="0.3">
      <c r="A31">
        <v>30653</v>
      </c>
      <c r="B31" t="s">
        <v>191</v>
      </c>
      <c r="C31">
        <v>1611.31</v>
      </c>
      <c r="F31" t="str">
        <f>VLOOKUP(B31,'Profit Loss-Amravati-25-26'!$A$13:$B$200,1,0)</f>
        <v>PURCHASE PACKING MATERIAL-(IMPORT)</v>
      </c>
      <c r="G31">
        <f>VLOOKUP(B31,'Profit Loss-Amravati-25-26'!$A$13:$B$200,2,0)</f>
        <v>149392.31</v>
      </c>
      <c r="H31">
        <f t="shared" si="0"/>
        <v>-147781</v>
      </c>
    </row>
    <row r="32" spans="1:8" x14ac:dyDescent="0.3">
      <c r="A32">
        <v>937</v>
      </c>
      <c r="B32" t="s">
        <v>58</v>
      </c>
      <c r="C32">
        <v>2650</v>
      </c>
      <c r="F32" t="str">
        <f>VLOOKUP(B32,'Profit Loss-Amravati-25-26'!$A$13:$B$200,1,0)</f>
        <v>ELECTRICITY CHARGES</v>
      </c>
      <c r="G32">
        <f>VLOOKUP(B32,'Profit Loss-Amravati-25-26'!$A$13:$B$200,2,0)</f>
        <v>2650</v>
      </c>
      <c r="H32">
        <f t="shared" si="0"/>
        <v>0</v>
      </c>
    </row>
    <row r="33" spans="1:8" x14ac:dyDescent="0.3">
      <c r="A33">
        <v>809</v>
      </c>
      <c r="B33" t="s">
        <v>46</v>
      </c>
      <c r="C33">
        <v>-1100</v>
      </c>
      <c r="F33" t="str">
        <f>VLOOKUP(B33,'Profit Loss-Amravati-25-26'!$A$13:$B$200,1,0)</f>
        <v>POWER</v>
      </c>
      <c r="G33">
        <f>VLOOKUP(B33,'Profit Loss-Amravati-25-26'!$A$13:$B$200,2,0)</f>
        <v>-1100</v>
      </c>
      <c r="H33">
        <f t="shared" si="0"/>
        <v>0</v>
      </c>
    </row>
    <row r="34" spans="1:8" x14ac:dyDescent="0.3">
      <c r="A34">
        <v>849</v>
      </c>
      <c r="B34" t="s">
        <v>201</v>
      </c>
      <c r="C34">
        <v>149230.46</v>
      </c>
      <c r="F34" t="str">
        <f>VLOOKUP(B34,'Profit Loss-Amravati-25-26'!$A$13:$B$200,1,0)</f>
        <v>LABOUR CHARGES</v>
      </c>
      <c r="G34">
        <f>VLOOKUP(B34,'Profit Loss-Amravati-25-26'!$A$13:$B$200,2,0)</f>
        <v>149230.46</v>
      </c>
      <c r="H34">
        <f t="shared" si="0"/>
        <v>0</v>
      </c>
    </row>
    <row r="35" spans="1:8" x14ac:dyDescent="0.3">
      <c r="A35">
        <v>28769</v>
      </c>
      <c r="B35" t="s">
        <v>60</v>
      </c>
      <c r="C35">
        <v>5775</v>
      </c>
      <c r="F35" t="str">
        <f>VLOOKUP(B35,'Profit Loss-Amravati-25-26'!$A$13:$B$200,1,0)</f>
        <v>CRANE HIRE CHARGES</v>
      </c>
      <c r="G35">
        <f>VLOOKUP(B35,'Profit Loss-Amravati-25-26'!$A$13:$B$200,2,0)</f>
        <v>5775</v>
      </c>
      <c r="H35">
        <f t="shared" si="0"/>
        <v>0</v>
      </c>
    </row>
    <row r="36" spans="1:8" x14ac:dyDescent="0.3">
      <c r="A36">
        <v>970</v>
      </c>
      <c r="B36" t="s">
        <v>55</v>
      </c>
      <c r="C36">
        <v>129506.9</v>
      </c>
      <c r="F36" t="str">
        <f>VLOOKUP(B36,'Profit Loss-Amravati-25-26'!$A$13:$B$200,1,0)</f>
        <v>INSPECTION/TESTING</v>
      </c>
      <c r="G36">
        <f>VLOOKUP(B36,'Profit Loss-Amravati-25-26'!$A$13:$B$200,2,0)</f>
        <v>154906.9</v>
      </c>
      <c r="H36">
        <f t="shared" si="0"/>
        <v>-25400</v>
      </c>
    </row>
    <row r="37" spans="1:8" x14ac:dyDescent="0.3">
      <c r="A37">
        <v>801</v>
      </c>
      <c r="B37" t="s">
        <v>199</v>
      </c>
      <c r="C37">
        <v>712032.8</v>
      </c>
      <c r="F37" t="str">
        <f>VLOOKUP(B37,'Profit Loss-Amravati-25-26'!$A$13:$B$200,1,0)</f>
        <v>JOB WORK</v>
      </c>
      <c r="G37">
        <f>VLOOKUP(B37,'Profit Loss-Amravati-25-26'!$A$13:$B$200,2,0)</f>
        <v>2021221.8</v>
      </c>
      <c r="H37">
        <f t="shared" si="0"/>
        <v>-1309189</v>
      </c>
    </row>
    <row r="38" spans="1:8" x14ac:dyDescent="0.3">
      <c r="A38">
        <v>902</v>
      </c>
      <c r="B38" t="s">
        <v>45</v>
      </c>
      <c r="C38">
        <v>510</v>
      </c>
      <c r="F38" t="str">
        <f>VLOOKUP(B38,'Profit Loss-Amravati-25-26'!$A$13:$B$200,1,0)</f>
        <v>WATER CHARGES</v>
      </c>
      <c r="G38">
        <f>VLOOKUP(B38,'Profit Loss-Amravati-25-26'!$A$13:$B$200,2,0)</f>
        <v>510</v>
      </c>
      <c r="H38">
        <f t="shared" si="0"/>
        <v>0</v>
      </c>
    </row>
    <row r="39" spans="1:8" x14ac:dyDescent="0.3">
      <c r="A39">
        <v>36614</v>
      </c>
      <c r="B39" t="s">
        <v>11</v>
      </c>
      <c r="C39">
        <v>212973.3</v>
      </c>
      <c r="F39" t="str">
        <f>VLOOKUP(B39,'Profit Loss-Amravati-25-26'!$A$13:$B$200,1,0)</f>
        <v>DELIVERY CHARGES  ON SALE -GARMENT</v>
      </c>
      <c r="G39">
        <f>VLOOKUP(B39,'Profit Loss-Amravati-25-26'!$A$13:$B$200,2,0)</f>
        <v>212973.3</v>
      </c>
      <c r="H39">
        <f t="shared" si="0"/>
        <v>0</v>
      </c>
    </row>
    <row r="40" spans="1:8" x14ac:dyDescent="0.3">
      <c r="A40">
        <v>20336</v>
      </c>
      <c r="B40" t="s">
        <v>12</v>
      </c>
      <c r="C40">
        <v>15803</v>
      </c>
      <c r="F40" t="str">
        <f>VLOOKUP(B40,'Profit Loss-Amravati-25-26'!$A$13:$B$200,1,0)</f>
        <v>DELIVERY CHARGES ON SALES</v>
      </c>
      <c r="G40">
        <f>VLOOKUP(B40,'Profit Loss-Amravati-25-26'!$A$13:$B$200,2,0)</f>
        <v>15803</v>
      </c>
      <c r="H40">
        <f t="shared" si="0"/>
        <v>0</v>
      </c>
    </row>
    <row r="41" spans="1:8" x14ac:dyDescent="0.3">
      <c r="A41">
        <v>817</v>
      </c>
      <c r="B41" t="s">
        <v>21</v>
      </c>
      <c r="C41">
        <v>370</v>
      </c>
      <c r="F41" t="str">
        <f>VLOOKUP(B41,'Profit Loss-Amravati-25-26'!$A$13:$B$200,1,0)</f>
        <v>PACKING EXPENSES</v>
      </c>
      <c r="G41">
        <f>VLOOKUP(B41,'Profit Loss-Amravati-25-26'!$A$13:$B$200,2,0)</f>
        <v>370</v>
      </c>
      <c r="H41">
        <f t="shared" si="0"/>
        <v>0</v>
      </c>
    </row>
    <row r="42" spans="1:8" x14ac:dyDescent="0.3">
      <c r="A42">
        <v>962</v>
      </c>
      <c r="B42" t="s">
        <v>61</v>
      </c>
      <c r="C42">
        <v>172612</v>
      </c>
      <c r="F42" t="str">
        <f>VLOOKUP(B42,'Profit Loss-Amravati-25-26'!$A$13:$B$200,1,0)</f>
        <v>CONSULTANCY CHARGES</v>
      </c>
      <c r="G42">
        <f>VLOOKUP(B42,'Profit Loss-Amravati-25-26'!$A$13:$B$200,2,0)</f>
        <v>350841</v>
      </c>
      <c r="H42">
        <f t="shared" si="0"/>
        <v>-178229</v>
      </c>
    </row>
    <row r="43" spans="1:8" x14ac:dyDescent="0.3">
      <c r="A43">
        <v>961</v>
      </c>
      <c r="B43" t="s">
        <v>91</v>
      </c>
      <c r="C43">
        <v>1800</v>
      </c>
      <c r="F43" t="str">
        <f>VLOOKUP(B43,'Profit Loss-Amravati-25-26'!$A$13:$B$200,1,0)</f>
        <v>PROFESSIONAL FEES</v>
      </c>
      <c r="G43">
        <f>VLOOKUP(B43,'Profit Loss-Amravati-25-26'!$A$13:$B$200,2,0)</f>
        <v>1800</v>
      </c>
      <c r="H43">
        <f t="shared" si="0"/>
        <v>0</v>
      </c>
    </row>
    <row r="44" spans="1:8" x14ac:dyDescent="0.3">
      <c r="A44">
        <v>964</v>
      </c>
      <c r="B44" t="s">
        <v>63</v>
      </c>
      <c r="C44">
        <v>10500</v>
      </c>
      <c r="F44" t="str">
        <f>VLOOKUP(B44,'Profit Loss-Amravati-25-26'!$A$13:$B$200,1,0)</f>
        <v>ASSOCIATION MEMBERSHIP FEES</v>
      </c>
      <c r="G44">
        <f>VLOOKUP(B44,'Profit Loss-Amravati-25-26'!$A$13:$B$200,2,0)</f>
        <v>10500</v>
      </c>
      <c r="H44">
        <f t="shared" si="0"/>
        <v>0</v>
      </c>
    </row>
    <row r="45" spans="1:8" x14ac:dyDescent="0.3">
      <c r="A45">
        <v>969</v>
      </c>
      <c r="B45" t="s">
        <v>64</v>
      </c>
      <c r="C45">
        <v>608.26</v>
      </c>
      <c r="F45" t="str">
        <f>VLOOKUP(B45,'Profit Loss-Amravati-25-26'!$A$13:$B$200,1,0)</f>
        <v>FILING FEES</v>
      </c>
      <c r="G45">
        <f>VLOOKUP(B45,'Profit Loss-Amravati-25-26'!$A$13:$B$200,2,0)</f>
        <v>608.26</v>
      </c>
      <c r="H45">
        <f t="shared" si="0"/>
        <v>0</v>
      </c>
    </row>
    <row r="46" spans="1:8" x14ac:dyDescent="0.3">
      <c r="A46">
        <v>29063</v>
      </c>
      <c r="B46" t="s">
        <v>206</v>
      </c>
      <c r="C46">
        <v>43574.94</v>
      </c>
      <c r="F46" t="str">
        <f>VLOOKUP(B46,'Profit Loss-Amravati-25-26'!$A$13:$B$200,1,0)</f>
        <v>GST EXPENSES-NOT CLAIMABLE-REVENUE</v>
      </c>
      <c r="G46">
        <f>VLOOKUP(B46,'Profit Loss-Amravati-25-26'!$A$13:$B$200,2,0)</f>
        <v>43574.94</v>
      </c>
      <c r="H46">
        <f t="shared" si="0"/>
        <v>0</v>
      </c>
    </row>
    <row r="47" spans="1:8" x14ac:dyDescent="0.3">
      <c r="A47">
        <v>821</v>
      </c>
      <c r="B47" t="s">
        <v>113</v>
      </c>
      <c r="C47">
        <v>273333</v>
      </c>
      <c r="F47" t="str">
        <f>VLOOKUP(B47,'Profit Loss-Amravati-25-26'!$A$13:$B$200,1,0)</f>
        <v>RENT PAID</v>
      </c>
      <c r="G47">
        <f>VLOOKUP(B47,'Profit Loss-Amravati-25-26'!$A$13:$B$200,2,0)</f>
        <v>409833</v>
      </c>
      <c r="H47">
        <f t="shared" si="0"/>
        <v>-136500</v>
      </c>
    </row>
    <row r="48" spans="1:8" x14ac:dyDescent="0.3">
      <c r="A48">
        <v>932</v>
      </c>
      <c r="B48" t="s">
        <v>54</v>
      </c>
      <c r="C48">
        <v>60132.86</v>
      </c>
      <c r="F48" t="str">
        <f>VLOOKUP(B48,'Profit Loss-Amravati-25-26'!$A$13:$B$200,1,0)</f>
        <v>PRINTING &amp; STATIONERY</v>
      </c>
      <c r="G48">
        <f>VLOOKUP(B48,'Profit Loss-Amravati-25-26'!$A$13:$B$200,2,0)</f>
        <v>125618.86</v>
      </c>
      <c r="H48">
        <f t="shared" si="0"/>
        <v>-65486</v>
      </c>
    </row>
    <row r="49" spans="1:8" x14ac:dyDescent="0.3">
      <c r="A49">
        <v>20113</v>
      </c>
      <c r="B49" t="s">
        <v>223</v>
      </c>
      <c r="C49">
        <v>7275</v>
      </c>
      <c r="F49" t="str">
        <f>VLOOKUP(B49,'Profit Loss-Amravati-25-26'!$A$13:$B$200,1,0)</f>
        <v>SOFTWARE RENEWAL CHARGES PAID</v>
      </c>
      <c r="G49">
        <f>VLOOKUP(B49,'Profit Loss-Amravati-25-26'!$A$13:$B$200,2,0)</f>
        <v>7275</v>
      </c>
      <c r="H49">
        <f t="shared" si="0"/>
        <v>0</v>
      </c>
    </row>
    <row r="50" spans="1:8" x14ac:dyDescent="0.3">
      <c r="A50">
        <v>854</v>
      </c>
      <c r="B50" t="s">
        <v>205</v>
      </c>
      <c r="C50">
        <v>112531</v>
      </c>
      <c r="F50" t="str">
        <f>VLOOKUP(B50,'Profit Loss-Amravati-25-26'!$A$13:$B$200,1,0)</f>
        <v>CONVEYANCE RE-IMBURSEMENT</v>
      </c>
      <c r="G50">
        <f>VLOOKUP(B50,'Profit Loss-Amravati-25-26'!$A$13:$B$200,2,0)</f>
        <v>112531</v>
      </c>
      <c r="H50">
        <f t="shared" si="0"/>
        <v>0</v>
      </c>
    </row>
    <row r="51" spans="1:8" x14ac:dyDescent="0.3">
      <c r="A51">
        <v>984</v>
      </c>
      <c r="B51" t="s">
        <v>234</v>
      </c>
      <c r="C51">
        <v>297660</v>
      </c>
      <c r="F51" t="str">
        <f>VLOOKUP(B51,'Profit Loss-Amravati-25-26'!$A$13:$B$200,1,0)</f>
        <v>FOREIGN TRAVELLING</v>
      </c>
      <c r="G51">
        <f>VLOOKUP(B51,'Profit Loss-Amravati-25-26'!$A$13:$B$200,2,0)</f>
        <v>297660</v>
      </c>
      <c r="H51">
        <f t="shared" si="0"/>
        <v>0</v>
      </c>
    </row>
    <row r="52" spans="1:8" x14ac:dyDescent="0.3">
      <c r="A52">
        <v>983</v>
      </c>
      <c r="B52" t="s">
        <v>95</v>
      </c>
      <c r="C52">
        <v>202772.75</v>
      </c>
      <c r="F52" t="str">
        <f>VLOOKUP(B52,'Profit Loss-Amravati-25-26'!$A$13:$B$200,1,0)</f>
        <v>TRAVELLING EXPENSES</v>
      </c>
      <c r="G52">
        <f>VLOOKUP(B52,'Profit Loss-Amravati-25-26'!$A$13:$B$200,2,0)</f>
        <v>202772.75</v>
      </c>
      <c r="H52">
        <f t="shared" si="0"/>
        <v>0</v>
      </c>
    </row>
    <row r="53" spans="1:8" x14ac:dyDescent="0.3">
      <c r="A53">
        <v>37928</v>
      </c>
      <c r="B53" t="s">
        <v>230</v>
      </c>
      <c r="C53">
        <v>22000</v>
      </c>
      <c r="F53" t="e">
        <f>VLOOKUP(B53,'Profit Loss-Amravati-25-26'!$A$13:$B$200,1,0)</f>
        <v>#N/A</v>
      </c>
      <c r="G53" t="e">
        <f>VLOOKUP(B53,'Profit Loss-Amravati-25-26'!$A$13:$B$200,2,0)</f>
        <v>#N/A</v>
      </c>
      <c r="H53" t="e">
        <f t="shared" si="0"/>
        <v>#N/A</v>
      </c>
    </row>
    <row r="54" spans="1:8" x14ac:dyDescent="0.3">
      <c r="A54">
        <v>926</v>
      </c>
      <c r="B54" t="s">
        <v>207</v>
      </c>
      <c r="C54">
        <v>182139.12</v>
      </c>
      <c r="F54" t="str">
        <f>VLOOKUP(B54,'Profit Loss-Amravati-25-26'!$A$13:$B$200,1,0)</f>
        <v>POSTAGE &amp; TELEGRAM</v>
      </c>
      <c r="G54">
        <f>VLOOKUP(B54,'Profit Loss-Amravati-25-26'!$A$13:$B$200,2,0)</f>
        <v>230608.12</v>
      </c>
      <c r="H54">
        <f t="shared" si="0"/>
        <v>-48469</v>
      </c>
    </row>
    <row r="55" spans="1:8" x14ac:dyDescent="0.3">
      <c r="A55">
        <v>934</v>
      </c>
      <c r="B55" t="s">
        <v>103</v>
      </c>
      <c r="C55">
        <v>-8460.32</v>
      </c>
      <c r="F55" t="str">
        <f>VLOOKUP(B55,'Profit Loss-Amravati-25-26'!$A$13:$B$200,1,0)</f>
        <v>TELEPHONE EXPENSES</v>
      </c>
      <c r="G55">
        <f>VLOOKUP(B55,'Profit Loss-Amravati-25-26'!$A$13:$B$200,2,0)</f>
        <v>-8460.32</v>
      </c>
      <c r="H55">
        <f t="shared" si="0"/>
        <v>0</v>
      </c>
    </row>
    <row r="56" spans="1:8" x14ac:dyDescent="0.3">
      <c r="A56">
        <v>685</v>
      </c>
      <c r="B56" t="s">
        <v>97</v>
      </c>
      <c r="C56">
        <v>13000</v>
      </c>
      <c r="F56" t="str">
        <f>VLOOKUP(B56,'Profit Loss-Amravati-25-26'!$A$13:$B$200,1,0)</f>
        <v>COMPUTER EXPENSES PAID</v>
      </c>
      <c r="G56">
        <f>VLOOKUP(B56,'Profit Loss-Amravati-25-26'!$A$13:$B$200,2,0)</f>
        <v>13000</v>
      </c>
      <c r="H56">
        <f t="shared" si="0"/>
        <v>0</v>
      </c>
    </row>
    <row r="57" spans="1:8" x14ac:dyDescent="0.3">
      <c r="A57">
        <v>936</v>
      </c>
      <c r="B57" t="s">
        <v>225</v>
      </c>
      <c r="C57">
        <v>14791.24</v>
      </c>
      <c r="F57" t="str">
        <f>VLOOKUP(B57,'Profit Loss-Amravati-25-26'!$A$13:$B$200,1,0)</f>
        <v>OFFICE MAINTENANCE</v>
      </c>
      <c r="G57">
        <f>VLOOKUP(B57,'Profit Loss-Amravati-25-26'!$A$13:$B$200,2,0)</f>
        <v>14791.24</v>
      </c>
      <c r="H57">
        <f t="shared" si="0"/>
        <v>0</v>
      </c>
    </row>
    <row r="58" spans="1:8" x14ac:dyDescent="0.3">
      <c r="A58">
        <v>812</v>
      </c>
      <c r="B58" t="s">
        <v>90</v>
      </c>
      <c r="C58">
        <v>18600</v>
      </c>
      <c r="F58" t="str">
        <f>VLOOKUP(B58,'Profit Loss-Amravati-25-26'!$A$13:$B$200,1,0)</f>
        <v>REPAIRS &amp; MAINTENANCE</v>
      </c>
      <c r="G58">
        <f>VLOOKUP(B58,'Profit Loss-Amravati-25-26'!$A$13:$B$200,2,0)</f>
        <v>27088</v>
      </c>
      <c r="H58">
        <f t="shared" si="0"/>
        <v>-8488</v>
      </c>
    </row>
    <row r="59" spans="1:8" x14ac:dyDescent="0.3">
      <c r="A59">
        <v>1110</v>
      </c>
      <c r="B59" t="s">
        <v>102</v>
      </c>
      <c r="C59">
        <v>39267</v>
      </c>
      <c r="F59" t="str">
        <f>VLOOKUP(B59,'Profit Loss-Amravati-25-26'!$A$13:$B$200,1,0)</f>
        <v>SECURITY CHARGES</v>
      </c>
      <c r="G59">
        <f>VLOOKUP(B59,'Profit Loss-Amravati-25-26'!$A$13:$B$200,2,0)</f>
        <v>39267</v>
      </c>
      <c r="H59">
        <f t="shared" si="0"/>
        <v>0</v>
      </c>
    </row>
    <row r="60" spans="1:8" x14ac:dyDescent="0.3">
      <c r="A60">
        <v>1021</v>
      </c>
      <c r="B60" t="s">
        <v>57</v>
      </c>
      <c r="C60">
        <v>-3.63</v>
      </c>
      <c r="F60" t="str">
        <f>VLOOKUP(B60,'Profit Loss-Amravati-25-26'!$A$13:$B$200,1,0)</f>
        <v>KASAR KHATE</v>
      </c>
      <c r="G60">
        <f>VLOOKUP(B60,'Profit Loss-Amravati-25-26'!$A$13:$B$200,2,0)</f>
        <v>-3.63</v>
      </c>
      <c r="H60">
        <f t="shared" si="0"/>
        <v>0</v>
      </c>
    </row>
    <row r="61" spans="1:8" x14ac:dyDescent="0.3">
      <c r="A61">
        <v>882</v>
      </c>
      <c r="B61" t="s">
        <v>216</v>
      </c>
      <c r="C61">
        <v>275802</v>
      </c>
      <c r="F61" t="str">
        <f>VLOOKUP(B61,'Profit Loss-Amravati-25-26'!$A$13:$B$200,1,0)</f>
        <v>ATTENDENCE BONUS</v>
      </c>
      <c r="G61">
        <f>VLOOKUP(B61,'Profit Loss-Amravati-25-26'!$A$13:$B$200,2,0)</f>
        <v>275802</v>
      </c>
      <c r="H61">
        <f t="shared" si="0"/>
        <v>0</v>
      </c>
    </row>
    <row r="62" spans="1:8" x14ac:dyDescent="0.3">
      <c r="A62">
        <v>948</v>
      </c>
      <c r="B62" t="s">
        <v>72</v>
      </c>
      <c r="C62">
        <v>1147635</v>
      </c>
      <c r="F62" t="str">
        <f>VLOOKUP(B62,'Profit Loss-Amravati-25-26'!$A$13:$B$200,1,0)</f>
        <v>CONVEYANCE ALLOWANCE</v>
      </c>
      <c r="G62">
        <f>VLOOKUP(B62,'Profit Loss-Amravati-25-26'!$A$13:$B$200,2,0)</f>
        <v>1147635</v>
      </c>
      <c r="H62">
        <f t="shared" si="0"/>
        <v>0</v>
      </c>
    </row>
    <row r="63" spans="1:8" x14ac:dyDescent="0.3">
      <c r="A63">
        <v>855</v>
      </c>
      <c r="B63" t="s">
        <v>73</v>
      </c>
      <c r="C63">
        <v>310042</v>
      </c>
      <c r="F63" t="str">
        <f>VLOOKUP(B63,'Profit Loss-Amravati-25-26'!$A$13:$B$200,1,0)</f>
        <v>EDUCATION ALLOWANCE</v>
      </c>
      <c r="G63">
        <f>VLOOKUP(B63,'Profit Loss-Amravati-25-26'!$A$13:$B$200,2,0)</f>
        <v>310042</v>
      </c>
      <c r="H63">
        <f t="shared" si="0"/>
        <v>0</v>
      </c>
    </row>
    <row r="64" spans="1:8" x14ac:dyDescent="0.3">
      <c r="A64">
        <v>853</v>
      </c>
      <c r="B64" t="s">
        <v>74</v>
      </c>
      <c r="C64">
        <v>1017166</v>
      </c>
      <c r="F64" t="str">
        <f>VLOOKUP(B64,'Profit Loss-Amravati-25-26'!$A$13:$B$200,1,0)</f>
        <v>HOUSE RENT ALLOWANCE</v>
      </c>
      <c r="G64">
        <f>VLOOKUP(B64,'Profit Loss-Amravati-25-26'!$A$13:$B$200,2,0)</f>
        <v>1017166</v>
      </c>
      <c r="H64">
        <f t="shared" si="0"/>
        <v>0</v>
      </c>
    </row>
    <row r="65" spans="1:8" x14ac:dyDescent="0.3">
      <c r="A65">
        <v>975</v>
      </c>
      <c r="B65" t="s">
        <v>77</v>
      </c>
      <c r="C65">
        <v>972</v>
      </c>
      <c r="F65" t="str">
        <f>VLOOKUP(B65,'Profit Loss-Amravati-25-26'!$A$13:$B$200,1,0)</f>
        <v>MEDICAL ALLOWANCE</v>
      </c>
      <c r="G65">
        <f>VLOOKUP(B65,'Profit Loss-Amravati-25-26'!$A$13:$B$200,2,0)</f>
        <v>972</v>
      </c>
      <c r="H65">
        <f t="shared" si="0"/>
        <v>0</v>
      </c>
    </row>
    <row r="66" spans="1:8" x14ac:dyDescent="0.3">
      <c r="A66">
        <v>10208</v>
      </c>
      <c r="B66" t="s">
        <v>78</v>
      </c>
      <c r="C66">
        <v>88009</v>
      </c>
      <c r="F66" t="str">
        <f>VLOOKUP(B66,'Profit Loss-Amravati-25-26'!$A$13:$B$200,1,0)</f>
        <v>NEWSPAPER &amp; PERIODICAL ALLOWANCE</v>
      </c>
      <c r="G66">
        <f>VLOOKUP(B66,'Profit Loss-Amravati-25-26'!$A$13:$B$200,2,0)</f>
        <v>88009</v>
      </c>
      <c r="H66">
        <f t="shared" si="0"/>
        <v>0</v>
      </c>
    </row>
    <row r="67" spans="1:8" x14ac:dyDescent="0.3">
      <c r="A67">
        <v>31408</v>
      </c>
      <c r="B67" t="s">
        <v>227</v>
      </c>
      <c r="C67">
        <v>-1293</v>
      </c>
      <c r="F67" t="str">
        <f>VLOOKUP(B67,'Profit Loss-Amravati-25-26'!$A$13:$B$200,1,0)</f>
        <v>ONE DAY SALARY DEDUCTION</v>
      </c>
      <c r="G67">
        <f>VLOOKUP(B67,'Profit Loss-Amravati-25-26'!$A$13:$B$200,2,0)</f>
        <v>-1293</v>
      </c>
      <c r="H67">
        <f t="shared" si="0"/>
        <v>0</v>
      </c>
    </row>
    <row r="68" spans="1:8" x14ac:dyDescent="0.3">
      <c r="A68">
        <v>718</v>
      </c>
      <c r="B68" t="s">
        <v>217</v>
      </c>
      <c r="C68">
        <v>311536</v>
      </c>
      <c r="F68" t="str">
        <f>VLOOKUP(B68,'Profit Loss-Amravati-25-26'!$A$13:$B$200,1,0)</f>
        <v>PRODUCTION INCENTIVE</v>
      </c>
      <c r="G68">
        <f>VLOOKUP(B68,'Profit Loss-Amravati-25-26'!$A$13:$B$200,2,0)</f>
        <v>311536</v>
      </c>
      <c r="H68">
        <f t="shared" si="0"/>
        <v>0</v>
      </c>
    </row>
    <row r="69" spans="1:8" x14ac:dyDescent="0.3">
      <c r="A69">
        <v>851</v>
      </c>
      <c r="B69" t="s">
        <v>81</v>
      </c>
      <c r="C69">
        <v>7425318</v>
      </c>
      <c r="F69" t="str">
        <f>VLOOKUP(B69,'Profit Loss-Amravati-25-26'!$A$13:$B$200,1,0)</f>
        <v>SALARY &amp; WAGES</v>
      </c>
      <c r="G69">
        <f>VLOOKUP(B69,'Profit Loss-Amravati-25-26'!$A$13:$B$200,2,0)</f>
        <v>7425318</v>
      </c>
      <c r="H69">
        <f t="shared" si="0"/>
        <v>0</v>
      </c>
    </row>
    <row r="70" spans="1:8" x14ac:dyDescent="0.3">
      <c r="A70">
        <v>852</v>
      </c>
      <c r="B70" t="s">
        <v>215</v>
      </c>
      <c r="C70">
        <v>256361</v>
      </c>
      <c r="F70" t="str">
        <f>VLOOKUP(B70,'Profit Loss-Amravati-25-26'!$A$13:$B$200,1,0)</f>
        <v>SALARY &amp; WAGES (OVER TIME)</v>
      </c>
      <c r="G70">
        <f>VLOOKUP(B70,'Profit Loss-Amravati-25-26'!$A$13:$B$200,2,0)</f>
        <v>256361</v>
      </c>
      <c r="H70">
        <f t="shared" si="0"/>
        <v>0</v>
      </c>
    </row>
    <row r="71" spans="1:8" x14ac:dyDescent="0.3">
      <c r="A71">
        <v>881</v>
      </c>
      <c r="B71" t="s">
        <v>210</v>
      </c>
      <c r="C71">
        <v>212</v>
      </c>
      <c r="F71" t="str">
        <f>VLOOKUP(B71,'Profit Loss-Amravati-25-26'!$A$13:$B$200,1,0)</f>
        <v>SHIFT ALLOWANCE</v>
      </c>
      <c r="G71">
        <f>VLOOKUP(B71,'Profit Loss-Amravati-25-26'!$A$13:$B$200,2,0)</f>
        <v>212</v>
      </c>
      <c r="H71">
        <f t="shared" si="0"/>
        <v>0</v>
      </c>
    </row>
    <row r="72" spans="1:8" x14ac:dyDescent="0.3">
      <c r="A72">
        <v>689</v>
      </c>
      <c r="B72" t="s">
        <v>75</v>
      </c>
      <c r="C72">
        <v>101116</v>
      </c>
      <c r="F72" t="str">
        <f>VLOOKUP(B72,'Profit Loss-Amravati-25-26'!$A$13:$B$200,1,0)</f>
        <v>SPECIAL ALLOWANCE</v>
      </c>
      <c r="G72">
        <f>VLOOKUP(B72,'Profit Loss-Amravati-25-26'!$A$13:$B$200,2,0)</f>
        <v>101116</v>
      </c>
      <c r="H72">
        <f t="shared" si="0"/>
        <v>0</v>
      </c>
    </row>
    <row r="73" spans="1:8" x14ac:dyDescent="0.3">
      <c r="A73">
        <v>1325</v>
      </c>
      <c r="B73" t="s">
        <v>98</v>
      </c>
      <c r="C73">
        <v>2589728</v>
      </c>
      <c r="F73" t="str">
        <f>VLOOKUP(B73,'Profit Loss-Amravati-25-26'!$A$13:$B$200,1,0)</f>
        <v>STIPEND</v>
      </c>
      <c r="G73">
        <f>VLOOKUP(B73,'Profit Loss-Amravati-25-26'!$A$13:$B$200,2,0)</f>
        <v>2589728</v>
      </c>
      <c r="H73">
        <f t="shared" si="0"/>
        <v>0</v>
      </c>
    </row>
    <row r="74" spans="1:8" x14ac:dyDescent="0.3">
      <c r="A74">
        <v>11722</v>
      </c>
      <c r="B74" t="s">
        <v>211</v>
      </c>
      <c r="C74">
        <v>150</v>
      </c>
      <c r="F74" t="str">
        <f>VLOOKUP(B74,'Profit Loss-Amravati-25-26'!$A$13:$B$200,1,0)</f>
        <v>TELEPHONE ALLOWANCE</v>
      </c>
      <c r="G74">
        <f>VLOOKUP(B74,'Profit Loss-Amravati-25-26'!$A$13:$B$200,2,0)</f>
        <v>150</v>
      </c>
      <c r="H74">
        <f t="shared" ref="H74:H81" si="1">+C74-G74</f>
        <v>0</v>
      </c>
    </row>
    <row r="75" spans="1:8" x14ac:dyDescent="0.3">
      <c r="A75">
        <v>39010</v>
      </c>
      <c r="B75" t="s">
        <v>85</v>
      </c>
      <c r="C75">
        <v>-49292</v>
      </c>
      <c r="F75" t="str">
        <f>VLOOKUP(B75,'Profit Loss-Amravati-25-26'!$A$13:$B$200,1,0)</f>
        <v>EMPLOYEE SHARE OF E.S.I.C ACCOUNT</v>
      </c>
      <c r="G75">
        <f>VLOOKUP(B75,'Profit Loss-Amravati-25-26'!$A$13:$B$200,2,0)</f>
        <v>0</v>
      </c>
      <c r="H75">
        <f t="shared" si="1"/>
        <v>-49292</v>
      </c>
    </row>
    <row r="76" spans="1:8" x14ac:dyDescent="0.3">
      <c r="A76">
        <v>38579</v>
      </c>
      <c r="B76" t="s">
        <v>86</v>
      </c>
      <c r="C76">
        <v>-840800</v>
      </c>
      <c r="F76" t="str">
        <f>VLOOKUP(B76,'Profit Loss-Amravati-25-26'!$A$13:$B$200,1,0)</f>
        <v>EMPLOYEE SHARE OF PF ACCOUNT</v>
      </c>
      <c r="G76">
        <f>VLOOKUP(B76,'Profit Loss-Amravati-25-26'!$A$13:$B$200,2,0)</f>
        <v>0</v>
      </c>
      <c r="H76">
        <f t="shared" si="1"/>
        <v>-840800</v>
      </c>
    </row>
    <row r="77" spans="1:8" x14ac:dyDescent="0.3">
      <c r="A77">
        <v>859</v>
      </c>
      <c r="B77" t="s">
        <v>220</v>
      </c>
      <c r="C77">
        <v>6056</v>
      </c>
      <c r="F77" t="str">
        <f>VLOOKUP(B77,'Profit Loss-Amravati-25-26'!$A$13:$B$200,1,0)</f>
        <v>STAFF/WORKER MEDICAL</v>
      </c>
      <c r="G77">
        <f>VLOOKUP(B77,'Profit Loss-Amravati-25-26'!$A$13:$B$200,2,0)</f>
        <v>6056</v>
      </c>
      <c r="H77">
        <f t="shared" si="1"/>
        <v>0</v>
      </c>
    </row>
    <row r="78" spans="1:8" x14ac:dyDescent="0.3">
      <c r="A78">
        <v>858</v>
      </c>
      <c r="B78" t="s">
        <v>89</v>
      </c>
      <c r="C78">
        <v>-36277</v>
      </c>
      <c r="F78" t="str">
        <f>VLOOKUP(B78,'Profit Loss-Amravati-25-26'!$A$13:$B$200,1,0)</f>
        <v>STAFF/WORKER WELFARE</v>
      </c>
      <c r="G78">
        <f>VLOOKUP(B78,'Profit Loss-Amravati-25-26'!$A$13:$B$200,2,0)</f>
        <v>-36277</v>
      </c>
      <c r="H78">
        <f t="shared" si="1"/>
        <v>0</v>
      </c>
    </row>
    <row r="79" spans="1:8" x14ac:dyDescent="0.3">
      <c r="A79">
        <v>981</v>
      </c>
      <c r="B79" t="s">
        <v>109</v>
      </c>
      <c r="C79">
        <v>26263.5</v>
      </c>
      <c r="F79" t="str">
        <f>VLOOKUP(B79,'Profit Loss-Amravati-25-26'!$A$13:$B$200,1,0)</f>
        <v>BANK CHARGES</v>
      </c>
      <c r="G79">
        <f>VLOOKUP(B79,'Profit Loss-Amravati-25-26'!$A$13:$B$200,2,0)</f>
        <v>26263.5</v>
      </c>
      <c r="H79">
        <f t="shared" si="1"/>
        <v>0</v>
      </c>
    </row>
    <row r="80" spans="1:8" x14ac:dyDescent="0.3">
      <c r="A80">
        <v>25273</v>
      </c>
      <c r="B80" t="s">
        <v>112</v>
      </c>
      <c r="C80">
        <v>181979.24</v>
      </c>
      <c r="F80" t="str">
        <f>VLOOKUP(B80,'Profit Loss-Amravati-25-26'!$A$13:$B$200,1,0)</f>
        <v>CASH DISCOUNT PAID</v>
      </c>
      <c r="G80">
        <f>VLOOKUP(B80,'Profit Loss-Amravati-25-26'!$A$13:$B$200,2,0)</f>
        <v>181979.24</v>
      </c>
      <c r="H80">
        <f t="shared" si="1"/>
        <v>0</v>
      </c>
    </row>
    <row r="81" spans="1:8" x14ac:dyDescent="0.3">
      <c r="A81" t="s">
        <v>167</v>
      </c>
      <c r="B81" t="s">
        <v>168</v>
      </c>
      <c r="C81">
        <f>SUM(C18:C80)</f>
        <v>38138931.110000007</v>
      </c>
      <c r="D81">
        <v>38138931.109999999</v>
      </c>
      <c r="E81">
        <f>+C81-D81</f>
        <v>0</v>
      </c>
      <c r="F81" t="e">
        <f>VLOOKUP(B81,'Profit Loss-Amravati-25-26'!$A$13:$B$200,1,0)</f>
        <v>#N/A</v>
      </c>
      <c r="G81" t="e">
        <f>VLOOKUP(B81,'Profit Loss-Amravati-25-26'!$A$13:$B$200,2,0)</f>
        <v>#N/A</v>
      </c>
      <c r="H81" t="e">
        <f t="shared" si="1"/>
        <v>#N/A</v>
      </c>
    </row>
    <row r="82" spans="1:8" x14ac:dyDescent="0.3">
      <c r="C82">
        <f>+C17-C81</f>
        <v>11711065.769999996</v>
      </c>
    </row>
    <row r="83" spans="1:8" x14ac:dyDescent="0.3">
      <c r="A83" t="s">
        <v>169</v>
      </c>
      <c r="B83" t="s">
        <v>248</v>
      </c>
      <c r="C83">
        <v>0.77</v>
      </c>
    </row>
    <row r="84" spans="1:8" x14ac:dyDescent="0.3">
      <c r="A84" t="s">
        <v>171</v>
      </c>
      <c r="B84" t="s">
        <v>249</v>
      </c>
      <c r="C84" t="s">
        <v>242</v>
      </c>
      <c r="D84" t="s">
        <v>154</v>
      </c>
      <c r="E84" t="s">
        <v>250</v>
      </c>
    </row>
    <row r="85" spans="1:8" x14ac:dyDescent="0.3">
      <c r="A85" t="s">
        <v>156</v>
      </c>
      <c r="B85" t="s">
        <v>251</v>
      </c>
      <c r="D85" t="s">
        <v>252</v>
      </c>
      <c r="E85" t="s">
        <v>253</v>
      </c>
    </row>
    <row r="86" spans="1:8" x14ac:dyDescent="0.3">
      <c r="A86" t="s">
        <v>157</v>
      </c>
    </row>
    <row r="90" spans="1:8" x14ac:dyDescent="0.3">
      <c r="B90" s="53"/>
      <c r="C90" s="53"/>
    </row>
  </sheetData>
  <autoFilter ref="A7:C89" xr:uid="{1E258E2E-7A7F-45FB-8D7F-EE0780003E6D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BD12-7A1C-4ED6-9BD4-E7FFBD878A63}">
  <dimension ref="A1:G82"/>
  <sheetViews>
    <sheetView topLeftCell="A16" workbookViewId="0">
      <selection activeCell="C44" sqref="C44"/>
    </sheetView>
  </sheetViews>
  <sheetFormatPr defaultRowHeight="14.4" x14ac:dyDescent="0.3"/>
  <cols>
    <col min="1" max="1" width="11.6640625" customWidth="1"/>
    <col min="2" max="2" width="38.44140625" customWidth="1"/>
    <col min="3" max="4" width="14.88671875" customWidth="1"/>
    <col min="5" max="7" width="38.44140625" customWidth="1"/>
  </cols>
  <sheetData>
    <row r="1" spans="1:7" x14ac:dyDescent="0.3">
      <c r="A1" t="s">
        <v>141</v>
      </c>
      <c r="B1" t="s">
        <v>142</v>
      </c>
      <c r="D1" t="s">
        <v>143</v>
      </c>
    </row>
    <row r="2" spans="1:7" x14ac:dyDescent="0.3">
      <c r="A2" t="s">
        <v>141</v>
      </c>
      <c r="B2" t="s">
        <v>142</v>
      </c>
      <c r="D2" t="s">
        <v>143</v>
      </c>
    </row>
    <row r="3" spans="1:7" x14ac:dyDescent="0.3">
      <c r="A3" t="s">
        <v>141</v>
      </c>
      <c r="B3" t="s">
        <v>160</v>
      </c>
      <c r="C3" t="s">
        <v>161</v>
      </c>
      <c r="D3" t="s">
        <v>143</v>
      </c>
    </row>
    <row r="4" spans="1:7" x14ac:dyDescent="0.3">
      <c r="A4" t="s">
        <v>162</v>
      </c>
      <c r="B4" t="s">
        <v>163</v>
      </c>
      <c r="C4" t="s">
        <v>144</v>
      </c>
      <c r="D4" t="s">
        <v>145</v>
      </c>
    </row>
    <row r="5" spans="1:7" x14ac:dyDescent="0.3">
      <c r="A5" t="s">
        <v>146</v>
      </c>
      <c r="B5" t="s">
        <v>146</v>
      </c>
      <c r="C5" t="s">
        <v>147</v>
      </c>
      <c r="D5" t="s">
        <v>148</v>
      </c>
    </row>
    <row r="6" spans="1:7" x14ac:dyDescent="0.3">
      <c r="A6" t="s">
        <v>149</v>
      </c>
      <c r="B6" t="s">
        <v>150</v>
      </c>
      <c r="C6" t="s">
        <v>151</v>
      </c>
      <c r="D6" t="s">
        <v>152</v>
      </c>
    </row>
    <row r="7" spans="1:7" x14ac:dyDescent="0.3">
      <c r="A7" t="s">
        <v>162</v>
      </c>
      <c r="B7" t="s">
        <v>163</v>
      </c>
      <c r="C7" t="s">
        <v>144</v>
      </c>
      <c r="D7" t="s">
        <v>145</v>
      </c>
    </row>
    <row r="8" spans="1:7" x14ac:dyDescent="0.3">
      <c r="A8" t="s">
        <v>3</v>
      </c>
    </row>
    <row r="9" spans="1:7" x14ac:dyDescent="0.3">
      <c r="A9">
        <v>25924</v>
      </c>
      <c r="B9" t="s">
        <v>8</v>
      </c>
      <c r="C9">
        <v>89464696</v>
      </c>
      <c r="E9" t="str">
        <f>VLOOKUP(B9,'Profit Loss-Textile'!$A$8:$B$135,1,0)</f>
        <v>SALE EXPORT - (GREY YARN)</v>
      </c>
      <c r="F9">
        <f>VLOOKUP(B9,'Profit Loss-Textile'!$A$8:$B$135,2,0)</f>
        <v>0</v>
      </c>
      <c r="G9">
        <f>+C9-F9</f>
        <v>89464696</v>
      </c>
    </row>
    <row r="10" spans="1:7" x14ac:dyDescent="0.3">
      <c r="A10">
        <v>31685</v>
      </c>
      <c r="B10" t="s">
        <v>5</v>
      </c>
      <c r="C10">
        <v>59737570</v>
      </c>
      <c r="E10" t="str">
        <f>VLOOKUP(B10,'Profit Loss-Textile'!$A$8:$B$135,1,0)</f>
        <v>SALE LOCAL - (GREY YARN)</v>
      </c>
      <c r="F10">
        <f>VLOOKUP(B10,'Profit Loss-Textile'!$A$8:$B$135,2,0)</f>
        <v>0</v>
      </c>
      <c r="G10">
        <f t="shared" ref="G10:G42" si="0">+C10-F10</f>
        <v>59737570</v>
      </c>
    </row>
    <row r="11" spans="1:7" x14ac:dyDescent="0.3">
      <c r="A11">
        <v>1015</v>
      </c>
      <c r="B11" t="s">
        <v>120</v>
      </c>
      <c r="C11">
        <v>104180.61</v>
      </c>
      <c r="E11" t="str">
        <f>VLOOKUP(B11,'Profit Loss-Textile'!$A$8:$B$135,1,0)</f>
        <v>DIFF.IN FOREIGN CURR.</v>
      </c>
      <c r="F11">
        <f>VLOOKUP(B11,'Profit Loss-Textile'!$A$8:$B$135,2,0)</f>
        <v>0</v>
      </c>
      <c r="G11">
        <f t="shared" si="0"/>
        <v>104180.61</v>
      </c>
    </row>
    <row r="12" spans="1:7" x14ac:dyDescent="0.3">
      <c r="A12">
        <v>896</v>
      </c>
      <c r="B12" t="s">
        <v>6</v>
      </c>
      <c r="C12">
        <v>13042199</v>
      </c>
      <c r="E12" t="str">
        <f>VLOOKUP(B12,'Profit Loss-Textile'!$A$8:$B$135,1,0)</f>
        <v>SALE COTTON WASTE</v>
      </c>
      <c r="F12">
        <f>VLOOKUP(B12,'Profit Loss-Textile'!$A$8:$B$135,2,0)</f>
        <v>0</v>
      </c>
      <c r="G12">
        <f t="shared" si="0"/>
        <v>13042199</v>
      </c>
    </row>
    <row r="13" spans="1:7" x14ac:dyDescent="0.3">
      <c r="A13">
        <v>1011</v>
      </c>
      <c r="B13" t="s">
        <v>119</v>
      </c>
      <c r="C13">
        <v>128689</v>
      </c>
      <c r="E13" t="str">
        <f>VLOOKUP(B13,'Profit Loss-Textile'!$A$8:$B$135,1,0)</f>
        <v>DISCOUNT RECEIVED</v>
      </c>
      <c r="F13">
        <f>VLOOKUP(B13,'Profit Loss-Textile'!$A$8:$B$135,2,0)</f>
        <v>0</v>
      </c>
      <c r="G13">
        <f t="shared" si="0"/>
        <v>128689</v>
      </c>
    </row>
    <row r="14" spans="1:7" x14ac:dyDescent="0.3">
      <c r="A14">
        <v>1618</v>
      </c>
      <c r="B14" t="s">
        <v>125</v>
      </c>
      <c r="C14">
        <v>44224.6</v>
      </c>
      <c r="E14" t="str">
        <f>VLOOKUP(B14,'Profit Loss-Textile'!$A$8:$B$135,1,0)</f>
        <v>INTEREST RECEIVED FROM BANK</v>
      </c>
      <c r="F14">
        <f>VLOOKUP(B14,'Profit Loss-Textile'!$A$8:$B$135,2,0)</f>
        <v>0</v>
      </c>
      <c r="G14">
        <f t="shared" si="0"/>
        <v>44224.6</v>
      </c>
    </row>
    <row r="15" spans="1:7" x14ac:dyDescent="0.3">
      <c r="B15" s="10" t="s">
        <v>174</v>
      </c>
      <c r="C15" s="31">
        <f>SUM(C9:C14)</f>
        <v>162521559.21000001</v>
      </c>
      <c r="D15" s="32">
        <v>162521559.21000001</v>
      </c>
    </row>
    <row r="16" spans="1:7" x14ac:dyDescent="0.3">
      <c r="A16">
        <v>820</v>
      </c>
      <c r="B16" t="s">
        <v>69</v>
      </c>
      <c r="C16" s="34">
        <v>-4000</v>
      </c>
      <c r="E16" t="str">
        <f>VLOOKUP(B16,'Profit Loss-Textile'!$A$8:$B$135,1,0)</f>
        <v>COOLIE &amp; CARTAGE ON PURCHASE</v>
      </c>
      <c r="F16">
        <f>VLOOKUP(B16,'Profit Loss-Textile'!$A$8:$B$135,2,0)</f>
        <v>0</v>
      </c>
      <c r="G16">
        <f t="shared" si="0"/>
        <v>-4000</v>
      </c>
    </row>
    <row r="17" spans="1:7" x14ac:dyDescent="0.3">
      <c r="A17">
        <v>947</v>
      </c>
      <c r="B17" t="s">
        <v>36</v>
      </c>
      <c r="C17" s="33">
        <v>43073173.840000004</v>
      </c>
      <c r="E17" t="str">
        <f>VLOOKUP(B17,'Profit Loss-Textile'!$A$8:$B$135,1,0)</f>
        <v>PURCHASE COTTON LOCAL</v>
      </c>
      <c r="F17">
        <f>VLOOKUP(B17,'Profit Loss-Textile'!$A$8:$B$135,2,0)</f>
        <v>0</v>
      </c>
      <c r="G17">
        <f t="shared" si="0"/>
        <v>43073173.840000004</v>
      </c>
    </row>
    <row r="18" spans="1:7" x14ac:dyDescent="0.3">
      <c r="A18">
        <v>875</v>
      </c>
      <c r="B18" t="s">
        <v>38</v>
      </c>
      <c r="C18" s="33">
        <v>48882011</v>
      </c>
      <c r="E18" t="str">
        <f>VLOOKUP(B18,'Profit Loss-Textile'!$A$8:$B$135,1,0)</f>
        <v>PURCHASE YARN - LOCAL</v>
      </c>
      <c r="F18">
        <f>VLOOKUP(B18,'Profit Loss-Textile'!$A$8:$B$135,2,0)</f>
        <v>0</v>
      </c>
      <c r="G18">
        <f t="shared" si="0"/>
        <v>48882011</v>
      </c>
    </row>
    <row r="19" spans="1:7" x14ac:dyDescent="0.3">
      <c r="A19">
        <v>818</v>
      </c>
      <c r="B19" t="s">
        <v>47</v>
      </c>
      <c r="C19" s="33">
        <v>31938.16</v>
      </c>
      <c r="E19" t="str">
        <f>VLOOKUP(B19,'Profit Loss-Textile'!$A$8:$B$135,1,0)</f>
        <v>ELECTRICAL ITEMS</v>
      </c>
      <c r="F19">
        <f>VLOOKUP(B19,'Profit Loss-Textile'!$A$8:$B$135,2,0)</f>
        <v>0</v>
      </c>
      <c r="G19">
        <f t="shared" si="0"/>
        <v>31938.16</v>
      </c>
    </row>
    <row r="20" spans="1:7" x14ac:dyDescent="0.3">
      <c r="A20">
        <v>815</v>
      </c>
      <c r="B20" t="s">
        <v>40</v>
      </c>
      <c r="C20" s="33">
        <v>307140.28999999998</v>
      </c>
      <c r="E20" t="str">
        <f>VLOOKUP(B20,'Profit Loss-Textile'!$A$8:$B$135,1,0)</f>
        <v>PURCHASE STORES &amp; SPARES</v>
      </c>
      <c r="F20">
        <f>VLOOKUP(B20,'Profit Loss-Textile'!$A$8:$B$135,2,0)</f>
        <v>0</v>
      </c>
      <c r="G20">
        <f t="shared" si="0"/>
        <v>307140.28999999998</v>
      </c>
    </row>
    <row r="21" spans="1:7" x14ac:dyDescent="0.3">
      <c r="A21">
        <v>16844</v>
      </c>
      <c r="B21" t="s">
        <v>43</v>
      </c>
      <c r="C21" s="33">
        <v>1719213.24</v>
      </c>
      <c r="E21" t="str">
        <f>VLOOKUP(B21,'Profit Loss-Textile'!$A$8:$B$135,1,0)</f>
        <v>PURCHASE PACKING MATERIAL</v>
      </c>
      <c r="F21">
        <f>VLOOKUP(B21,'Profit Loss-Textile'!$A$8:$B$135,2,0)</f>
        <v>0</v>
      </c>
      <c r="G21">
        <f t="shared" si="0"/>
        <v>1719213.24</v>
      </c>
    </row>
    <row r="22" spans="1:7" x14ac:dyDescent="0.3">
      <c r="A22">
        <v>26871</v>
      </c>
      <c r="B22" t="s">
        <v>59</v>
      </c>
      <c r="C22" s="34">
        <v>2962092</v>
      </c>
      <c r="E22" t="str">
        <f>VLOOKUP(B22,'Profit Loss-Textile'!$A$8:$B$135,1,0)</f>
        <v>MAN POWER SUPPLY CHARGES</v>
      </c>
      <c r="F22">
        <f>VLOOKUP(B22,'Profit Loss-Textile'!$A$8:$B$135,2,0)</f>
        <v>0</v>
      </c>
      <c r="G22">
        <f t="shared" si="0"/>
        <v>2962092</v>
      </c>
    </row>
    <row r="23" spans="1:7" x14ac:dyDescent="0.3">
      <c r="A23">
        <v>970</v>
      </c>
      <c r="B23" t="s">
        <v>55</v>
      </c>
      <c r="C23" s="34">
        <v>19800</v>
      </c>
      <c r="E23" t="str">
        <f>VLOOKUP(B23,'Profit Loss-Textile'!$A$8:$B$135,1,0)</f>
        <v>INSPECTION/TESTING</v>
      </c>
      <c r="F23">
        <f>VLOOKUP(B23,'Profit Loss-Textile'!$A$8:$B$135,2,0)</f>
        <v>0</v>
      </c>
      <c r="G23">
        <f t="shared" si="0"/>
        <v>19800</v>
      </c>
    </row>
    <row r="24" spans="1:7" x14ac:dyDescent="0.3">
      <c r="A24">
        <v>1086</v>
      </c>
      <c r="B24" t="s">
        <v>20</v>
      </c>
      <c r="C24" s="31">
        <v>29600</v>
      </c>
      <c r="E24" t="str">
        <f>VLOOKUP(B24,'Profit Loss-Textile'!$A$8:$B$135,1,0)</f>
        <v>EXPORT EXPENSES</v>
      </c>
      <c r="F24">
        <f>VLOOKUP(B24,'Profit Loss-Textile'!$A$8:$B$135,2,0)</f>
        <v>0</v>
      </c>
      <c r="G24">
        <f t="shared" si="0"/>
        <v>29600</v>
      </c>
    </row>
    <row r="25" spans="1:7" x14ac:dyDescent="0.3">
      <c r="A25">
        <v>969</v>
      </c>
      <c r="B25" t="s">
        <v>64</v>
      </c>
      <c r="C25" s="35">
        <v>608.26</v>
      </c>
      <c r="E25" t="str">
        <f>VLOOKUP(B25,'Profit Loss-Textile'!$A$8:$B$135,1,0)</f>
        <v>FILING FEES</v>
      </c>
      <c r="F25">
        <f>VLOOKUP(B25,'Profit Loss-Textile'!$A$8:$B$135,2,0)</f>
        <v>0</v>
      </c>
      <c r="G25">
        <f t="shared" si="0"/>
        <v>608.26</v>
      </c>
    </row>
    <row r="26" spans="1:7" x14ac:dyDescent="0.3">
      <c r="A26">
        <v>983</v>
      </c>
      <c r="B26" t="s">
        <v>95</v>
      </c>
      <c r="C26" s="35">
        <v>147913.5</v>
      </c>
      <c r="E26" t="str">
        <f>VLOOKUP(B26,'Profit Loss-Textile'!$A$8:$B$135,1,0)</f>
        <v>TRAVELLING EXPENSES</v>
      </c>
      <c r="F26">
        <f>VLOOKUP(B26,'Profit Loss-Textile'!$A$8:$B$135,2,0)</f>
        <v>0</v>
      </c>
      <c r="G26">
        <f t="shared" si="0"/>
        <v>147913.5</v>
      </c>
    </row>
    <row r="27" spans="1:7" x14ac:dyDescent="0.3">
      <c r="A27">
        <v>929</v>
      </c>
      <c r="B27" t="s">
        <v>101</v>
      </c>
      <c r="C27" s="35">
        <v>51750</v>
      </c>
      <c r="E27" t="str">
        <f>VLOOKUP(B27,'Profit Loss-Textile'!$A$8:$B$135,1,0)</f>
        <v>E-MAIL (INTERNET) EXPENSES</v>
      </c>
      <c r="F27">
        <f>VLOOKUP(B27,'Profit Loss-Textile'!$A$8:$B$135,2,0)</f>
        <v>0</v>
      </c>
      <c r="G27">
        <f t="shared" si="0"/>
        <v>51750</v>
      </c>
    </row>
    <row r="28" spans="1:7" x14ac:dyDescent="0.3">
      <c r="A28">
        <v>934</v>
      </c>
      <c r="B28" t="s">
        <v>103</v>
      </c>
      <c r="C28" s="35">
        <v>-598</v>
      </c>
      <c r="E28" t="str">
        <f>VLOOKUP(B28,'Profit Loss-Textile'!$A$8:$B$135,1,0)</f>
        <v>TELEPHONE EXPENSES</v>
      </c>
      <c r="F28">
        <f>VLOOKUP(B28,'Profit Loss-Textile'!$A$8:$B$135,2,0)</f>
        <v>0</v>
      </c>
      <c r="G28">
        <f t="shared" si="0"/>
        <v>-598</v>
      </c>
    </row>
    <row r="29" spans="1:7" x14ac:dyDescent="0.3">
      <c r="A29">
        <v>930</v>
      </c>
      <c r="B29" t="s">
        <v>96</v>
      </c>
      <c r="C29" s="35">
        <v>53040</v>
      </c>
      <c r="E29" t="str">
        <f>VLOOKUP(B29,'Profit Loss-Textile'!$A$8:$B$135,1,0)</f>
        <v>GARDEN EXPENSES</v>
      </c>
      <c r="F29">
        <f>VLOOKUP(B29,'Profit Loss-Textile'!$A$8:$B$135,2,0)</f>
        <v>0</v>
      </c>
      <c r="G29">
        <f t="shared" si="0"/>
        <v>53040</v>
      </c>
    </row>
    <row r="30" spans="1:7" x14ac:dyDescent="0.3">
      <c r="A30">
        <v>948</v>
      </c>
      <c r="B30" t="s">
        <v>72</v>
      </c>
      <c r="C30" s="35">
        <v>94354</v>
      </c>
      <c r="E30" t="str">
        <f>VLOOKUP(B30,'Profit Loss-Textile'!$A$8:$B$135,1,0)</f>
        <v>CONVEYANCE ALLOWANCE</v>
      </c>
      <c r="F30">
        <f>VLOOKUP(B30,'Profit Loss-Textile'!$A$8:$B$135,2,0)</f>
        <v>0</v>
      </c>
      <c r="G30">
        <f t="shared" si="0"/>
        <v>94354</v>
      </c>
    </row>
    <row r="31" spans="1:7" x14ac:dyDescent="0.3">
      <c r="A31">
        <v>855</v>
      </c>
      <c r="B31" t="s">
        <v>73</v>
      </c>
      <c r="C31" s="35">
        <v>73010</v>
      </c>
      <c r="E31" t="str">
        <f>VLOOKUP(B31,'Profit Loss-Textile'!$A$8:$B$135,1,0)</f>
        <v>EDUCATION ALLOWANCE</v>
      </c>
      <c r="F31">
        <f>VLOOKUP(B31,'Profit Loss-Textile'!$A$8:$B$135,2,0)</f>
        <v>0</v>
      </c>
      <c r="G31">
        <f t="shared" si="0"/>
        <v>73010</v>
      </c>
    </row>
    <row r="32" spans="1:7" x14ac:dyDescent="0.3">
      <c r="A32">
        <v>853</v>
      </c>
      <c r="B32" t="s">
        <v>74</v>
      </c>
      <c r="C32" s="35">
        <v>125612</v>
      </c>
      <c r="E32" t="str">
        <f>VLOOKUP(B32,'Profit Loss-Textile'!$A$8:$B$135,1,0)</f>
        <v>HOUSE RENT ALLOWANCE</v>
      </c>
      <c r="F32">
        <f>VLOOKUP(B32,'Profit Loss-Textile'!$A$8:$B$135,2,0)</f>
        <v>0</v>
      </c>
      <c r="G32">
        <f t="shared" si="0"/>
        <v>125612</v>
      </c>
    </row>
    <row r="33" spans="1:7" x14ac:dyDescent="0.3">
      <c r="A33">
        <v>10208</v>
      </c>
      <c r="B33" t="s">
        <v>78</v>
      </c>
      <c r="C33" s="35">
        <v>41075</v>
      </c>
      <c r="E33" t="str">
        <f>VLOOKUP(B33,'Profit Loss-Textile'!$A$8:$B$135,1,0)</f>
        <v>NEWSPAPER &amp; PERIODICAL ALLOWANCE</v>
      </c>
      <c r="F33">
        <f>VLOOKUP(B33,'Profit Loss-Textile'!$A$8:$B$135,2,0)</f>
        <v>0</v>
      </c>
      <c r="G33">
        <f t="shared" si="0"/>
        <v>41075</v>
      </c>
    </row>
    <row r="34" spans="1:7" x14ac:dyDescent="0.3">
      <c r="A34">
        <v>851</v>
      </c>
      <c r="B34" t="s">
        <v>81</v>
      </c>
      <c r="C34" s="35">
        <v>298976</v>
      </c>
      <c r="E34" t="str">
        <f>VLOOKUP(B34,'Profit Loss-Textile'!$A$8:$B$135,1,0)</f>
        <v>SALARY &amp; WAGES</v>
      </c>
      <c r="F34">
        <f>VLOOKUP(B34,'Profit Loss-Textile'!$A$8:$B$135,2,0)</f>
        <v>0</v>
      </c>
      <c r="G34">
        <f t="shared" si="0"/>
        <v>298976</v>
      </c>
    </row>
    <row r="35" spans="1:7" x14ac:dyDescent="0.3">
      <c r="A35">
        <v>689</v>
      </c>
      <c r="B35" t="s">
        <v>75</v>
      </c>
      <c r="C35" s="35">
        <v>13636</v>
      </c>
      <c r="E35" t="str">
        <f>VLOOKUP(B35,'Profit Loss-Textile'!$A$8:$B$135,1,0)</f>
        <v>SPECIAL ALLOWANCE</v>
      </c>
      <c r="F35">
        <f>VLOOKUP(B35,'Profit Loss-Textile'!$A$8:$B$135,2,0)</f>
        <v>0</v>
      </c>
      <c r="G35">
        <f t="shared" si="0"/>
        <v>13636</v>
      </c>
    </row>
    <row r="36" spans="1:7" x14ac:dyDescent="0.3">
      <c r="A36">
        <v>39010</v>
      </c>
      <c r="B36" t="s">
        <v>85</v>
      </c>
      <c r="C36" s="35">
        <v>-326</v>
      </c>
      <c r="E36" t="str">
        <f>VLOOKUP(B36,'Profit Loss-Textile'!$A$8:$B$135,1,0)</f>
        <v>EMPLOYEE SHARE OF E.S.I.C ACCOUNT</v>
      </c>
      <c r="F36">
        <f>VLOOKUP(B36,'Profit Loss-Textile'!$A$8:$B$135,2,0)</f>
        <v>0</v>
      </c>
      <c r="G36">
        <f t="shared" si="0"/>
        <v>-326</v>
      </c>
    </row>
    <row r="37" spans="1:7" x14ac:dyDescent="0.3">
      <c r="A37">
        <v>38579</v>
      </c>
      <c r="B37" t="s">
        <v>86</v>
      </c>
      <c r="C37" s="35">
        <v>-31130</v>
      </c>
      <c r="E37" t="str">
        <f>VLOOKUP(B37,'Profit Loss-Textile'!$A$8:$B$135,1,0)</f>
        <v>EMPLOYEE SHARE OF PF ACCOUNT</v>
      </c>
      <c r="F37">
        <f>VLOOKUP(B37,'Profit Loss-Textile'!$A$8:$B$135,2,0)</f>
        <v>0</v>
      </c>
      <c r="G37">
        <f t="shared" si="0"/>
        <v>-31130</v>
      </c>
    </row>
    <row r="38" spans="1:7" x14ac:dyDescent="0.3">
      <c r="A38">
        <v>1107</v>
      </c>
      <c r="B38" t="s">
        <v>105</v>
      </c>
      <c r="C38" s="35">
        <v>-11944</v>
      </c>
      <c r="E38" t="str">
        <f>VLOOKUP(B38,'Profit Loss-Textile'!$A$8:$B$135,1,0)</f>
        <v>GUEST HOUSE EXPENSES</v>
      </c>
      <c r="F38">
        <f>VLOOKUP(B38,'Profit Loss-Textile'!$A$8:$B$135,2,0)</f>
        <v>0</v>
      </c>
      <c r="G38">
        <f t="shared" si="0"/>
        <v>-11944</v>
      </c>
    </row>
    <row r="39" spans="1:7" x14ac:dyDescent="0.3">
      <c r="A39">
        <v>981</v>
      </c>
      <c r="B39" s="30" t="s">
        <v>109</v>
      </c>
      <c r="C39" s="35">
        <v>88828</v>
      </c>
      <c r="E39" t="str">
        <f>VLOOKUP(B39,'Profit Loss-Textile'!$A$8:$B$135,1,0)</f>
        <v>BANK CHARGES</v>
      </c>
      <c r="F39">
        <f>VLOOKUP(B39,'Profit Loss-Textile'!$A$8:$B$135,2,0)</f>
        <v>0</v>
      </c>
      <c r="G39">
        <f t="shared" si="0"/>
        <v>88828</v>
      </c>
    </row>
    <row r="40" spans="1:7" x14ac:dyDescent="0.3">
      <c r="A40">
        <v>1214</v>
      </c>
      <c r="B40" s="30" t="s">
        <v>106</v>
      </c>
      <c r="C40" s="35">
        <v>6000</v>
      </c>
      <c r="E40" t="str">
        <f>VLOOKUP(B40,'Profit Loss-Textile'!$A$8:$B$135,1,0)</f>
        <v>L/C CHARGES</v>
      </c>
      <c r="F40">
        <f>VLOOKUP(B40,'Profit Loss-Textile'!$A$8:$B$135,2,0)</f>
        <v>0</v>
      </c>
      <c r="G40">
        <f t="shared" si="0"/>
        <v>6000</v>
      </c>
    </row>
    <row r="41" spans="1:7" x14ac:dyDescent="0.3">
      <c r="A41">
        <v>34381</v>
      </c>
      <c r="B41" t="s">
        <v>107</v>
      </c>
      <c r="C41" s="35">
        <v>4755121</v>
      </c>
      <c r="E41" t="str">
        <f>VLOOKUP(B41,'Profit Loss-Textile'!$A$8:$B$135,1,0)</f>
        <v>INTEREST ON TERM LOAN</v>
      </c>
      <c r="F41">
        <f>VLOOKUP(B41,'Profit Loss-Textile'!$A$8:$B$135,2,0)</f>
        <v>0</v>
      </c>
      <c r="G41">
        <f t="shared" si="0"/>
        <v>4755121</v>
      </c>
    </row>
    <row r="42" spans="1:7" x14ac:dyDescent="0.3">
      <c r="A42">
        <v>982</v>
      </c>
      <c r="B42" t="s">
        <v>108</v>
      </c>
      <c r="C42">
        <v>937709</v>
      </c>
      <c r="E42" t="str">
        <f>VLOOKUP(B42,'Profit Loss-Textile'!$A$8:$B$135,1,0)</f>
        <v>INTEREST TO BANK</v>
      </c>
      <c r="F42">
        <f>VLOOKUP(B42,'Profit Loss-Textile'!$A$8:$B$135,2,0)</f>
        <v>0</v>
      </c>
      <c r="G42">
        <f t="shared" si="0"/>
        <v>937709</v>
      </c>
    </row>
    <row r="43" spans="1:7" x14ac:dyDescent="0.3">
      <c r="A43" t="s">
        <v>167</v>
      </c>
      <c r="B43" s="10" t="s">
        <v>168</v>
      </c>
      <c r="C43">
        <f>SUM(C16:C42)</f>
        <v>103664603.29000001</v>
      </c>
      <c r="D43" s="10">
        <v>103664603.29000001</v>
      </c>
    </row>
    <row r="44" spans="1:7" x14ac:dyDescent="0.3">
      <c r="C44">
        <f>+C15-C43</f>
        <v>58856955.920000002</v>
      </c>
    </row>
    <row r="45" spans="1:7" x14ac:dyDescent="0.3">
      <c r="A45" t="s">
        <v>169</v>
      </c>
      <c r="B45" t="s">
        <v>170</v>
      </c>
      <c r="C45">
        <v>55.92</v>
      </c>
    </row>
    <row r="80" spans="1:4" x14ac:dyDescent="0.3">
      <c r="A80" t="s">
        <v>171</v>
      </c>
      <c r="B80" t="s">
        <v>172</v>
      </c>
      <c r="C80" t="s">
        <v>154</v>
      </c>
      <c r="D80" t="s">
        <v>155</v>
      </c>
    </row>
    <row r="81" spans="1:4" x14ac:dyDescent="0.3">
      <c r="A81" t="s">
        <v>156</v>
      </c>
      <c r="B81" t="s">
        <v>166</v>
      </c>
      <c r="C81">
        <v>8</v>
      </c>
      <c r="D81" t="s">
        <v>173</v>
      </c>
    </row>
    <row r="82" spans="1:4" x14ac:dyDescent="0.3">
      <c r="A82" t="s">
        <v>157</v>
      </c>
    </row>
  </sheetData>
  <autoFilter ref="A7:C46" xr:uid="{4BAFBD12-7A1C-4ED6-9BD4-E7FFBD878A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Profit Loss-Combined</vt:lpstr>
      <vt:lpstr>Prepaid</vt:lpstr>
      <vt:lpstr>Profit Loss-Amravati-25-26</vt:lpstr>
      <vt:lpstr>Profit Loss-Betul-25-26</vt:lpstr>
      <vt:lpstr>TB-Feb,26-a</vt:lpstr>
      <vt:lpstr>TB-Feb,26-B</vt:lpstr>
      <vt:lpstr>TB-TFL-B-Jan,26</vt:lpstr>
      <vt:lpstr>Summary Sheet Prior year impact</vt:lpstr>
      <vt:lpstr>TB-TFL-A-Jan,26</vt:lpstr>
      <vt:lpstr>TB-TFL-A-Dec,25</vt:lpstr>
      <vt:lpstr>TB -TFL-B-Dec,25</vt:lpstr>
      <vt:lpstr>PL-TFA-Oct</vt:lpstr>
      <vt:lpstr>PL-TFB-Oct</vt:lpstr>
      <vt:lpstr>TFA-Nov,25</vt:lpstr>
      <vt:lpstr>TFB-Nov,25</vt:lpstr>
      <vt:lpstr>TFB-Sept,25</vt:lpstr>
      <vt:lpstr>TFA-Sept,25</vt:lpstr>
      <vt:lpstr>TB-A-Aug</vt:lpstr>
      <vt:lpstr>TB-B-Aug</vt:lpstr>
      <vt:lpstr>July-A</vt:lpstr>
      <vt:lpstr>July-B</vt:lpstr>
      <vt:lpstr>June,25-A</vt:lpstr>
      <vt:lpstr>June,25-B</vt:lpstr>
      <vt:lpstr>May-A</vt:lpstr>
      <vt:lpstr>May-B</vt:lpstr>
      <vt:lpstr>TFL- B-April,25</vt:lpstr>
      <vt:lpstr>Profit Loss-Textile</vt:lpstr>
      <vt:lpstr>TFL A-April,25</vt:lpstr>
      <vt:lpstr>April,25.</vt:lpstr>
      <vt:lpstr>'Profit Loss-Combined'!Print_Area</vt:lpstr>
      <vt:lpstr>'Profit Loss-Textile'!Print_Area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Urvashi Mithia</dc:creator>
  <cp:lastModifiedBy>Anil Saraf</cp:lastModifiedBy>
  <cp:lastPrinted>2026-01-21T11:50:49Z</cp:lastPrinted>
  <dcterms:created xsi:type="dcterms:W3CDTF">2025-05-28T07:25:02Z</dcterms:created>
  <dcterms:modified xsi:type="dcterms:W3CDTF">2026-03-25T13:29:23Z</dcterms:modified>
</cp:coreProperties>
</file>